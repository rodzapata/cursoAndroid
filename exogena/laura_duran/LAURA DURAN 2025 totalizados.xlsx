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L\Documents\workspace\cursoAndroid\exogena\laura_duran\"/>
    </mc:Choice>
  </mc:AlternateContent>
  <xr:revisionPtr revIDLastSave="0" documentId="13_ncr:1_{2267DD28-5CDA-4BB1-A962-E79BDEB1994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p_Doc_20260508_0323" sheetId="1" r:id="rId1"/>
    <sheet name="Hoja2" sheetId="3" r:id="rId2"/>
    <sheet name="Hoja3" sheetId="11" r:id="rId3"/>
    <sheet name="cliente_agrupado" sheetId="12" r:id="rId4"/>
    <sheet name="cli" sheetId="13" r:id="rId5"/>
    <sheet name="clientes" sheetId="10" r:id="rId6"/>
    <sheet name="compras_tot" sheetId="7" r:id="rId7"/>
    <sheet name="gastos_tot" sheetId="9" r:id="rId8"/>
  </sheets>
  <definedNames>
    <definedName name="_xlnm._FilterDatabase" localSheetId="5" hidden="1">clientes!$A$1:$D$203</definedName>
    <definedName name="_xlnm._FilterDatabase" localSheetId="1" hidden="1">Hoja2!$A$1:$AM$224</definedName>
  </definedNames>
  <calcPr calcId="191029"/>
  <pivotCaches>
    <pivotCache cacheId="2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7" l="1"/>
  <c r="E51" i="9"/>
  <c r="F49" i="9"/>
  <c r="E49" i="9"/>
  <c r="D49" i="9"/>
  <c r="C49" i="9"/>
  <c r="E26" i="7"/>
  <c r="S129" i="3"/>
  <c r="F23" i="7"/>
  <c r="D23" i="7"/>
  <c r="C23" i="7"/>
  <c r="F7" i="7"/>
  <c r="F8" i="7"/>
  <c r="F14" i="7"/>
  <c r="F15" i="7"/>
  <c r="F16" i="7"/>
  <c r="F17" i="7"/>
  <c r="F18" i="7"/>
  <c r="F19" i="7"/>
  <c r="F21" i="7"/>
  <c r="F20" i="7"/>
  <c r="F13" i="7"/>
  <c r="F12" i="7"/>
  <c r="F11" i="7"/>
  <c r="F10" i="7"/>
  <c r="F9" i="7"/>
  <c r="F6" i="7"/>
  <c r="F5" i="7"/>
  <c r="F4" i="7"/>
  <c r="F3" i="7"/>
  <c r="S146" i="3"/>
  <c r="S217" i="3"/>
  <c r="T217" i="3" s="1"/>
  <c r="S216" i="3"/>
  <c r="T216" i="3" s="1"/>
  <c r="S125" i="3"/>
  <c r="S215" i="3"/>
  <c r="T215" i="3" s="1"/>
  <c r="S124" i="3"/>
  <c r="T124" i="3" s="1"/>
  <c r="S123" i="3"/>
  <c r="T123" i="3" s="1"/>
  <c r="S122" i="3"/>
  <c r="T122" i="3" s="1"/>
  <c r="S121" i="3"/>
  <c r="T121" i="3" s="1"/>
  <c r="S214" i="3"/>
  <c r="S213" i="3"/>
  <c r="T213" i="3" s="1"/>
  <c r="S212" i="3"/>
  <c r="T212" i="3" s="1"/>
  <c r="S211" i="3"/>
  <c r="T211" i="3" s="1"/>
  <c r="S210" i="3"/>
  <c r="T210" i="3" s="1"/>
  <c r="S209" i="3"/>
  <c r="T209" i="3" s="1"/>
  <c r="S208" i="3"/>
  <c r="S207" i="3"/>
  <c r="T207" i="3" s="1"/>
  <c r="S206" i="3"/>
  <c r="T206" i="3" s="1"/>
  <c r="S205" i="3"/>
  <c r="T205" i="3" s="1"/>
  <c r="S204" i="3"/>
  <c r="T204" i="3" s="1"/>
  <c r="S203" i="3"/>
  <c r="T203" i="3" s="1"/>
  <c r="S202" i="3"/>
  <c r="S201" i="3"/>
  <c r="T201" i="3" s="1"/>
  <c r="S200" i="3"/>
  <c r="T200" i="3" s="1"/>
  <c r="S199" i="3"/>
  <c r="T199" i="3" s="1"/>
  <c r="S198" i="3"/>
  <c r="T198" i="3" s="1"/>
  <c r="S197" i="3"/>
  <c r="T197" i="3" s="1"/>
  <c r="S120" i="3"/>
  <c r="S119" i="3"/>
  <c r="T119" i="3" s="1"/>
  <c r="S118" i="3"/>
  <c r="T118" i="3" s="1"/>
  <c r="S117" i="3"/>
  <c r="T117" i="3" s="1"/>
  <c r="S116" i="3"/>
  <c r="T116" i="3" s="1"/>
  <c r="S115" i="3"/>
  <c r="S114" i="3"/>
  <c r="T114" i="3" s="1"/>
  <c r="S113" i="3"/>
  <c r="S112" i="3"/>
  <c r="T112" i="3" s="1"/>
  <c r="S111" i="3"/>
  <c r="T111" i="3" s="1"/>
  <c r="S110" i="3"/>
  <c r="T110" i="3" s="1"/>
  <c r="S109" i="3"/>
  <c r="S108" i="3"/>
  <c r="T108" i="3" s="1"/>
  <c r="S107" i="3"/>
  <c r="S106" i="3"/>
  <c r="T106" i="3" s="1"/>
  <c r="S105" i="3"/>
  <c r="T105" i="3" s="1"/>
  <c r="S104" i="3"/>
  <c r="T104" i="3" s="1"/>
  <c r="S103" i="3"/>
  <c r="S102" i="3"/>
  <c r="T102" i="3" s="1"/>
  <c r="S101" i="3"/>
  <c r="S100" i="3"/>
  <c r="T100" i="3" s="1"/>
  <c r="S133" i="3"/>
  <c r="T133" i="3" s="1"/>
  <c r="S99" i="3"/>
  <c r="T99" i="3" s="1"/>
  <c r="S98" i="3"/>
  <c r="T98" i="3" s="1"/>
  <c r="S97" i="3"/>
  <c r="S96" i="3"/>
  <c r="T96" i="3" s="1"/>
  <c r="S95" i="3"/>
  <c r="T95" i="3" s="1"/>
  <c r="S94" i="3"/>
  <c r="T94" i="3" s="1"/>
  <c r="S93" i="3"/>
  <c r="T93" i="3" s="1"/>
  <c r="S92" i="3"/>
  <c r="T92" i="3" s="1"/>
  <c r="S91" i="3"/>
  <c r="S90" i="3"/>
  <c r="T90" i="3" s="1"/>
  <c r="S89" i="3"/>
  <c r="T89" i="3" s="1"/>
  <c r="S88" i="3"/>
  <c r="T88" i="3" s="1"/>
  <c r="S87" i="3"/>
  <c r="T87" i="3" s="1"/>
  <c r="S86" i="3"/>
  <c r="S85" i="3"/>
  <c r="T85" i="3" s="1"/>
  <c r="S84" i="3"/>
  <c r="S132" i="3"/>
  <c r="T132" i="3" s="1"/>
  <c r="S83" i="3"/>
  <c r="T83" i="3" s="1"/>
  <c r="S82" i="3"/>
  <c r="T82" i="3" s="1"/>
  <c r="S81" i="3"/>
  <c r="T81" i="3" s="1"/>
  <c r="S80" i="3"/>
  <c r="S79" i="3"/>
  <c r="T79" i="3" s="1"/>
  <c r="S78" i="3"/>
  <c r="T78" i="3" s="1"/>
  <c r="S77" i="3"/>
  <c r="T77" i="3" s="1"/>
  <c r="S76" i="3"/>
  <c r="T76" i="3" s="1"/>
  <c r="S75" i="3"/>
  <c r="T75" i="3" s="1"/>
  <c r="S74" i="3"/>
  <c r="T74" i="3" s="1"/>
  <c r="S131" i="3"/>
  <c r="S196" i="3"/>
  <c r="T196" i="3" s="1"/>
  <c r="S195" i="3"/>
  <c r="T195" i="3" s="1"/>
  <c r="S194" i="3"/>
  <c r="T194" i="3" s="1"/>
  <c r="S193" i="3"/>
  <c r="S192" i="3"/>
  <c r="S73" i="3"/>
  <c r="T73" i="3" s="1"/>
  <c r="S72" i="3"/>
  <c r="T72" i="3" s="1"/>
  <c r="S71" i="3"/>
  <c r="T71" i="3" s="1"/>
  <c r="S70" i="3"/>
  <c r="T70" i="3" s="1"/>
  <c r="S69" i="3"/>
  <c r="S68" i="3"/>
  <c r="S67" i="3"/>
  <c r="T67" i="3" s="1"/>
  <c r="S191" i="3"/>
  <c r="T191" i="3" s="1"/>
  <c r="S190" i="3"/>
  <c r="T190" i="3" s="1"/>
  <c r="S189" i="3"/>
  <c r="T189" i="3" s="1"/>
  <c r="S188" i="3"/>
  <c r="S187" i="3"/>
  <c r="S186" i="3"/>
  <c r="T186" i="3" s="1"/>
  <c r="S66" i="3"/>
  <c r="T66" i="3" s="1"/>
  <c r="S65" i="3"/>
  <c r="T65" i="3" s="1"/>
  <c r="S64" i="3"/>
  <c r="T64" i="3" s="1"/>
  <c r="S63" i="3"/>
  <c r="S185" i="3"/>
  <c r="S184" i="3"/>
  <c r="T184" i="3" s="1"/>
  <c r="S62" i="3"/>
  <c r="T62" i="3" s="1"/>
  <c r="S183" i="3"/>
  <c r="T183" i="3" s="1"/>
  <c r="S182" i="3"/>
  <c r="T182" i="3" s="1"/>
  <c r="S181" i="3"/>
  <c r="S180" i="3"/>
  <c r="S61" i="3"/>
  <c r="T61" i="3" s="1"/>
  <c r="S60" i="3"/>
  <c r="T60" i="3" s="1"/>
  <c r="S59" i="3"/>
  <c r="T59" i="3" s="1"/>
  <c r="S58" i="3"/>
  <c r="T58" i="3" s="1"/>
  <c r="S179" i="3"/>
  <c r="T179" i="3" s="1"/>
  <c r="S178" i="3"/>
  <c r="S177" i="3"/>
  <c r="S223" i="3"/>
  <c r="T223" i="3" s="1"/>
  <c r="S176" i="3"/>
  <c r="T176" i="3" s="1"/>
  <c r="S222" i="3"/>
  <c r="S175" i="3"/>
  <c r="S174" i="3"/>
  <c r="S173" i="3"/>
  <c r="T173" i="3" s="1"/>
  <c r="S172" i="3"/>
  <c r="T172" i="3" s="1"/>
  <c r="S171" i="3"/>
  <c r="T171" i="3" s="1"/>
  <c r="S170" i="3"/>
  <c r="T170" i="3" s="1"/>
  <c r="S57" i="3"/>
  <c r="S56" i="3"/>
  <c r="S55" i="3"/>
  <c r="T55" i="3" s="1"/>
  <c r="S54" i="3"/>
  <c r="T54" i="3" s="1"/>
  <c r="S53" i="3"/>
  <c r="T53" i="3" s="1"/>
  <c r="S169" i="3"/>
  <c r="T169" i="3" s="1"/>
  <c r="S168" i="3"/>
  <c r="S167" i="3"/>
  <c r="S166" i="3"/>
  <c r="T166" i="3" s="1"/>
  <c r="S52" i="3"/>
  <c r="T52" i="3" s="1"/>
  <c r="S51" i="3"/>
  <c r="T51" i="3" s="1"/>
  <c r="S50" i="3"/>
  <c r="T50" i="3" s="1"/>
  <c r="S49" i="3"/>
  <c r="S48" i="3"/>
  <c r="S47" i="3"/>
  <c r="T47" i="3" s="1"/>
  <c r="S165" i="3"/>
  <c r="T165" i="3" s="1"/>
  <c r="S46" i="3"/>
  <c r="T46" i="3" s="1"/>
  <c r="S164" i="3"/>
  <c r="T164" i="3" s="1"/>
  <c r="S163" i="3"/>
  <c r="S162" i="3"/>
  <c r="S161" i="3"/>
  <c r="T161" i="3" s="1"/>
  <c r="S160" i="3"/>
  <c r="T160" i="3" s="1"/>
  <c r="S45" i="3"/>
  <c r="T45" i="3" s="1"/>
  <c r="S159" i="3"/>
  <c r="T159" i="3" s="1"/>
  <c r="S44" i="3"/>
  <c r="S43" i="3"/>
  <c r="S42" i="3"/>
  <c r="T42" i="3" s="1"/>
  <c r="S41" i="3"/>
  <c r="T41" i="3" s="1"/>
  <c r="S40" i="3"/>
  <c r="T40" i="3" s="1"/>
  <c r="S39" i="3"/>
  <c r="T39" i="3" s="1"/>
  <c r="S38" i="3"/>
  <c r="S37" i="3"/>
  <c r="S36" i="3"/>
  <c r="T36" i="3" s="1"/>
  <c r="S35" i="3"/>
  <c r="T35" i="3" s="1"/>
  <c r="S34" i="3"/>
  <c r="T34" i="3" s="1"/>
  <c r="S33" i="3"/>
  <c r="T33" i="3" s="1"/>
  <c r="S32" i="3"/>
  <c r="S31" i="3"/>
  <c r="S30" i="3"/>
  <c r="T30" i="3" s="1"/>
  <c r="S29" i="3"/>
  <c r="T29" i="3" s="1"/>
  <c r="S28" i="3"/>
  <c r="T28" i="3" s="1"/>
  <c r="S27" i="3"/>
  <c r="T27" i="3" s="1"/>
  <c r="S26" i="3"/>
  <c r="S25" i="3"/>
  <c r="S24" i="3"/>
  <c r="T24" i="3" s="1"/>
  <c r="S23" i="3"/>
  <c r="T23" i="3" s="1"/>
  <c r="S22" i="3"/>
  <c r="T22" i="3" s="1"/>
  <c r="S21" i="3"/>
  <c r="T21" i="3" s="1"/>
  <c r="S20" i="3"/>
  <c r="S19" i="3"/>
  <c r="S18" i="3"/>
  <c r="S17" i="3"/>
  <c r="T17" i="3" s="1"/>
  <c r="S16" i="3"/>
  <c r="T16" i="3" s="1"/>
  <c r="S130" i="3"/>
  <c r="T129" i="3"/>
  <c r="S15" i="3"/>
  <c r="S14" i="3"/>
  <c r="T14" i="3" s="1"/>
  <c r="S158" i="3"/>
  <c r="T158" i="3" s="1"/>
  <c r="S13" i="3"/>
  <c r="T13" i="3" s="1"/>
  <c r="S12" i="3"/>
  <c r="T12" i="3" s="1"/>
  <c r="S11" i="3"/>
  <c r="S10" i="3"/>
  <c r="S157" i="3"/>
  <c r="T157" i="3" s="1"/>
  <c r="S156" i="3"/>
  <c r="T156" i="3" s="1"/>
  <c r="S155" i="3"/>
  <c r="T155" i="3" s="1"/>
  <c r="S154" i="3"/>
  <c r="T154" i="3" s="1"/>
  <c r="S9" i="3"/>
  <c r="S8" i="3"/>
  <c r="T8" i="3" s="1"/>
  <c r="S7" i="3"/>
  <c r="T7" i="3" s="1"/>
  <c r="S6" i="3"/>
  <c r="T6" i="3" s="1"/>
  <c r="S5" i="3"/>
  <c r="T5" i="3" s="1"/>
  <c r="S4" i="3"/>
  <c r="S153" i="3"/>
  <c r="S152" i="3"/>
  <c r="S3" i="3"/>
  <c r="T3" i="3" s="1"/>
  <c r="S151" i="3"/>
  <c r="T151" i="3" s="1"/>
  <c r="S150" i="3"/>
  <c r="S149" i="3"/>
  <c r="S148" i="3"/>
  <c r="S147" i="3"/>
  <c r="Q206" i="3" l="1"/>
  <c r="R206" i="3" s="1"/>
  <c r="Q191" i="3"/>
  <c r="R191" i="3" s="1"/>
  <c r="Q124" i="3"/>
  <c r="R124" i="3" s="1"/>
  <c r="Q95" i="3"/>
  <c r="R95" i="3" s="1"/>
  <c r="Q70" i="3"/>
  <c r="R70" i="3" s="1"/>
  <c r="Q58" i="3"/>
  <c r="R58" i="3" s="1"/>
  <c r="Q170" i="3"/>
  <c r="R170" i="3" s="1"/>
  <c r="Q36" i="3"/>
  <c r="R36" i="3" s="1"/>
  <c r="Q99" i="3"/>
  <c r="R99" i="3" s="1"/>
  <c r="Q29" i="3"/>
  <c r="R29" i="3" s="1"/>
  <c r="Q198" i="3"/>
  <c r="R198" i="3" s="1"/>
  <c r="Q110" i="3"/>
  <c r="R110" i="3" s="1"/>
  <c r="Q76" i="3"/>
  <c r="R76" i="3" s="1"/>
  <c r="Q21" i="3"/>
  <c r="R21" i="3" s="1"/>
  <c r="Q73" i="3"/>
  <c r="R73" i="3" s="1"/>
  <c r="Q12" i="3"/>
  <c r="R12" i="3" s="1"/>
  <c r="Q60" i="3"/>
  <c r="R60" i="3" s="1"/>
  <c r="Q213" i="3"/>
  <c r="R213" i="3" s="1"/>
  <c r="Q172" i="3"/>
  <c r="R172" i="3" s="1"/>
  <c r="Q212" i="3"/>
  <c r="R212" i="3" s="1"/>
  <c r="Q24" i="3"/>
  <c r="R24" i="3" s="1"/>
  <c r="Q89" i="3"/>
  <c r="R89" i="3" s="1"/>
  <c r="Q186" i="3"/>
  <c r="R186" i="3" s="1"/>
  <c r="Q166" i="3"/>
  <c r="R166" i="3" s="1"/>
  <c r="Q23" i="3"/>
  <c r="R23" i="3" s="1"/>
  <c r="Q200" i="3"/>
  <c r="R200" i="3" s="1"/>
  <c r="Q165" i="3"/>
  <c r="R165" i="3" s="1"/>
  <c r="Q82" i="3"/>
  <c r="R82" i="3" s="1"/>
  <c r="Q66" i="3"/>
  <c r="R66" i="3" s="1"/>
  <c r="Q182" i="3"/>
  <c r="R182" i="3" s="1"/>
  <c r="Q160" i="3"/>
  <c r="R160" i="3" s="1"/>
  <c r="Q14" i="3"/>
  <c r="R14" i="3" s="1"/>
  <c r="Q78" i="3"/>
  <c r="R78" i="3" s="1"/>
  <c r="Q111" i="3"/>
  <c r="R111" i="3" s="1"/>
  <c r="Q61" i="3"/>
  <c r="R61" i="3" s="1"/>
  <c r="Q159" i="3"/>
  <c r="R159" i="3" s="1"/>
  <c r="Q158" i="3"/>
  <c r="R158" i="3" s="1"/>
  <c r="Q114" i="3"/>
  <c r="R114" i="3" s="1"/>
  <c r="Q122" i="3"/>
  <c r="R122" i="3" s="1"/>
  <c r="Q204" i="3"/>
  <c r="R204" i="3" s="1"/>
  <c r="Q121" i="3"/>
  <c r="R121" i="3" s="1"/>
  <c r="Q93" i="3"/>
  <c r="R93" i="3" s="1"/>
  <c r="Q54" i="3"/>
  <c r="R54" i="3" s="1"/>
  <c r="Q156" i="3"/>
  <c r="R156" i="3" s="1"/>
  <c r="Q105" i="3"/>
  <c r="R105" i="3" s="1"/>
  <c r="Q169" i="3"/>
  <c r="R169" i="3" s="1"/>
  <c r="Q196" i="3"/>
  <c r="R196" i="3" s="1"/>
  <c r="Q223" i="3"/>
  <c r="R223" i="3" s="1"/>
  <c r="Q154" i="3"/>
  <c r="R154" i="3" s="1"/>
  <c r="Q118" i="3"/>
  <c r="R118" i="3" s="1"/>
  <c r="Q104" i="3"/>
  <c r="R104" i="3" s="1"/>
  <c r="Q64" i="3"/>
  <c r="R64" i="3" s="1"/>
  <c r="Q179" i="3"/>
  <c r="R179" i="3" s="1"/>
  <c r="Q52" i="3"/>
  <c r="R52" i="3" s="1"/>
  <c r="Q35" i="3"/>
  <c r="R35" i="3" s="1"/>
  <c r="Q7" i="3"/>
  <c r="R7" i="3" s="1"/>
  <c r="Q41" i="3"/>
  <c r="R41" i="3" s="1"/>
  <c r="Q217" i="3"/>
  <c r="R217" i="3" s="1"/>
  <c r="Q210" i="3"/>
  <c r="R210" i="3" s="1"/>
  <c r="Q117" i="3"/>
  <c r="R117" i="3" s="1"/>
  <c r="Q102" i="3"/>
  <c r="R102" i="3" s="1"/>
  <c r="Q88" i="3"/>
  <c r="R88" i="3" s="1"/>
  <c r="Q72" i="3"/>
  <c r="R72" i="3" s="1"/>
  <c r="Q62" i="3"/>
  <c r="R62" i="3" s="1"/>
  <c r="Q176" i="3"/>
  <c r="R176" i="3" s="1"/>
  <c r="Q50" i="3"/>
  <c r="R50" i="3" s="1"/>
  <c r="Q16" i="3"/>
  <c r="R16" i="3" s="1"/>
  <c r="Q92" i="3"/>
  <c r="R92" i="3" s="1"/>
  <c r="Q17" i="3"/>
  <c r="R17" i="3" s="1"/>
  <c r="Q87" i="3"/>
  <c r="R87" i="3" s="1"/>
  <c r="Q33" i="3"/>
  <c r="R33" i="3" s="1"/>
  <c r="Q5" i="3"/>
  <c r="R5" i="3" s="1"/>
  <c r="T131" i="3"/>
  <c r="Q131" i="3"/>
  <c r="R131" i="3" s="1"/>
  <c r="T153" i="3"/>
  <c r="Q153" i="3"/>
  <c r="R153" i="3" s="1"/>
  <c r="T10" i="3"/>
  <c r="Q10" i="3"/>
  <c r="R10" i="3" s="1"/>
  <c r="T19" i="3"/>
  <c r="Q19" i="3"/>
  <c r="R19" i="3" s="1"/>
  <c r="T43" i="3"/>
  <c r="Q43" i="3"/>
  <c r="R43" i="3" s="1"/>
  <c r="T56" i="3"/>
  <c r="Q56" i="3"/>
  <c r="R56" i="3" s="1"/>
  <c r="T178" i="3"/>
  <c r="Q178" i="3"/>
  <c r="R178" i="3" s="1"/>
  <c r="T68" i="3"/>
  <c r="Q68" i="3"/>
  <c r="R68" i="3" s="1"/>
  <c r="T120" i="3"/>
  <c r="Q120" i="3"/>
  <c r="R120" i="3" s="1"/>
  <c r="T125" i="3"/>
  <c r="Q125" i="3"/>
  <c r="R125" i="3" s="1"/>
  <c r="Q207" i="3"/>
  <c r="R207" i="3" s="1"/>
  <c r="Q55" i="3"/>
  <c r="R55" i="3" s="1"/>
  <c r="T4" i="3"/>
  <c r="Q4" i="3"/>
  <c r="R4" i="3" s="1"/>
  <c r="T11" i="3"/>
  <c r="Q11" i="3"/>
  <c r="R11" i="3" s="1"/>
  <c r="T20" i="3"/>
  <c r="Q20" i="3"/>
  <c r="R20" i="3" s="1"/>
  <c r="T32" i="3"/>
  <c r="Q32" i="3"/>
  <c r="R32" i="3" s="1"/>
  <c r="T57" i="3"/>
  <c r="Q57" i="3"/>
  <c r="R57" i="3" s="1"/>
  <c r="T63" i="3"/>
  <c r="Q63" i="3"/>
  <c r="R63" i="3" s="1"/>
  <c r="T109" i="3"/>
  <c r="Q109" i="3"/>
  <c r="R109" i="3" s="1"/>
  <c r="Q197" i="3"/>
  <c r="R197" i="3" s="1"/>
  <c r="Q75" i="3"/>
  <c r="R75" i="3" s="1"/>
  <c r="Q47" i="3"/>
  <c r="R47" i="3" s="1"/>
  <c r="Q119" i="3"/>
  <c r="R119" i="3" s="1"/>
  <c r="Q74" i="3"/>
  <c r="R74" i="3" s="1"/>
  <c r="Q42" i="3"/>
  <c r="R42" i="3" s="1"/>
  <c r="T147" i="3"/>
  <c r="Q147" i="3"/>
  <c r="R147" i="3" s="1"/>
  <c r="T101" i="3"/>
  <c r="Q101" i="3"/>
  <c r="R101" i="3" s="1"/>
  <c r="T113" i="3"/>
  <c r="Q113" i="3"/>
  <c r="R113" i="3" s="1"/>
  <c r="Q90" i="3"/>
  <c r="R90" i="3" s="1"/>
  <c r="Q173" i="3"/>
  <c r="R173" i="3" s="1"/>
  <c r="Q8" i="3"/>
  <c r="R8" i="3" s="1"/>
  <c r="T148" i="3"/>
  <c r="Q148" i="3"/>
  <c r="R148" i="3" s="1"/>
  <c r="T9" i="3"/>
  <c r="Q9" i="3"/>
  <c r="R9" i="3" s="1"/>
  <c r="T15" i="3"/>
  <c r="Q15" i="3"/>
  <c r="R15" i="3" s="1"/>
  <c r="T25" i="3"/>
  <c r="Q25" i="3"/>
  <c r="R25" i="3" s="1"/>
  <c r="T37" i="3"/>
  <c r="Q37" i="3"/>
  <c r="R37" i="3" s="1"/>
  <c r="T162" i="3"/>
  <c r="Q162" i="3"/>
  <c r="R162" i="3" s="1"/>
  <c r="T167" i="3"/>
  <c r="Q167" i="3"/>
  <c r="R167" i="3" s="1"/>
  <c r="T174" i="3"/>
  <c r="Q174" i="3"/>
  <c r="R174" i="3" s="1"/>
  <c r="T180" i="3"/>
  <c r="Q180" i="3"/>
  <c r="R180" i="3" s="1"/>
  <c r="T187" i="3"/>
  <c r="Q187" i="3"/>
  <c r="R187" i="3" s="1"/>
  <c r="T192" i="3"/>
  <c r="Q192" i="3"/>
  <c r="R192" i="3" s="1"/>
  <c r="T80" i="3"/>
  <c r="Q80" i="3"/>
  <c r="R80" i="3" s="1"/>
  <c r="T91" i="3"/>
  <c r="Q91" i="3"/>
  <c r="R91" i="3" s="1"/>
  <c r="T202" i="3"/>
  <c r="Q202" i="3"/>
  <c r="R202" i="3" s="1"/>
  <c r="T214" i="3"/>
  <c r="Q214" i="3"/>
  <c r="R214" i="3" s="1"/>
  <c r="Q216" i="3"/>
  <c r="R216" i="3" s="1"/>
  <c r="Q203" i="3"/>
  <c r="R203" i="3" s="1"/>
  <c r="Q81" i="3"/>
  <c r="R81" i="3" s="1"/>
  <c r="Q67" i="3"/>
  <c r="R67" i="3" s="1"/>
  <c r="Q164" i="3"/>
  <c r="R164" i="3" s="1"/>
  <c r="Q30" i="3"/>
  <c r="R30" i="3" s="1"/>
  <c r="T18" i="3"/>
  <c r="Q18" i="3"/>
  <c r="R18" i="3" s="1"/>
  <c r="T177" i="3"/>
  <c r="Q177" i="3"/>
  <c r="R177" i="3" s="1"/>
  <c r="T84" i="3"/>
  <c r="Q84" i="3"/>
  <c r="R84" i="3" s="1"/>
  <c r="T107" i="3"/>
  <c r="Q107" i="3"/>
  <c r="R107" i="3" s="1"/>
  <c r="T31" i="3"/>
  <c r="Q31" i="3"/>
  <c r="R31" i="3" s="1"/>
  <c r="T185" i="3"/>
  <c r="Q185" i="3"/>
  <c r="R185" i="3" s="1"/>
  <c r="T97" i="3"/>
  <c r="Q97" i="3"/>
  <c r="R97" i="3" s="1"/>
  <c r="T44" i="3"/>
  <c r="Q44" i="3"/>
  <c r="R44" i="3" s="1"/>
  <c r="T69" i="3"/>
  <c r="Q69" i="3"/>
  <c r="R69" i="3" s="1"/>
  <c r="T38" i="3"/>
  <c r="Q38" i="3"/>
  <c r="R38" i="3" s="1"/>
  <c r="T168" i="3"/>
  <c r="Q168" i="3"/>
  <c r="R168" i="3" s="1"/>
  <c r="T181" i="3"/>
  <c r="Q181" i="3"/>
  <c r="R181" i="3" s="1"/>
  <c r="T103" i="3"/>
  <c r="Q103" i="3"/>
  <c r="R103" i="3" s="1"/>
  <c r="Q108" i="3"/>
  <c r="R108" i="3" s="1"/>
  <c r="T130" i="3"/>
  <c r="Q130" i="3"/>
  <c r="R130" i="3" s="1"/>
  <c r="T222" i="3"/>
  <c r="Q222" i="3"/>
  <c r="R222" i="3" s="1"/>
  <c r="Q194" i="3"/>
  <c r="R194" i="3" s="1"/>
  <c r="Q184" i="3"/>
  <c r="R184" i="3" s="1"/>
  <c r="Q39" i="3"/>
  <c r="R39" i="3" s="1"/>
  <c r="Q96" i="3"/>
  <c r="R96" i="3" s="1"/>
  <c r="Q161" i="3"/>
  <c r="R161" i="3" s="1"/>
  <c r="T152" i="3"/>
  <c r="Q152" i="3"/>
  <c r="R152" i="3" s="1"/>
  <c r="T48" i="3"/>
  <c r="Q48" i="3"/>
  <c r="R48" i="3" s="1"/>
  <c r="T208" i="3"/>
  <c r="Q208" i="3"/>
  <c r="R208" i="3" s="1"/>
  <c r="T49" i="3"/>
  <c r="Q49" i="3"/>
  <c r="R49" i="3" s="1"/>
  <c r="T86" i="3"/>
  <c r="Q86" i="3"/>
  <c r="R86" i="3" s="1"/>
  <c r="Q85" i="3"/>
  <c r="R85" i="3" s="1"/>
  <c r="T149" i="3"/>
  <c r="Q149" i="3"/>
  <c r="R149" i="3" s="1"/>
  <c r="T146" i="3"/>
  <c r="Q146" i="3"/>
  <c r="R146" i="3" s="1"/>
  <c r="T26" i="3"/>
  <c r="Q26" i="3"/>
  <c r="R26" i="3" s="1"/>
  <c r="T163" i="3"/>
  <c r="Q163" i="3"/>
  <c r="R163" i="3" s="1"/>
  <c r="T175" i="3"/>
  <c r="Q175" i="3"/>
  <c r="R175" i="3" s="1"/>
  <c r="T188" i="3"/>
  <c r="Q188" i="3"/>
  <c r="R188" i="3" s="1"/>
  <c r="T193" i="3"/>
  <c r="Q193" i="3"/>
  <c r="R193" i="3" s="1"/>
  <c r="T115" i="3"/>
  <c r="Q115" i="3"/>
  <c r="R115" i="3" s="1"/>
  <c r="Q98" i="3"/>
  <c r="R98" i="3" s="1"/>
  <c r="T150" i="3"/>
  <c r="Q150" i="3"/>
  <c r="R150" i="3" s="1"/>
  <c r="Q215" i="3"/>
  <c r="R215" i="3" s="1"/>
  <c r="Q201" i="3"/>
  <c r="R201" i="3" s="1"/>
  <c r="Q79" i="3"/>
  <c r="R79" i="3" s="1"/>
  <c r="Q129" i="3"/>
  <c r="R129" i="3" s="1"/>
  <c r="Q209" i="3"/>
  <c r="R209" i="3" s="1"/>
  <c r="Q116" i="3"/>
  <c r="R116" i="3" s="1"/>
  <c r="Q189" i="3"/>
  <c r="R189" i="3" s="1"/>
  <c r="Q27" i="3"/>
  <c r="R27" i="3" s="1"/>
  <c r="Q157" i="3"/>
  <c r="R157" i="3" s="1"/>
  <c r="Q3" i="3"/>
  <c r="R3" i="3" s="1"/>
  <c r="Q123" i="3"/>
  <c r="R123" i="3" s="1"/>
  <c r="Q211" i="3"/>
  <c r="R211" i="3" s="1"/>
  <c r="Q205" i="3"/>
  <c r="R205" i="3" s="1"/>
  <c r="Q199" i="3"/>
  <c r="R199" i="3" s="1"/>
  <c r="Q133" i="3"/>
  <c r="R133" i="3" s="1"/>
  <c r="Q112" i="3"/>
  <c r="R112" i="3" s="1"/>
  <c r="Q106" i="3"/>
  <c r="R106" i="3" s="1"/>
  <c r="Q100" i="3"/>
  <c r="R100" i="3" s="1"/>
  <c r="Q94" i="3"/>
  <c r="R94" i="3" s="1"/>
  <c r="Q132" i="3"/>
  <c r="R132" i="3" s="1"/>
  <c r="Q83" i="3"/>
  <c r="R83" i="3" s="1"/>
  <c r="Q77" i="3"/>
  <c r="R77" i="3" s="1"/>
  <c r="Q195" i="3"/>
  <c r="R195" i="3" s="1"/>
  <c r="Q71" i="3"/>
  <c r="R71" i="3" s="1"/>
  <c r="Q190" i="3"/>
  <c r="R190" i="3" s="1"/>
  <c r="Q65" i="3"/>
  <c r="R65" i="3" s="1"/>
  <c r="Q183" i="3"/>
  <c r="R183" i="3" s="1"/>
  <c r="Q59" i="3"/>
  <c r="R59" i="3" s="1"/>
  <c r="Q171" i="3"/>
  <c r="R171" i="3" s="1"/>
  <c r="Q53" i="3"/>
  <c r="R53" i="3" s="1"/>
  <c r="Q51" i="3"/>
  <c r="R51" i="3" s="1"/>
  <c r="Q46" i="3"/>
  <c r="R46" i="3" s="1"/>
  <c r="Q45" i="3"/>
  <c r="R45" i="3" s="1"/>
  <c r="Q40" i="3"/>
  <c r="R40" i="3" s="1"/>
  <c r="Q34" i="3"/>
  <c r="R34" i="3" s="1"/>
  <c r="Q28" i="3"/>
  <c r="R28" i="3" s="1"/>
  <c r="Q22" i="3"/>
  <c r="R22" i="3" s="1"/>
  <c r="Q13" i="3"/>
  <c r="R13" i="3" s="1"/>
  <c r="Q155" i="3"/>
  <c r="R155" i="3" s="1"/>
  <c r="Q6" i="3"/>
  <c r="R6" i="3" s="1"/>
  <c r="Q151" i="3"/>
  <c r="R151" i="3" s="1"/>
  <c r="T226" i="3" l="1"/>
</calcChain>
</file>

<file path=xl/sharedStrings.xml><?xml version="1.0" encoding="utf-8"?>
<sst xmlns="http://schemas.openxmlformats.org/spreadsheetml/2006/main" count="8384" uniqueCount="1086">
  <si>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</si>
  <si>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</si>
  <si>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</si>
  <si>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</si>
  <si>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</si>
  <si>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</si>
  <si>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</si>
  <si>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</si>
  <si>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</si>
  <si>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</si>
  <si>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</si>
  <si>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</si>
  <si>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</si>
  <si>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</si>
  <si>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</si>
  <si>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</si>
  <si>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</si>
  <si>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</si>
  <si>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</si>
  <si>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</si>
  <si>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</si>
  <si>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</si>
  <si>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</si>
  <si>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</si>
  <si>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</si>
  <si>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</si>
  <si>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</si>
  <si>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</si>
  <si>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</si>
  <si>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</si>
  <si>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</si>
  <si>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</si>
  <si>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</si>
  <si>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60f5b8f6a51f00536ecc6846680d389cd9f8134eadf65173dac56c5f93074c57a6bb72b61305e60006a52b19a17b9124</t>
  </si>
  <si>
    <t>13565</t>
  </si>
  <si>
    <t>5232</t>
  </si>
  <si>
    <t>COP</t>
  </si>
  <si>
    <t>1</t>
  </si>
  <si>
    <t>49</t>
  </si>
  <si>
    <t>31-12-2025</t>
  </si>
  <si>
    <t>31-12-2025 10:40:53</t>
  </si>
  <si>
    <t>860503159</t>
  </si>
  <si>
    <t>PASH S.A.S</t>
  </si>
  <si>
    <t>901786517</t>
  </si>
  <si>
    <t>DEKOINSPIRA SAS</t>
  </si>
  <si>
    <t>Aprobado con notificación</t>
  </si>
  <si>
    <t>Recibido</t>
  </si>
  <si>
    <t>bbae11995f2d02ce261389f2ed06803f70dc85308ff8a3c46f98b20571aa41ea14ae23667f0d512b4e30b1fe70f99229</t>
  </si>
  <si>
    <t>3791</t>
  </si>
  <si>
    <t>CLBE</t>
  </si>
  <si>
    <t>31-12-2025 10:01:33</t>
  </si>
  <si>
    <t>900355557</t>
  </si>
  <si>
    <t>GRUPO MODA SUMA SAS</t>
  </si>
  <si>
    <t>DEKOINSPIRA. S.A.S</t>
  </si>
  <si>
    <t>240ff217fda8ef1d2bfa0e6ff802cb1e29d924cb81d4d89ee4ff88473a63eaee06610f4d3b96a2c76c1c0767c62668ef</t>
  </si>
  <si>
    <t>111534</t>
  </si>
  <si>
    <t>GRA</t>
  </si>
  <si>
    <t>30-12-2025</t>
  </si>
  <si>
    <t>30-12-2025 17:45:04</t>
  </si>
  <si>
    <t>901484212</t>
  </si>
  <si>
    <t>GRUPO RUEDA ARDILA S.A.S</t>
  </si>
  <si>
    <t>Documento equivalente POS</t>
  </si>
  <si>
    <t>b5bf19132e4a154eb66dd6052c3aa920dd4f16b794701f58f4f8b95f57cf9241d547a8c542bb480d9a260cde58709b06</t>
  </si>
  <si>
    <t>5903</t>
  </si>
  <si>
    <t>PVE</t>
  </si>
  <si>
    <t>42</t>
  </si>
  <si>
    <t>30-12-2025 17:39:06</t>
  </si>
  <si>
    <t>901320114</t>
  </si>
  <si>
    <t>CLEAN PERSIANAS S.A.S.</t>
  </si>
  <si>
    <t>DEKOINSPIRA S.A.S.</t>
  </si>
  <si>
    <t>2ad808a15fa2abf11557106e21548e793d4ba610f1aba77b05b093f920a97f4a2f83c022b2fb172ba7b45ba932e1f507</t>
  </si>
  <si>
    <t>301209</t>
  </si>
  <si>
    <t>PERN</t>
  </si>
  <si>
    <t>2</t>
  </si>
  <si>
    <t>30</t>
  </si>
  <si>
    <t>30-12-2025 15:05:19</t>
  </si>
  <si>
    <t>800165815</t>
  </si>
  <si>
    <t>TEXTILES 1 x 1 SAS</t>
  </si>
  <si>
    <t>1ffacc4c2b291b98678da7fbbeaf1428811290bf2c48d6b7ab124e86791455562a944bb41f5e79e282185ca03d9b980d</t>
  </si>
  <si>
    <t>301118</t>
  </si>
  <si>
    <t>30-12-2025 09:02:04</t>
  </si>
  <si>
    <t>adef4e171050cf53d15efd49d863b14f5bdd3fbf781dd657d792f11d18b25936c66da061e654eaffee1ba7b361b7121d</t>
  </si>
  <si>
    <t>301067</t>
  </si>
  <si>
    <t>29-12-2025</t>
  </si>
  <si>
    <t>29-12-2025 16:45:23</t>
  </si>
  <si>
    <t>91d87cef52d0fdbec07b803c81e6a311131d0007110d4b47c7572b5f0135c0578dc98f99eaa87720a08c98362165452e</t>
  </si>
  <si>
    <t>45962</t>
  </si>
  <si>
    <t>84</t>
  </si>
  <si>
    <t>10</t>
  </si>
  <si>
    <t>29-12-2025 09:30:15</t>
  </si>
  <si>
    <t>860001965</t>
  </si>
  <si>
    <t>TEXTILES LAFAYETTE SAS PUDIENDO GIRAR BAJO LA RAZON SOCIAL TELAS LAFAYETTE SAS O SIMPLEMENTE LAFAYETTE SAS</t>
  </si>
  <si>
    <t>Dekoinspira sas</t>
  </si>
  <si>
    <t>a0267a892948d23389d3f8b138d76b8c855b8f899ed7d3869329e271b395f6b08b128bdb9ec4c19ad849470a91a252f7</t>
  </si>
  <si>
    <t>260624</t>
  </si>
  <si>
    <t>COFE</t>
  </si>
  <si>
    <t>27-12-2025</t>
  </si>
  <si>
    <t>27-12-2025 18:01:37</t>
  </si>
  <si>
    <t>900319753</t>
  </si>
  <si>
    <t>PRICESMART COLOMBIA S.A.S.</t>
  </si>
  <si>
    <t>DEKOINSPIRA S.A.S</t>
  </si>
  <si>
    <t>f86d4f04994e887ed18bfac7f357e52cc62aff8180b899d8af8d28bebdd270af6056c00b005c3201da90e414b85a569c</t>
  </si>
  <si>
    <t>104005929</t>
  </si>
  <si>
    <t>04FT</t>
  </si>
  <si>
    <t>48</t>
  </si>
  <si>
    <t>27-12-2025 16:33:49</t>
  </si>
  <si>
    <t>900059238</t>
  </si>
  <si>
    <t>MAKRO SUPERMAYORISTA S.A.S</t>
  </si>
  <si>
    <t>DEKOINSPIRA SAS.</t>
  </si>
  <si>
    <t>68af123a719b66fd4f84d440bbd90c137105d11842e92585d5c7c84302675778fdc28de9fcd01584e07b013c25be2081</t>
  </si>
  <si>
    <t>735906</t>
  </si>
  <si>
    <t>MKNE</t>
  </si>
  <si>
    <t>27-12-2025 12:31:10</t>
  </si>
  <si>
    <t>811009788</t>
  </si>
  <si>
    <t>DISTRACOM S.A.</t>
  </si>
  <si>
    <t xml:space="preserve">dekoinspira sas </t>
  </si>
  <si>
    <t>8041e235541a6a150bde41f58f57901739569e8189dafd5d135d8116dfaf7b2611ef15d53721a4d8e24d7a3fac275c11</t>
  </si>
  <si>
    <t>45874</t>
  </si>
  <si>
    <t>24-12-2025</t>
  </si>
  <si>
    <t>24-12-2025 08:56:15</t>
  </si>
  <si>
    <t>01185d221c040dc4aee478712c4f638cce53c8e953baad387b18331dceb6c50ad843e476c5a2e1451bb267b2b74c8086</t>
  </si>
  <si>
    <t>9767</t>
  </si>
  <si>
    <t>POS</t>
  </si>
  <si>
    <t>23-12-2025</t>
  </si>
  <si>
    <t>23-12-2025 09:23:20</t>
  </si>
  <si>
    <t>901571419</t>
  </si>
  <si>
    <t>SUGAR ROSE SAS</t>
  </si>
  <si>
    <t>DEKOINSPIRA S.A.S. S.A.S.</t>
  </si>
  <si>
    <t>7e5e6177f9c4f04fadc2b6f9a89575f5c272f6500e18453706cb5028bf9959c7034c572a9a80f006e2ffef3b56467a2d</t>
  </si>
  <si>
    <t>30815</t>
  </si>
  <si>
    <t>ALA</t>
  </si>
  <si>
    <t>23-12-2025 08:55:15</t>
  </si>
  <si>
    <t>901873198</t>
  </si>
  <si>
    <t>SEDE ALAMEDA</t>
  </si>
  <si>
    <t>3a0a7d23991976679ff01e6c92465acc0ab36aa4a58c9c77d74c77263bf3a111b01a6be5c2b2299944b672a285bcccdc</t>
  </si>
  <si>
    <t>37889</t>
  </si>
  <si>
    <t>P31A</t>
  </si>
  <si>
    <t>22-12-2025</t>
  </si>
  <si>
    <t>22-12-2025 14:41:59</t>
  </si>
  <si>
    <t>890102603</t>
  </si>
  <si>
    <t>GRUPO MI CORRAL S.A</t>
  </si>
  <si>
    <t>DEKO INSPIRA SAS</t>
  </si>
  <si>
    <t>31ca36c844d2522d048404d433b36e4d4cce3020b32cf03c434e966613593b09a042f0546b02e0059521d757e2e68edb</t>
  </si>
  <si>
    <t>77621</t>
  </si>
  <si>
    <t>O80B</t>
  </si>
  <si>
    <t>22-12-2025 09:38:15</t>
  </si>
  <si>
    <t>900480569</t>
  </si>
  <si>
    <t>JERONIMO MARTINS COLOMBIA S.A.S.</t>
  </si>
  <si>
    <t>7f9688bdf20e46619387d94f15ff9f2208433c880c163229b87d444e4bac785b777df04118d065f46ec880821445e590</t>
  </si>
  <si>
    <t>77620</t>
  </si>
  <si>
    <t>22-12-2025 09:33:09</t>
  </si>
  <si>
    <t>38cef798629de372f8f41988a0dcae404fd5e9053b4c057cbe04debc944fbb1b3975643d532fccd0057c68ef32cfc17e</t>
  </si>
  <si>
    <t>100382325</t>
  </si>
  <si>
    <t>5014</t>
  </si>
  <si>
    <t>21-12-2025</t>
  </si>
  <si>
    <t>21-12-2025 13:32:24</t>
  </si>
  <si>
    <t>800242106</t>
  </si>
  <si>
    <t>SODIMAC COLOMBIA S.A.</t>
  </si>
  <si>
    <t>dekoinspira sas .</t>
  </si>
  <si>
    <t>58a22fdc4034b42c4b6aadbae99e7c72fa2475beea3829af52c09b36a1f279c7fb71a39f426b1f172500557bab86504b</t>
  </si>
  <si>
    <t>148036710</t>
  </si>
  <si>
    <t>21-12-2025 12:17:41</t>
  </si>
  <si>
    <t>569a98f6dbdc383a32e1e24eb421f5d380bb63fa6d10fd724d3c894767dcc1760346558fe9e5a4b187fc68f3e3578db5</t>
  </si>
  <si>
    <t>110990</t>
  </si>
  <si>
    <t>20-12-2025</t>
  </si>
  <si>
    <t>20-12-2025 14:31:45</t>
  </si>
  <si>
    <t>9e666881c7670604aa3f13a0ad07353d01ae13b3f9dcae1ccf1ca0cc9268974ca6ddd3e15b53f04cbbe544696a828c6f</t>
  </si>
  <si>
    <t>300232</t>
  </si>
  <si>
    <t>18-12-2025</t>
  </si>
  <si>
    <t>18-12-2025 15:18:15</t>
  </si>
  <si>
    <t>c0915d933916b4d1f09f1e5111a2e82fd49f4b5a87caf9f059cc10b07d1261aea284040c9b5b4c49fba82dd37c6a2d27</t>
  </si>
  <si>
    <t>300259</t>
  </si>
  <si>
    <t>18-12-2025 15:17:16</t>
  </si>
  <si>
    <t>494d17948e2f2d1cfd822bb0816f31a861f6cf00d91b4efb1d5c01b7f1d854bea51c6f05a0092a6fb9db3830600354d2</t>
  </si>
  <si>
    <t>6383</t>
  </si>
  <si>
    <t>FE</t>
  </si>
  <si>
    <t>ZZZ</t>
  </si>
  <si>
    <t>17-12-2025</t>
  </si>
  <si>
    <t>17-12-2025 16:17:19</t>
  </si>
  <si>
    <t>f3a64819283ed1281a3efa543685f75e956983b90639f422677d00de62756b730b907215c6517a2cf1b4d43c89a4efec</t>
  </si>
  <si>
    <t>685589</t>
  </si>
  <si>
    <t>FCOL</t>
  </si>
  <si>
    <t>16-12-2025</t>
  </si>
  <si>
    <t>16-12-2025 13:22:16</t>
  </si>
  <si>
    <t>900230625</t>
  </si>
  <si>
    <t>ESTACION DE SERVICIO COLISEO S.A</t>
  </si>
  <si>
    <t>b0f4bb8e585e7679d8fd2f9ecb5d82834dbc8e30aa265406656a1cb07110b44598b20a3cbbc982c373bfb7d8811296b1</t>
  </si>
  <si>
    <t>140720</t>
  </si>
  <si>
    <t>518</t>
  </si>
  <si>
    <t>16-12-2025 13:05:29</t>
  </si>
  <si>
    <t>811028650</t>
  </si>
  <si>
    <t>MADECENTRO COLOMBIA SAS</t>
  </si>
  <si>
    <t>51c9b8dc8f4d0a3c3a21729e4b0745940bb39bb663c5781f485d52781ef87fdf05d55d07da060c9f4bce899dda7bf09d</t>
  </si>
  <si>
    <t>25857</t>
  </si>
  <si>
    <t>POP</t>
  </si>
  <si>
    <t>13-12-2025</t>
  </si>
  <si>
    <t>13-12-2025 12:06:29</t>
  </si>
  <si>
    <t>FERRETERIA PONQUIFON SEDE 93</t>
  </si>
  <si>
    <t>0aa1f670bbbc66844bf13910052398c6ad1ce140e55b13a958236208ea9b5b5c3d5490165c4b81908b11dd22b8c65a2e</t>
  </si>
  <si>
    <t>9299565</t>
  </si>
  <si>
    <t>FECO</t>
  </si>
  <si>
    <t>12-12-2025</t>
  </si>
  <si>
    <t>12-12-2025 11:31:23</t>
  </si>
  <si>
    <t>5e5b07917b021c2ba225440d35efb5f61863511414136d0dfd0a396d0ea43083420b17c17e1a44453b6fabb878580001</t>
  </si>
  <si>
    <t>385548673</t>
  </si>
  <si>
    <t>FE64</t>
  </si>
  <si>
    <t>11-12-2025</t>
  </si>
  <si>
    <t>11-12-2025 19:10:39</t>
  </si>
  <si>
    <t>802002267</t>
  </si>
  <si>
    <t>TEXVIGAR S.A.S.</t>
  </si>
  <si>
    <t>DEKOINSPIRA  S.A.S</t>
  </si>
  <si>
    <t>8be51c722597195a8d160fb9578807901080a0662e03703c437e490a5313a85697299cf89c20222d530f1edd90d5227e</t>
  </si>
  <si>
    <t>385548666</t>
  </si>
  <si>
    <t>11-12-2025 17:47:50</t>
  </si>
  <si>
    <t>82be5362a837aed40d899424eacc72e4e4f1e4c5fe90a39d25b24122b970ece37d6f494fb2a3f73a0604d3e6cbfe4e22</t>
  </si>
  <si>
    <t>273246</t>
  </si>
  <si>
    <t>11-12-2025 16:19:30</t>
  </si>
  <si>
    <t>901316914</t>
  </si>
  <si>
    <t>INVERSIONES K&amp;A S.A.S</t>
  </si>
  <si>
    <t>DEKOINSPIRA S.A.S .</t>
  </si>
  <si>
    <t>b8f11dc4218f4f92fa64cb2d5eadab1bbd22aa8fb16826f853f48baa85b0ad97d343c47783dbc1925e9d79cf51435697</t>
  </si>
  <si>
    <t>140334</t>
  </si>
  <si>
    <t>11-12-2025 15:32:18</t>
  </si>
  <si>
    <t>4adf7f384a8643b59de3bf412c0b63fb90268a2fa79288c8160a11bcdc1a464932c1aa3c225d4422387aac9ac67ea65b</t>
  </si>
  <si>
    <t>6352</t>
  </si>
  <si>
    <t>09-12-2025</t>
  </si>
  <si>
    <t>09-12-2025 17:32:07</t>
  </si>
  <si>
    <t>1ce6c1d1bac9d605ab75433852ea2db98104fa7c6298deb88ba60e7466412c6698c1c74b81560f42e5eb56b52c603b5c</t>
  </si>
  <si>
    <t>100330905</t>
  </si>
  <si>
    <t>5012</t>
  </si>
  <si>
    <t>09-12-2025 08:56:00</t>
  </si>
  <si>
    <t>50bbe510f28db993220e492ad4fe4a28c65df0cb7ee9a56313d9498202ec21353ea688058bb1e269eb22fbd076a1fcfe</t>
  </si>
  <si>
    <t>106868</t>
  </si>
  <si>
    <t>TESC</t>
  </si>
  <si>
    <t>06-12-2025</t>
  </si>
  <si>
    <t>06-12-2025 12:28:48</t>
  </si>
  <si>
    <t>901844029</t>
  </si>
  <si>
    <t>TEXAS ENERGY STAR S.A.S.</t>
  </si>
  <si>
    <t xml:space="preserve">DEKOINSPIRA S.A.S.  </t>
  </si>
  <si>
    <t>4937df405c7ab9258e31cdc7fcea948216f2a605ef44463696da56168afabab13b8acac483525e41bdee869dd3a41d80</t>
  </si>
  <si>
    <t>30989</t>
  </si>
  <si>
    <t>5262</t>
  </si>
  <si>
    <t>05-12-2025</t>
  </si>
  <si>
    <t>05-12-2025 18:24:22</t>
  </si>
  <si>
    <t>85cd0dafd41d47b82eb5aeae201f88a3ea2ff8689907d452117749c2bf67f8c7aca774337ba9c268d887f31357afac01</t>
  </si>
  <si>
    <t>63337</t>
  </si>
  <si>
    <t>EH</t>
  </si>
  <si>
    <t>05-12-2025 17:28:20</t>
  </si>
  <si>
    <t>800165720</t>
  </si>
  <si>
    <t>ALCANTARA ASOCIADOS S.A.S.</t>
  </si>
  <si>
    <t>98e4455ffe3553a05249faa0e2658fa3e88d6e69677107237a8a840549481c84808c51312323ad2dc757417b9114d27f</t>
  </si>
  <si>
    <t>3406659</t>
  </si>
  <si>
    <t/>
  </si>
  <si>
    <t>05-12-2025 11:06:57</t>
  </si>
  <si>
    <t>802004266</t>
  </si>
  <si>
    <t>FERRETERIA METROPOLIS S.A.S.</t>
  </si>
  <si>
    <t>67f3b39535b18679958e060c64c10fa3d41a6bb480182929dc98f411e63978924f901551da441e5b799dff8e0eeaf2f7</t>
  </si>
  <si>
    <t>139771</t>
  </si>
  <si>
    <t>04-12-2025</t>
  </si>
  <si>
    <t>04-12-2025 09:56:33</t>
  </si>
  <si>
    <t>0ef5463f0a08867f075a23337fab77d772771fdd7f04ea917231a041793f84a2d0fef8a74799094bc43bd5226f2e4c7a</t>
  </si>
  <si>
    <t>6341</t>
  </si>
  <si>
    <t>03-12-2025</t>
  </si>
  <si>
    <t>03-12-2025 17:28:59</t>
  </si>
  <si>
    <t>1a4044fd7520bbcd78189446c069f515d4770307f3bed8c9e41e9ac5aaee8585babfc4872507abe27649454acbef07b3</t>
  </si>
  <si>
    <t>9065276</t>
  </si>
  <si>
    <t>03-12-2025 12:01:42</t>
  </si>
  <si>
    <t>6a17195e3faedda5ea71e14b2b82938b3ce1fdd54dd18852b49922168116a354a7acdcc21fc483d8af08b7baecca0549</t>
  </si>
  <si>
    <t>9065264</t>
  </si>
  <si>
    <t>03-12-2025 12:01:40</t>
  </si>
  <si>
    <t>c4ec037a3a4513d297b256590a75cfdb8dab304f79efb0714ca994c13cbaf8b1c6a7cc9ad473a27a988dbbee0516d50d</t>
  </si>
  <si>
    <t>260952</t>
  </si>
  <si>
    <t>MA</t>
  </si>
  <si>
    <t>02-12-2025</t>
  </si>
  <si>
    <t>02-12-2025 17:23:22</t>
  </si>
  <si>
    <t>900214193</t>
  </si>
  <si>
    <t>INVERSIONES COMBGAS S.A.S</t>
  </si>
  <si>
    <t>DEKO INSPIRA SAS .</t>
  </si>
  <si>
    <t>8d8226a7e42a078c4b86423355a6ced43f8fe270732982dd58ffadc158aa8fdc681a35204e2eaa31b9ddc736df41cb2a</t>
  </si>
  <si>
    <t>9018280</t>
  </si>
  <si>
    <t>01-12-2025</t>
  </si>
  <si>
    <t>01-12-2025 12:02:11</t>
  </si>
  <si>
    <t>3566d60a827935e96875d908f015dcbe76045217413521774331e957c2c3378d9f56e6d7b34f030ac7c11166993ecadb</t>
  </si>
  <si>
    <t>45197</t>
  </si>
  <si>
    <t>01-12-2025 09:51:11</t>
  </si>
  <si>
    <t>71506d26a86afafdb6a9ca8c291ba9b715399d2a65ec69fb6e674aa1884ccf6cb0713d7e6f040c45f6cc85631ff1aa08</t>
  </si>
  <si>
    <t>1543</t>
  </si>
  <si>
    <t>BN</t>
  </si>
  <si>
    <t>01-12-2025 08:48:52</t>
  </si>
  <si>
    <t>816008774</t>
  </si>
  <si>
    <t>METALES Y MADERAS DEL RISARALDA S.A.S</t>
  </si>
  <si>
    <t>e4c09cf4686b408226d83e097f3ded07e1f03fc4cb86c79022131a8056f3a2c6481ee84b4fe2ad434e0d7319275c9e1d</t>
  </si>
  <si>
    <t>22492</t>
  </si>
  <si>
    <t>E51B</t>
  </si>
  <si>
    <t>30-11-2025</t>
  </si>
  <si>
    <t>30-11-2025 20:07:17</t>
  </si>
  <si>
    <t>890115294</t>
  </si>
  <si>
    <t>HOT AMERICA`S FAVORITE PIZZA S.A.S</t>
  </si>
  <si>
    <t>8dfb0e4081bda6d3b25fb991ca0fbbff7fde581f55d10ae04c4ee865a3026e6e1752aa9a735d659f41d5239e8010b6b7</t>
  </si>
  <si>
    <t>6327</t>
  </si>
  <si>
    <t>29-11-2025</t>
  </si>
  <si>
    <t>29-11-2025 11:39:10</t>
  </si>
  <si>
    <t>a18bf23e474b2e1e86029c9a560a0cec474b40ce135c88d72746e8609d9da7822c10f9993efb06aa68930960b4a38a29</t>
  </si>
  <si>
    <t>300853</t>
  </si>
  <si>
    <t>FEC</t>
  </si>
  <si>
    <t>27-11-2025</t>
  </si>
  <si>
    <t>27-11-2025 09:10:05</t>
  </si>
  <si>
    <t>8674041</t>
  </si>
  <si>
    <t>ENRIQUE RICARDO HENRIQUEZ ARAZO</t>
  </si>
  <si>
    <t>524023f16552b0c569d0737d9c9eabe4b20d05f6650de74816029535fc88e2de0e27ac31dece4cb818e09d02bb53d0e6</t>
  </si>
  <si>
    <t>1508</t>
  </si>
  <si>
    <t>25-11-2025</t>
  </si>
  <si>
    <t>25-11-2025 12:13:06</t>
  </si>
  <si>
    <t>a0ac89ef03c4b671772ca06cd155183cdfa806aeea46a465f766a82172067dc490d38dde000f87eacc6e9d36b2bce180</t>
  </si>
  <si>
    <t>1224833</t>
  </si>
  <si>
    <t>F6R1</t>
  </si>
  <si>
    <t>24-11-2025</t>
  </si>
  <si>
    <t>24-11-2025 11:12:27</t>
  </si>
  <si>
    <t>900943243</t>
  </si>
  <si>
    <t>SURAMERICA COMERCIAL S.A.S</t>
  </si>
  <si>
    <t>34ffe943ab2f49b3d7d01a6e8fe238532b836bb2bc7959b48400050b7fe4cc33795c11a11fb108c38be220f144aeb05d</t>
  </si>
  <si>
    <t>1498</t>
  </si>
  <si>
    <t>22-11-2025</t>
  </si>
  <si>
    <t>22-11-2025 12:34:41</t>
  </si>
  <si>
    <t>4498de0bf816d57421fc10cf87602a801ebb4f5c20543bb27fc5d89af45852242d7e93f25f0e7918f74c1989bd382608</t>
  </si>
  <si>
    <t>211395</t>
  </si>
  <si>
    <t>S2UR</t>
  </si>
  <si>
    <t>20-11-2025</t>
  </si>
  <si>
    <t>20-11-2025 11:02:02</t>
  </si>
  <si>
    <t>800051755</t>
  </si>
  <si>
    <t>NULE MARINO &amp; COMPAÑIA SAS</t>
  </si>
  <si>
    <t>DEKOINSPIRA</t>
  </si>
  <si>
    <t>9de1937041832fea341d15f97a4221b06374c51a70b2348cf6203c0a76e5a12cb8aeef81aafa1e7e36815a591f8a2517</t>
  </si>
  <si>
    <t>108128</t>
  </si>
  <si>
    <t>18-11-2025</t>
  </si>
  <si>
    <t>18-11-2025 17:42:07</t>
  </si>
  <si>
    <t>b045dd524b4f9dbaa7b9583ad54ab3c1a187c1fe940dd52bade02bdfb3624b72380e76b5602162296102d27cc7bccf37</t>
  </si>
  <si>
    <t>649992</t>
  </si>
  <si>
    <t>18-11-2025 12:29:31</t>
  </si>
  <si>
    <t>eba418e33522571cd6a180757867b5475452f95deb94b4ab7778a0a698a362d507b543e665a5d32b6e056bd8558cfa91</t>
  </si>
  <si>
    <t>2220</t>
  </si>
  <si>
    <t>ABUI</t>
  </si>
  <si>
    <t>17-11-2025</t>
  </si>
  <si>
    <t>17-11-2025 14:57:51</t>
  </si>
  <si>
    <t>802023507</t>
  </si>
  <si>
    <t>CONNY DE LA COSTA S.A.S.</t>
  </si>
  <si>
    <t>47463c7c111926704d7c9c2d68e046532eaa3280548d212a2e5208b0f3bb22cfc618dc0a57b7fb6f03414f2c981e48f3</t>
  </si>
  <si>
    <t>5134</t>
  </si>
  <si>
    <t>ABU</t>
  </si>
  <si>
    <t>17-11-2025 14:57:34</t>
  </si>
  <si>
    <t>Nota de crédito electrónica</t>
  </si>
  <si>
    <t>5778edaa9f80f05a8e0521a413b8e4594d7e04a572e6f9b8fe560c7331b14514aafc9b5cf2b5de6e761607e0e10490a2</t>
  </si>
  <si>
    <t>115</t>
  </si>
  <si>
    <t>NCEA</t>
  </si>
  <si>
    <t>17-11-2025 14:50:33</t>
  </si>
  <si>
    <t>82fdfb04799adf2d88e2403821cc90e3a762c56456a112e1415aeb69c95eae7e3087a4a6fb37f1b96b681f29879d5305</t>
  </si>
  <si>
    <t>114</t>
  </si>
  <si>
    <t>17-11-2025 14:50:31</t>
  </si>
  <si>
    <t>7968bb4464e4d827926b130b8e0fab535901eadfeb3b5984c4bcbe87e994d3e7a4ca3db75d3ed92c7cb86c7d6c85212d</t>
  </si>
  <si>
    <t>2190</t>
  </si>
  <si>
    <t>16-11-2025</t>
  </si>
  <si>
    <t>16-11-2025 15:40:44</t>
  </si>
  <si>
    <t>4d29439041d686cf5a67f0719d3d8be360f1e139a29e7aedc072d868fddbed8e29854111274ddbf70e77d2bbfcbf57a9</t>
  </si>
  <si>
    <t>2143</t>
  </si>
  <si>
    <t>15-11-2025</t>
  </si>
  <si>
    <t>15-11-2025 16:45:43</t>
  </si>
  <si>
    <t>fd3a18d5b5cb64667f0a30f3d8519ffb4177758536f079929621dc6c150f3477161f804f4766427ac19bc36334ab8b00</t>
  </si>
  <si>
    <t>5052</t>
  </si>
  <si>
    <t>15-11-2025 16:40:15</t>
  </si>
  <si>
    <t>6f053cd30c98d780dcfa3716af342c170bfe7ab67fb27fa06c11a63e9e78d35929b463d76cc43a23e1b8a33b5754180b</t>
  </si>
  <si>
    <t>5047</t>
  </si>
  <si>
    <t>15-11-2025 15:55:40</t>
  </si>
  <si>
    <t>b71a9269728df4906b0caa3100c33b146395b2b11649650d3c02818d2396ea73127b4c49654551bc03f725bdff334240</t>
  </si>
  <si>
    <t>138170</t>
  </si>
  <si>
    <t>13-11-2025</t>
  </si>
  <si>
    <t>13-11-2025 15:45:30</t>
  </si>
  <si>
    <t>824017505110018b195551ae914cbc23e1b5da128e0a58d15ed096dc805892b49f5c56b4fcffb9ecc8098151f3a6e10b</t>
  </si>
  <si>
    <t>644213</t>
  </si>
  <si>
    <t>13-11-2025 15:42:20</t>
  </si>
  <si>
    <t>63a7cca391770bca6ba37de4d5d3711f0c11d3c6b4ee130627174f42f2f487d0f9bbf77afae47d8d0d2e95278742674c</t>
  </si>
  <si>
    <t>44594</t>
  </si>
  <si>
    <t>10-11-2025</t>
  </si>
  <si>
    <t>10-11-2025 14:05:41</t>
  </si>
  <si>
    <t>70d924ce87e88b749620cd9e5aecf1570b2642f011537af506624a43276b368d0d368b03d75e85e55674b5997b34c4d0</t>
  </si>
  <si>
    <t>669847</t>
  </si>
  <si>
    <t>09-11-2025</t>
  </si>
  <si>
    <t>09-11-2025 15:47:42</t>
  </si>
  <si>
    <t>60ab17cd9224011d9bc1692e01e64f053b192e45f1b6e5d8cd39757d2962642a37bb1b7f5be8befe696df71abc305ed3</t>
  </si>
  <si>
    <t>23168</t>
  </si>
  <si>
    <t>R07E</t>
  </si>
  <si>
    <t>09-11-2025 13:35:15</t>
  </si>
  <si>
    <t>802006391</t>
  </si>
  <si>
    <t>CREPES CARIBE S.A.</t>
  </si>
  <si>
    <t>6744deedb86a7d8603d9ddc35e96543baf1286d137781e0a1903bc9760dca5c3a6efb7b9372c8aecd89223fbaebbd635</t>
  </si>
  <si>
    <t>2240</t>
  </si>
  <si>
    <t>MFB</t>
  </si>
  <si>
    <t>09-11-2025 12:02:01</t>
  </si>
  <si>
    <t>901869171</t>
  </si>
  <si>
    <t>MUNDO FERRETERO BAQ S.A.S.</t>
  </si>
  <si>
    <t>afd6aa1a5a72797df0152cc7865843297e12e7f6c6392bba9b7bef65d09d383004df686ab12f7c67bc0529d9b3ac7cd0</t>
  </si>
  <si>
    <t>137618</t>
  </si>
  <si>
    <t>07-11-2025</t>
  </si>
  <si>
    <t>07-11-2025 12:21:25</t>
  </si>
  <si>
    <t>c5cb06757fc57c9c6a33924dc635a0cb61f83a9b98e17cf1c64b5f9c3bee138d60853778edf13d0d80e2222a474317b4</t>
  </si>
  <si>
    <t>26190</t>
  </si>
  <si>
    <t>07-11-2025 10:22:20</t>
  </si>
  <si>
    <t>4d962804cf8115fde8002c43ff4595190c9e62847256b45a589eaf24453234143f4c8e11acd443dee213e23a04b00fbf</t>
  </si>
  <si>
    <t>148026399</t>
  </si>
  <si>
    <t>05-11-2025</t>
  </si>
  <si>
    <t>05-11-2025 08:07:24</t>
  </si>
  <si>
    <t>5b3fb4e2906bd1164789fc3a9f58a44afb1c73820b97bb836b18583736bf9d99e2b8d71d86cc2c576d7f31671b485d0e</t>
  </si>
  <si>
    <t>21993</t>
  </si>
  <si>
    <t>01-11-2025</t>
  </si>
  <si>
    <t>01-11-2025 16:10:05</t>
  </si>
  <si>
    <t>b5a754c82a80102ccc5f136423385dd423f25606d18de5d2e6f03072f001cf26340029a9e7407ed8735829d395e6d7bb</t>
  </si>
  <si>
    <t>34863</t>
  </si>
  <si>
    <t>W</t>
  </si>
  <si>
    <t>30-10-2025</t>
  </si>
  <si>
    <t>30-10-2025 15:17:30</t>
  </si>
  <si>
    <t>900986550</t>
  </si>
  <si>
    <t>WALL DE COLOMBIA S.A.S.</t>
  </si>
  <si>
    <t>6814ec359c99fac37e2c72c45a6876bd4cca63c2d943384d99a67a954fd553e3b1cb02922ea2a31853f4c368bf75214e</t>
  </si>
  <si>
    <t>863239</t>
  </si>
  <si>
    <t>CAST</t>
  </si>
  <si>
    <t>29-10-2025</t>
  </si>
  <si>
    <t>29-10-2025 09:06:27</t>
  </si>
  <si>
    <t>802017066</t>
  </si>
  <si>
    <t>SODICSA S.A.S</t>
  </si>
  <si>
    <t>19b3f7aefcf6c72fc920ba56a545b7eae33db87b7f9fa8b209ed2fed58e565880565573d922d6de17fbdba0c002ec254</t>
  </si>
  <si>
    <t>22476</t>
  </si>
  <si>
    <t>APO</t>
  </si>
  <si>
    <t>28-10-2025</t>
  </si>
  <si>
    <t>28-10-2025 14:41:22</t>
  </si>
  <si>
    <t>900834289</t>
  </si>
  <si>
    <t>A PORTER SAS</t>
  </si>
  <si>
    <t>9a4faf5ff88d526f6eee1029d30d782319d20a1034605cc47bf2da0fa72c9bf38bcc69552d76527a677edc8f7747b402</t>
  </si>
  <si>
    <t>23342</t>
  </si>
  <si>
    <t>FEPV</t>
  </si>
  <si>
    <t>25-10-2025</t>
  </si>
  <si>
    <t>25-10-2025 11:01:07</t>
  </si>
  <si>
    <t>900309367</t>
  </si>
  <si>
    <t>SANTA MARIA DEL MAR S.A.S</t>
  </si>
  <si>
    <t>33884f525ffd7a5d7b3a21dd6098b504cb665be6161b31c2dfe19f72a1f48eea5393ded9c331ec574c7d74b69f2fc514</t>
  </si>
  <si>
    <t>3804454</t>
  </si>
  <si>
    <t>NC</t>
  </si>
  <si>
    <t>24-10-2025</t>
  </si>
  <si>
    <t>24-10-2025 12:09:28</t>
  </si>
  <si>
    <t>9b7bfd8fe2da471ff5d29d31950a8fc7c3ed4b297a541e7d8441decd8f3d4555106ab8c22638f5e14603b9ac0280e259</t>
  </si>
  <si>
    <t>100351036</t>
  </si>
  <si>
    <t>5008</t>
  </si>
  <si>
    <t>19-09-2025</t>
  </si>
  <si>
    <t>19-09-2025 11:52:40</t>
  </si>
  <si>
    <t>1c48551bff9c8096957352380fd5fcb8e11fbadceab8d9ee3ce5c5c9104399c4dedcf43c640cd02b663f3002068d871d</t>
  </si>
  <si>
    <t>100393038</t>
  </si>
  <si>
    <t>5002</t>
  </si>
  <si>
    <t>24-10-2025 09:33:54</t>
  </si>
  <si>
    <t>b032b85769abc9762212b6ef532451e1fc491f8f6e4f2d7b1bd009c48bc680e6d4c05d53bfbfb5f2b2ef6bc9fbaa10f9</t>
  </si>
  <si>
    <t>20864</t>
  </si>
  <si>
    <t>ROS</t>
  </si>
  <si>
    <t>23-10-2025</t>
  </si>
  <si>
    <t>23-10-2025 09:05:15</t>
  </si>
  <si>
    <t>SEDE ROSALES</t>
  </si>
  <si>
    <t>f6c94190aedd11a50c56b7f67af4b5dc862f80c11daf6faeeac360cf8a4c9bf78885dde3093d93fde8b98177ee80e841</t>
  </si>
  <si>
    <t>50011</t>
  </si>
  <si>
    <t>J0Z1</t>
  </si>
  <si>
    <t>19-10-2025</t>
  </si>
  <si>
    <t>19-10-2025 15:55:17</t>
  </si>
  <si>
    <t>900276962</t>
  </si>
  <si>
    <t>D1 S A S</t>
  </si>
  <si>
    <t>2c0573eb35819e7df5169e776065dfd70343036e04718eca0f4e73cda5aa15ec1f374efd6fda37a789726316ea68a35f</t>
  </si>
  <si>
    <t>5486</t>
  </si>
  <si>
    <t>FVE</t>
  </si>
  <si>
    <t>18-10-2025</t>
  </si>
  <si>
    <t>18-10-2025 11:39:15</t>
  </si>
  <si>
    <t>901639056</t>
  </si>
  <si>
    <t>PERSIANAS GAMADEKO S.A.S.</t>
  </si>
  <si>
    <t>7762b7b0a46186c4c6ea0ea67a7182b4387f42cdf16174dd95c131ffaafbae236c9a7aa77b36834a63fbba14252ff9f3</t>
  </si>
  <si>
    <t>5416</t>
  </si>
  <si>
    <t>09-10-2025</t>
  </si>
  <si>
    <t>09-10-2025 16:14:17</t>
  </si>
  <si>
    <t>c02208d99679a088a0378c1543742695f6f76dd0a006df676b194dfbb8a4392a9d2331721e254257527495cb32fe4e9d</t>
  </si>
  <si>
    <t>22249</t>
  </si>
  <si>
    <t>07-10-2025</t>
  </si>
  <si>
    <t>07-10-2025 15:38:09</t>
  </si>
  <si>
    <t>2817d3fa067347c407d807372e6c1f9a0e36fbd419f5cb489aa3863670c8bdcdfbe6810ea1cf6df3d4d9469326bbc151</t>
  </si>
  <si>
    <t>593928</t>
  </si>
  <si>
    <t>04-10-2025</t>
  </si>
  <si>
    <t>04-10-2025 17:18:49</t>
  </si>
  <si>
    <t>ab09da4f3d59742707ef6860ae05c5f69aaa49a16079e545a877119eb44857157df04ab6c07293a9032401a78257a88c</t>
  </si>
  <si>
    <t>22137</t>
  </si>
  <si>
    <t>29-09-2025</t>
  </si>
  <si>
    <t>29-09-2025 15:14:11</t>
  </si>
  <si>
    <t>2ff77d6497a5b48da0a6911350f3707ee1dee1adec1a8affedbb991e4716d1313f6346a0782d927376c0268f2b20a46e</t>
  </si>
  <si>
    <t>356310</t>
  </si>
  <si>
    <t>FCMA</t>
  </si>
  <si>
    <t>29-09-2025 10:34:51</t>
  </si>
  <si>
    <t>f0d46b4173751c15ccaf2366cb15ab74ad6672f70c4c8e08c73a7f7da40d6a0f7957f6cc1846814590f2384be07660d0</t>
  </si>
  <si>
    <t>100338798</t>
  </si>
  <si>
    <t>5003</t>
  </si>
  <si>
    <t>21-09-2025</t>
  </si>
  <si>
    <t>21-09-2025 17:05:55</t>
  </si>
  <si>
    <t>989d6a2f56ca036bd6dfbb0a3a2c4656884c077ac94eb02a3f8d3984a0c57e3f9193a650ca69343e609cc4ac85474c72</t>
  </si>
  <si>
    <t>100338797</t>
  </si>
  <si>
    <t>21-09-2025 17:03:38</t>
  </si>
  <si>
    <t>af4a32bb51ea8bd254ff2e469903c4e9a1e6da2d6546595e1fb5344649c550b34baf52738ea3dc1d71e75509e8fd5b68</t>
  </si>
  <si>
    <t>133635</t>
  </si>
  <si>
    <t>31</t>
  </si>
  <si>
    <t>17-09-2025</t>
  </si>
  <si>
    <t>17-09-2025 12:32:04</t>
  </si>
  <si>
    <t>a09f3a8ef93166f6dd78a369c88c380cc36925eb66067ecc067c463a863248fe164aa1005dabe0c8edd4310d9c9070eb</t>
  </si>
  <si>
    <t>NC00803609</t>
  </si>
  <si>
    <t>17-09-2025 12:30:05</t>
  </si>
  <si>
    <t>a80a572f23987372c22792a598209928780654623e417d9e98aef70c815d81ca763a02bbb97d508914c2287d5a565ad2</t>
  </si>
  <si>
    <t>133411</t>
  </si>
  <si>
    <t>15-09-2025</t>
  </si>
  <si>
    <t>15-09-2025 10:23:18</t>
  </si>
  <si>
    <t>7c39878b095fbcbdc6a302fdffa829bac8b4945fc931cdd40ca22ed20536c034551d4898022771350fc363bf40f605fd</t>
  </si>
  <si>
    <t>NC00803608</t>
  </si>
  <si>
    <t>17-09-2025 12:27:48</t>
  </si>
  <si>
    <t>2027f3b2835e69076d0813fe5cbbb95a496de5a9cfcaf64959d1e19e4f7b49bbd811fec0f13b86ced1edf4406aba19b4</t>
  </si>
  <si>
    <t>132258</t>
  </si>
  <si>
    <t>01-09-2025</t>
  </si>
  <si>
    <t>01-09-2025 12:26:43</t>
  </si>
  <si>
    <t>cb2b0cdbe25d00230fca812bc4be30a127b4a8982d5769e9737e17b78fdc17fe5aeb06cdc6c47e64ea6fe05039ee37d7</t>
  </si>
  <si>
    <t>835</t>
  </si>
  <si>
    <t>MYV</t>
  </si>
  <si>
    <t>17-09-2025 12:25:18</t>
  </si>
  <si>
    <t>901793368</t>
  </si>
  <si>
    <t>DOTACIONES MYV S.A.S</t>
  </si>
  <si>
    <t>e804ac30f6a6ffdafbb5cccb74597496120ab33eca64edaa341c017f866abfccb1fe78f657118fcdc7203ab4f4431e3f</t>
  </si>
  <si>
    <t>133540</t>
  </si>
  <si>
    <t>16-09-2025</t>
  </si>
  <si>
    <t>16-09-2025 13:44:52</t>
  </si>
  <si>
    <t>bd0f3e52c973de20fe6f191a8b4b697175b50651ae92391584fc624b3380b116d51648d2c24a9e1f63c37351187c17d8</t>
  </si>
  <si>
    <t>232753</t>
  </si>
  <si>
    <t>15-09-2025 14:11:48</t>
  </si>
  <si>
    <t>b4490e1e38e147c7d75ba19ade553b64c198d9eb687ec062faf56f4bf97fa7a7da8d238c17add9fca07aef427006aca7</t>
  </si>
  <si>
    <t>2516866</t>
  </si>
  <si>
    <t>X491</t>
  </si>
  <si>
    <t>13-09-2025</t>
  </si>
  <si>
    <t>13-09-2025 12:25:21</t>
  </si>
  <si>
    <t>890900943</t>
  </si>
  <si>
    <t>COLOMBIANA DE COMERCIO S.A.</t>
  </si>
  <si>
    <t>751cef9d7d8bf5cc98741e5d7ab1c224897833b2a520847a279e424bb0a1af655b74bd75eb8af02c38237f6bb762d414</t>
  </si>
  <si>
    <t>794425</t>
  </si>
  <si>
    <t>13-09-2025 10:59:25</t>
  </si>
  <si>
    <t>81e7a940397f9821fd9779af58a2611514f4755a0c9d72444f5801bdc84bbb18b55cc6b66e15305319facb421f6fbfdb</t>
  </si>
  <si>
    <t>100305443</t>
  </si>
  <si>
    <t>5022</t>
  </si>
  <si>
    <t>12-09-2025</t>
  </si>
  <si>
    <t>12-09-2025 11:22:57</t>
  </si>
  <si>
    <t>8f597e66d5c8c8a9674b614a2a2e7b53157afbe7fdb81f36e6d1ba972525e21dbd4f439169d419b476605b4305ad5de7</t>
  </si>
  <si>
    <t>21274</t>
  </si>
  <si>
    <t>09-09-2025</t>
  </si>
  <si>
    <t>09-09-2025 16:17:40</t>
  </si>
  <si>
    <t>d4ab48687eb90fb612fe4add984368fcba303b9ab73b5018d267e8fce0ce8c99f0805b255caed94daf7744da64c8905f</t>
  </si>
  <si>
    <t>21273</t>
  </si>
  <si>
    <t>09-09-2025 16:12:04</t>
  </si>
  <si>
    <t>ac9cdf47fa5d0a6dda252d52e0384c5eff0c9dc7aa3b1cbef8d1a1ea2dddc9a2032fe474dbc8f7d6a92e2650755ad523</t>
  </si>
  <si>
    <t>19857</t>
  </si>
  <si>
    <t>FT</t>
  </si>
  <si>
    <t>06-09-2025</t>
  </si>
  <si>
    <t>06-09-2025 10:56:06</t>
  </si>
  <si>
    <t>901905997</t>
  </si>
  <si>
    <t>INVERSIONES 3 EN 1 SAS</t>
  </si>
  <si>
    <t>aac3cea92b03b40758d778055e81d3b58c4d494cdaa687e18f01ebb0250c3c2ef9f23a22e9c17568650ef0a8a33b63ec</t>
  </si>
  <si>
    <t>100361964</t>
  </si>
  <si>
    <t>5016</t>
  </si>
  <si>
    <t>05-09-2025</t>
  </si>
  <si>
    <t>05-09-2025 18:23:56</t>
  </si>
  <si>
    <t>e18699035fd68daceb3b164ebe4377509382da632cac304acf3fd30ee89e7621a3cc02ce4d4e89a0c8c1bbf5ed90cb8e</t>
  </si>
  <si>
    <t>100361962</t>
  </si>
  <si>
    <t>05-09-2025 18:18:10</t>
  </si>
  <si>
    <t>f32f7efc4b374eabb4ec3e8775591585e3179da85d9f1d9a7fb8ddbf1de2a3557e32e73f9987928b86e763e524146c8c</t>
  </si>
  <si>
    <t>563220</t>
  </si>
  <si>
    <t>FEPT</t>
  </si>
  <si>
    <t>05-09-2025 16:02:57</t>
  </si>
  <si>
    <t>900021337</t>
  </si>
  <si>
    <t>CREDISEGUROS DE LA COSTA LTDA</t>
  </si>
  <si>
    <t>2107bdfcf8736858e4dc48a0f78fd6a53f04a8286a21d54ce60e2032b4049bd5b8b773bf75000aef8967af2400c219aa</t>
  </si>
  <si>
    <t>132583</t>
  </si>
  <si>
    <t>04-09-2025</t>
  </si>
  <si>
    <t>04-09-2025 12:32:46</t>
  </si>
  <si>
    <t>50dfe7baee34c3063187d7046fa6669571bc00232ff0145922aa6b9f399ed66b0f49d4661b6b39db62c92e30f1c47060</t>
  </si>
  <si>
    <t>100338123</t>
  </si>
  <si>
    <t>5017</t>
  </si>
  <si>
    <t>03-09-2025</t>
  </si>
  <si>
    <t>03-09-2025 09:21:24</t>
  </si>
  <si>
    <t>76e570631bbf74630ed1cba22a32535501366344d40cdd8dd10fc4b46e6f4c174921c81496e6b583033ef909e8c6ed7e</t>
  </si>
  <si>
    <t>50650</t>
  </si>
  <si>
    <t>L</t>
  </si>
  <si>
    <t>47</t>
  </si>
  <si>
    <t>01-09-2025 16:38:58</t>
  </si>
  <si>
    <t>32826857</t>
  </si>
  <si>
    <t>MARENA DE LA ROSA NIEBLES</t>
  </si>
  <si>
    <t>fb7d4add4bd19c15a7ed7f19bb5832cf0e4ebd606bc7f2a74b65bc0765a339ac043617340286c7f2f4e70cbe0c2a5dcb</t>
  </si>
  <si>
    <t>773381</t>
  </si>
  <si>
    <t>31-08-2025</t>
  </si>
  <si>
    <t>31-08-2025 12:33:42</t>
  </si>
  <si>
    <t>9de8f303cef7244f20e93b34362147dc9fa6b054c9b19ffc25ef2bf4efb1e4e8ecf9126a15d9ba5013af42fdb972f161</t>
  </si>
  <si>
    <t>29955</t>
  </si>
  <si>
    <t>43C</t>
  </si>
  <si>
    <t>30-08-2025</t>
  </si>
  <si>
    <t>30-08-2025 14:22:22</t>
  </si>
  <si>
    <t>830087848</t>
  </si>
  <si>
    <t>TUGO S A S</t>
  </si>
  <si>
    <t>9d02d9b5eb4dd30456853b3178e338ebfd2773ad3a5530e63e37c8e1371d80edae025a22690516744368a57357d97c3b</t>
  </si>
  <si>
    <t>100358961</t>
  </si>
  <si>
    <t>28-08-2025</t>
  </si>
  <si>
    <t>28-08-2025 14:59:03</t>
  </si>
  <si>
    <t>2b3f4e952738d7b0283825b36d55cac247bd6a66de9f34e6402402f6750383be87e82b3aebed5647eaf00f186581fb23</t>
  </si>
  <si>
    <t>25957</t>
  </si>
  <si>
    <t>28-08-2025 09:29:43</t>
  </si>
  <si>
    <t>901213535</t>
  </si>
  <si>
    <t>TOOLSERVICENTER S.A.S.</t>
  </si>
  <si>
    <t>f951d8ef07951a4f27f01cf8e02e39aca0ca01cf931622c868a32c2b18e27290263234280d9b35740ea96026ff9a52fe</t>
  </si>
  <si>
    <t>100312667</t>
  </si>
  <si>
    <t>25-08-2025</t>
  </si>
  <si>
    <t>25-08-2025 09:25:45</t>
  </si>
  <si>
    <t>3566c4a1df05353b73501be159c9a68beed804b997f1706b842737ff6ebda5a96f6ad23d1be47d4dabe84d3103707829</t>
  </si>
  <si>
    <t>537815</t>
  </si>
  <si>
    <t>23-08-2025</t>
  </si>
  <si>
    <t>23-08-2025 11:49:35</t>
  </si>
  <si>
    <t>8a7c48547d05685aac39d8d5766ff3ec5534b329a20981693003ad165c5072e3ca3449f2810211154a2512c8aa29e2a8</t>
  </si>
  <si>
    <t>25867</t>
  </si>
  <si>
    <t>23-08-2025 10:58:37</t>
  </si>
  <si>
    <t>ce57b67512dd1730da2797102870ea76cefe1daca3df9968939b9f460cd913140276f4176accde2db8a691f908c1a067</t>
  </si>
  <si>
    <t>2533460</t>
  </si>
  <si>
    <t>Z062</t>
  </si>
  <si>
    <t>22-08-2025</t>
  </si>
  <si>
    <t>22-08-2025 11:47:41</t>
  </si>
  <si>
    <t>243c48c2bbd48bd75f20d120c31683a95d03c8438e4735e6867698b243b708a2c4ca28c10b20d9e04864931e9ea09d8a</t>
  </si>
  <si>
    <t>527619</t>
  </si>
  <si>
    <t>15-08-2025</t>
  </si>
  <si>
    <t>15-08-2025 10:28:47</t>
  </si>
  <si>
    <t>678f4f0c7c3f0609e1d8ba5317a35eeb015539723fe300fa5e00f46784327655fe83ae83c77857a7b6529ef6aefd82a6</t>
  </si>
  <si>
    <t>311143</t>
  </si>
  <si>
    <t>06-08-2025</t>
  </si>
  <si>
    <t>06-08-2025 13:25:37</t>
  </si>
  <si>
    <t>970e1febe37d619ca310cf4eb3976959b28b7535e578c9107c7ba97023fc0598972966ba1c3b955e256b03bed5a8f879</t>
  </si>
  <si>
    <t>4835</t>
  </si>
  <si>
    <t>06-08-2025 08:50:10</t>
  </si>
  <si>
    <t>6f226752591b627631ac9e637e14e88ac2d155db1b6a4109157f8a5c13f454f3464576acf73fec6b4885e19f3a86340c</t>
  </si>
  <si>
    <t>15985</t>
  </si>
  <si>
    <t>05-08-2025</t>
  </si>
  <si>
    <t>05-08-2025 11:43:14</t>
  </si>
  <si>
    <t>c37536294060eb1e6829b6d7011287faa8242ec973439dc2ac3e3a24772f967c904153ff400997e14e9d72d535cf8c0c</t>
  </si>
  <si>
    <t>100309368</t>
  </si>
  <si>
    <t>04-08-2025</t>
  </si>
  <si>
    <t>04-08-2025 17:18:39</t>
  </si>
  <si>
    <t>b27e18619f2a67667844197f3b22d81f9803674613e538f888f9c3d8e4ef28b159fb07c1cafb41a511451d34b85ffbdc</t>
  </si>
  <si>
    <t>100357227</t>
  </si>
  <si>
    <t>04-08-2025 17:05:35</t>
  </si>
  <si>
    <t>7c0f925e26b1c5bc975bb77cb402d0cfc0371188e12abd0bcf6f134348aa28d15c18e53eb8593e0385500f55b1f7feca</t>
  </si>
  <si>
    <t>13302</t>
  </si>
  <si>
    <t>VNBA</t>
  </si>
  <si>
    <t>04-08-2025 08:55:24</t>
  </si>
  <si>
    <t>860002536</t>
  </si>
  <si>
    <t>COMPAÑIA COLOMBIANA DE CERAMICA S A S</t>
  </si>
  <si>
    <t>03947f0a8db81ce165d6c7572bb814c3f5d5d8c683652fe437e97830ccd7abf348e220c1b39e0969657d2be13c3a805f</t>
  </si>
  <si>
    <t>11683</t>
  </si>
  <si>
    <t>04-08-2025 08:38:25</t>
  </si>
  <si>
    <t>901515225</t>
  </si>
  <si>
    <t>Expo electricos sas</t>
  </si>
  <si>
    <t>7195d98112385f0eab03d99a3658673e3962489bc39481fe009b8b791c05dd25be663998080ac0d2b1f1a2b5e65c275a</t>
  </si>
  <si>
    <t>76105</t>
  </si>
  <si>
    <t>AC77</t>
  </si>
  <si>
    <t>02-08-2025</t>
  </si>
  <si>
    <t>02-08-2025 15:05:06</t>
  </si>
  <si>
    <t>901300741</t>
  </si>
  <si>
    <t>COESCO COLOMBIA SAS</t>
  </si>
  <si>
    <t>Dekoinspira Sas</t>
  </si>
  <si>
    <t>e89d9581285374282e6a179d0d3b979b782877103bc15e10c1b0defa0bae1aa3130c290926beaeb08aa246cbe3114cbd</t>
  </si>
  <si>
    <t>11672</t>
  </si>
  <si>
    <t>02-08-2025 12:56:39</t>
  </si>
  <si>
    <t>ffe1233f1452bba9ed32f47a47a1e79720847949a2779cc0600a23202b80f1d2dc921db0386656f3e2483cbef0b1f867</t>
  </si>
  <si>
    <t>15305</t>
  </si>
  <si>
    <t>31-07-2025</t>
  </si>
  <si>
    <t>31-07-2025 18:51:21</t>
  </si>
  <si>
    <t>b1160c32ed8c7f61c43b5bd768ee935082c3de46dac2ef1839db787383c2bce63f9b5f6c290f6282b493ffca9a2f892a</t>
  </si>
  <si>
    <t>4767</t>
  </si>
  <si>
    <t>31-07-2025 17:19:24</t>
  </si>
  <si>
    <t>a3e09fed0402ab16728b953dcc80894d708a0a3634d03bcd9fabda106ab23a9d234bfd4d5ed7474682ca45d56b42162b</t>
  </si>
  <si>
    <t>4762</t>
  </si>
  <si>
    <t>31-07-2025 16:22:41</t>
  </si>
  <si>
    <t>3dfb455ec9e49c67d70a1078d9de98861378b0fefcf3a2778d0f14b547adc48ad2389c0046f1b510e5eee6d7fbae08f8</t>
  </si>
  <si>
    <t>2534422</t>
  </si>
  <si>
    <t>Z057</t>
  </si>
  <si>
    <t>30-07-2025</t>
  </si>
  <si>
    <t>30-07-2025 18:21:15</t>
  </si>
  <si>
    <t>3133cb9d99defc5c756df5f9ee5fe43be46f38cdf8f714c00b87d12070fefce5382e191a6f5d0c72a625ddbc093e1c45</t>
  </si>
  <si>
    <t>4741</t>
  </si>
  <si>
    <t>30-07-2025 11:04:04</t>
  </si>
  <si>
    <t>674d311fbf9fb4e4de0754f40ca3294b0e2a34be2d48211077c2d0a50e97bcf0b06c281b887e7c3ea61e913da08ebbc5</t>
  </si>
  <si>
    <t>720896</t>
  </si>
  <si>
    <t>29-07-2025</t>
  </si>
  <si>
    <t>29-07-2025 16:00:07</t>
  </si>
  <si>
    <t>70f920054c5adda4f27fad0862131f7eaec0790fa6829cc965c9699b41ba222407e2b7d3d8f6e878ba732d15c4877ae3</t>
  </si>
  <si>
    <t>100333442</t>
  </si>
  <si>
    <t>29-07-2025 15:48:32</t>
  </si>
  <si>
    <t>a0232bd56da8d2f71eac812cc81c59d4260431c810c823e7f1d13e82a326fe99135e5c34121ed7213c686f18206ebc87</t>
  </si>
  <si>
    <t>11408</t>
  </si>
  <si>
    <t>26-07-2025</t>
  </si>
  <si>
    <t>26-07-2025 13:12:14</t>
  </si>
  <si>
    <t>cfef9fede7f2ff2dab3a6070d020949e424da0248bf96643c4890843e57241deb386efd058c5f6c9988670ad3e46d479</t>
  </si>
  <si>
    <t>127824</t>
  </si>
  <si>
    <t>M023</t>
  </si>
  <si>
    <t>22-07-2025</t>
  </si>
  <si>
    <t>22-07-2025 11:42:48</t>
  </si>
  <si>
    <t>860001307</t>
  </si>
  <si>
    <t>DISTRIBUIDORA NISSAN S.A</t>
  </si>
  <si>
    <t>93dc05700b483c1af7dac961af15881557141de893b335dc3a35acf973d2835f5f417cd8da14b256e5c9117cc9a0b905</t>
  </si>
  <si>
    <t>10110</t>
  </si>
  <si>
    <t>18-07-2025</t>
  </si>
  <si>
    <t>18-07-2025 14:45:09</t>
  </si>
  <si>
    <t>901787342</t>
  </si>
  <si>
    <t>VICTOR'S CASUAL FOODS SAS</t>
  </si>
  <si>
    <t>DEKOINPIRA SAS</t>
  </si>
  <si>
    <t>fb0b82bca5b69c57e321c57c160064990758402ea2f57a0dbf7925396dc1a972fad7d6e331a78c11333dfeb928a85cf8</t>
  </si>
  <si>
    <t>113771</t>
  </si>
  <si>
    <t>FET</t>
  </si>
  <si>
    <t>17-07-2025</t>
  </si>
  <si>
    <t>17-07-2025 14:19:03</t>
  </si>
  <si>
    <t>901435329</t>
  </si>
  <si>
    <t>restaurante medio oriente sas</t>
  </si>
  <si>
    <t>aa3ef8690d24aa701e0737e971953f3126f9e11d5cb52ca9a5ea428dd9a3343829011dfaa0ea5bffbeeee19b86eb26f8</t>
  </si>
  <si>
    <t>491084</t>
  </si>
  <si>
    <t>17-07-2025 14:13:18</t>
  </si>
  <si>
    <t>6e85f7e4389722c4335e0bd6da9abd75be41e484fb72a8bf4e7d27d2aa84199516fa67265cac8b26624aac4b6df4be2d</t>
  </si>
  <si>
    <t>6910</t>
  </si>
  <si>
    <t>CA</t>
  </si>
  <si>
    <t>17-07-2025 09:22:48</t>
  </si>
  <si>
    <t>901229957</t>
  </si>
  <si>
    <t>OLGLASS INTERNACIONAL SAS</t>
  </si>
  <si>
    <t>12b1ed4f17cd30a3c4851d69e1256691b51e5ce50167e86c8b7a4f86a33a2af28da87371766932561e27ce660c153e51</t>
  </si>
  <si>
    <t>11066</t>
  </si>
  <si>
    <t>16-07-2025</t>
  </si>
  <si>
    <t>16-07-2025 16:54:45</t>
  </si>
  <si>
    <t>e190fb38f83babf6685cd038e7eed841d91f4d9dbda070c11a44a1c45bfe0487bb14e43284e14dfa6c74a6bb2f523f16</t>
  </si>
  <si>
    <t>100306168</t>
  </si>
  <si>
    <t>16-07-2025 14:47:41</t>
  </si>
  <si>
    <t>86b393746c4d2b81e3580731a0b6038643c0005d4a20785206247986862eeedc232e93e05fc3768433c6715107aaa13a</t>
  </si>
  <si>
    <t>14725</t>
  </si>
  <si>
    <t>16-07-2025 11:54:28</t>
  </si>
  <si>
    <t>47dc155ad1293adbc9bbb42b11db81107a4d38e8856b31d4f128c429361156421242144e52cca3f853396ba1d030fbcd</t>
  </si>
  <si>
    <t>14713</t>
  </si>
  <si>
    <t>16-07-2025 10:15:16</t>
  </si>
  <si>
    <t>94785c01550b38c65f235452eb44601ed68b5924cb8d3bcbe27f59a6dc10eb1eccf6529eda84ac0d2fcb67be0bb1d5cf</t>
  </si>
  <si>
    <t>288872</t>
  </si>
  <si>
    <t>14-07-2025</t>
  </si>
  <si>
    <t>14-07-2025 15:30:10</t>
  </si>
  <si>
    <t>3a04b3af5b87310b95c7436b82de4ab185c3e4e9e5975bfbfa6db853869ad5d917bc81a989721a865963806380cc7f4f</t>
  </si>
  <si>
    <t>100354633</t>
  </si>
  <si>
    <t>13-07-2025</t>
  </si>
  <si>
    <t>13-07-2025 11:07:05</t>
  </si>
  <si>
    <t>2d1f2f9ef7ee4c1ff567c98fecda2756383038fa09cf7925d906b40ad97ae6624d13c7e40206102fefb47e27ada3c2a6</t>
  </si>
  <si>
    <t>268650</t>
  </si>
  <si>
    <t>POBS</t>
  </si>
  <si>
    <t>12-07-2025</t>
  </si>
  <si>
    <t>12-07-2025 17:51:12</t>
  </si>
  <si>
    <t>901185697</t>
  </si>
  <si>
    <t>OPERACIONES Y SERVICIOS TECNICOS S.A.S</t>
  </si>
  <si>
    <t>5e5747a199db6cdaba83ecf1f1c0a757a3a94d63ec8345efe82c6cd792dafdde90384297c47ccc5ffabd29f8fdd1da12</t>
  </si>
  <si>
    <t>14507</t>
  </si>
  <si>
    <t>12-07-2025 11:09:46</t>
  </si>
  <si>
    <t>41a3ae587adb2a84582a020db9b27de625f491f27b54bb39963dcbb227eb519162e60823e3d931aeca2a5be072b415ad</t>
  </si>
  <si>
    <t>14506</t>
  </si>
  <si>
    <t>12-07-2025 11:08:08</t>
  </si>
  <si>
    <t>08ad57a9aec22fc81db42ada019cc13eb48ec0fc7e86d69b5970f09e8532785b3c15ce47f460853a2a267ab1bc05a525</t>
  </si>
  <si>
    <t>14467</t>
  </si>
  <si>
    <t>11-07-2025</t>
  </si>
  <si>
    <t>11-07-2025 16:21:39</t>
  </si>
  <si>
    <t>a8beff96936d8477aa102a9e6cd0e2346d9cc9c9a331e68d2645dfd266524caf53be1396099b4102fa263ac958437cff</t>
  </si>
  <si>
    <t>31933</t>
  </si>
  <si>
    <t>11-07-2025 15:23:02</t>
  </si>
  <si>
    <t>d78961b404554c3f3eb55d07dbded6e68320011d8fe347acee6205b32010bdd466e9c044ce4eac75aeaf5ea7ddfef221</t>
  </si>
  <si>
    <t>14308</t>
  </si>
  <si>
    <t>10-07-2025</t>
  </si>
  <si>
    <t>10-07-2025 08:29:24</t>
  </si>
  <si>
    <t>7d98224c28503f5985d26dbac89fb85cf6859d1f907acc47473ce8163af888c8ec666d4b4d26d193f18287b2b113e8e2</t>
  </si>
  <si>
    <t>14292</t>
  </si>
  <si>
    <t>09-07-2025</t>
  </si>
  <si>
    <t>09-07-2025 14:15:27</t>
  </si>
  <si>
    <t>875a68a8aa3e35fb6dd9e622d85b989e12cabac00788eb80ce95fb62f06d741ff2143c4f45f588e4b01763cac30eb035</t>
  </si>
  <si>
    <t>1847</t>
  </si>
  <si>
    <t>NCNOTA</t>
  </si>
  <si>
    <t>09-07-2025 14:14:10</t>
  </si>
  <si>
    <t>4f34b08249645862ec41af947468d01aa5aa6c75c51e30f97a5069ee4e219016f917818b764508ba8104096e8a8e9fe4</t>
  </si>
  <si>
    <t>14264</t>
  </si>
  <si>
    <t>09-07-2025 11:01:24</t>
  </si>
  <si>
    <t>73d47e452f5313b3a9f324368f0f6171cffbff0c5232b3a1a84ccd578bdede1c4de56ab72e95cc4ef60d69549ba05737</t>
  </si>
  <si>
    <t>40173</t>
  </si>
  <si>
    <t>VA04</t>
  </si>
  <si>
    <t>09-07-2025 12:39:27</t>
  </si>
  <si>
    <t>860500480</t>
  </si>
  <si>
    <t>ALMACENES CORONA S.A.S</t>
  </si>
  <si>
    <t>9d213de97e1ef8b9165e9b4085a07a5270a262509951a94769852736a62aa8266f46073b5c9215f45c4036e75f9fc53f</t>
  </si>
  <si>
    <t>5456</t>
  </si>
  <si>
    <t>77BQ</t>
  </si>
  <si>
    <t>09-07-2025 10:57:35</t>
  </si>
  <si>
    <t>900383711</t>
  </si>
  <si>
    <t xml:space="preserve"> ARTEMARMOL COLOMBIA S.A.S.</t>
  </si>
  <si>
    <t>49612fe21d26b29e2e2a46a1f62c9ec50931b7971a4811e030104cfaff5ffb706a2b16165889beb487ff9b31d68cec7d</t>
  </si>
  <si>
    <t>288513</t>
  </si>
  <si>
    <t>09-07-2025 10:30:53</t>
  </si>
  <si>
    <t>b5b31081f9593348208e964d89a849fcf603532af76ab707a62ca3f17dd744fadc46f4714eef611639e6b895d97390bd</t>
  </si>
  <si>
    <t>7050024490</t>
  </si>
  <si>
    <t>BAR5</t>
  </si>
  <si>
    <t>08-07-2025</t>
  </si>
  <si>
    <t>08-07-2025 14:51:24</t>
  </si>
  <si>
    <t>800165377</t>
  </si>
  <si>
    <t>GRUPO DECOR S.A.S.</t>
  </si>
  <si>
    <t>6b4b08bdd1c8841cbc7dcbfb59699941b3e5ad530b03ac5473abff94763b75d2906686a8a6288bd58fd197e204476852</t>
  </si>
  <si>
    <t>13987</t>
  </si>
  <si>
    <t>04-07-2025</t>
  </si>
  <si>
    <t>04-07-2025 16:25:22</t>
  </si>
  <si>
    <t>246530273e2e0008e03f71b468a05636120f1ffaefb96327a4016afcfb38d453522eafe836b5150290c11ec7f7ef21f3</t>
  </si>
  <si>
    <t>15813</t>
  </si>
  <si>
    <t>04-07-2025 13:21:53</t>
  </si>
  <si>
    <t>f9cd2150e2d48cdb9cdc9772f9fab3a9992346cd3071025c23b1bd6dd705338e6634f8da37bc875dd9d013ce319418ba</t>
  </si>
  <si>
    <t>18841</t>
  </si>
  <si>
    <t>EC76</t>
  </si>
  <si>
    <t>04-07-2025 08:24:07</t>
  </si>
  <si>
    <t>802003599</t>
  </si>
  <si>
    <t>DISNAR S.A.S - VILLA CAMPESTRE</t>
  </si>
  <si>
    <t>7a0a6465e7cd94d86d31c96329b61942e65b055cb5905e73f7725f7577f16adb1c5421b9c236a7abe4aa53fa5be1d59d</t>
  </si>
  <si>
    <t>60524</t>
  </si>
  <si>
    <t>H9L2</t>
  </si>
  <si>
    <t>04-07-2025 07:58:19</t>
  </si>
  <si>
    <t>171811387c3fb63f23b283256d1fc24c9e863d026cf4b048459d2f16775d3af9649a0ef39da8a7a587b4c78824b731be</t>
  </si>
  <si>
    <t>13229</t>
  </si>
  <si>
    <t>T072</t>
  </si>
  <si>
    <t>02-07-2025</t>
  </si>
  <si>
    <t>02-07-2025 14:56:52</t>
  </si>
  <si>
    <t>860039794</t>
  </si>
  <si>
    <t>CALYPSO BARRANQUILLA S.A.S</t>
  </si>
  <si>
    <t xml:space="preserve">DEKOINSPIRA S.AS.   </t>
  </si>
  <si>
    <t>b6ebfee3944605db41d7b872c564640e0b4f4b7a72893990de8d55f329f9a37c6c8ebd2819161e561e0695d920b39dc0</t>
  </si>
  <si>
    <t>21210</t>
  </si>
  <si>
    <t>01-07-2025</t>
  </si>
  <si>
    <t>01-07-2025 15:53:51</t>
  </si>
  <si>
    <t>0c18fcdb0431dbb1938ff7bd84ff963f3929773bb26b137a0cf8dbe6025a56d12c057132fc81bb05104a2f6222b3d22e</t>
  </si>
  <si>
    <t>6758</t>
  </si>
  <si>
    <t>01-07-2025 09:21:11</t>
  </si>
  <si>
    <t>464c57e1b1256091f8901fcf0e0a573022adc6a7b299e683caf04ed80fe467115246036758e6b46212846909274bd0ed</t>
  </si>
  <si>
    <t>12451</t>
  </si>
  <si>
    <t>FE43</t>
  </si>
  <si>
    <t>27-06-2025</t>
  </si>
  <si>
    <t>27-06-2025 23:21:23</t>
  </si>
  <si>
    <t>901565698</t>
  </si>
  <si>
    <t>ASADERO EL CHURRASQUITO SAS</t>
  </si>
  <si>
    <t>1daa004f9f489d1a2165a90060d09f9316be37584a6de780e62e8ccb5f9ab25a32f5e76a7fcdcfc51c4ca2f8ce3a917b</t>
  </si>
  <si>
    <t>287860</t>
  </si>
  <si>
    <t>27-06-2025 15:33:19</t>
  </si>
  <si>
    <t>f59566ebb2680e6ae50692376675720322bcfc4feca876441a450c7597e8e2d14a28be5cf0789b4233d0661877e494e4</t>
  </si>
  <si>
    <t>13452</t>
  </si>
  <si>
    <t>27-06-2025 10:11:42</t>
  </si>
  <si>
    <t>da0b6a3923c653837dc0ccb08d4208d55df2ca2292cc4ca48c364998905322b6aa53bd70da5be75b3d31c9105a1f9c57</t>
  </si>
  <si>
    <t>287671</t>
  </si>
  <si>
    <t>27-06-2025 09:38:18</t>
  </si>
  <si>
    <t>6e2861bc27524030be1db305bb0dd730b48477f7c82a6dd7be476cf5a601bf0d69af24f1fbe5ab0621304d98e3f74999</t>
  </si>
  <si>
    <t>287618</t>
  </si>
  <si>
    <t>26-06-2025</t>
  </si>
  <si>
    <t>26-06-2025 16:16:40</t>
  </si>
  <si>
    <t>bde4fef1c06cd55cd0a92017f7bfea7ad084aeeee048e6a620a116dc9e2714ad8865f83f5586d0c3e4dc4cdfbd34dea3</t>
  </si>
  <si>
    <t>287619</t>
  </si>
  <si>
    <t>26-06-2025 16:16:17</t>
  </si>
  <si>
    <t>5b91f013ba35a14357b882bb09a68a4fddc90f2390a36f85d254e108bd805d75f45df7e96444519d98a4a4a06c481567</t>
  </si>
  <si>
    <t>287454</t>
  </si>
  <si>
    <t>26-06-2025 09:08:26</t>
  </si>
  <si>
    <t>1b2248d470bc2d6545a7a91504f1e9e7678f7db4f71d5782bfa0ba616d0507454744bd622fde0f6f0fdc16f0476ad627</t>
  </si>
  <si>
    <t>1241396</t>
  </si>
  <si>
    <t>VRT</t>
  </si>
  <si>
    <t>3</t>
  </si>
  <si>
    <t>25-06-2025</t>
  </si>
  <si>
    <t>25-06-2025 11:26:44</t>
  </si>
  <si>
    <t>890102010</t>
  </si>
  <si>
    <t>CAMARA DE COMERCIO DE BARRANQUILLA</t>
  </si>
  <si>
    <t xml:space="preserve">DEKOINSPIRA S.A.S. </t>
  </si>
  <si>
    <t>efbdcb27c08bbe461aa8cd258adc2dc06f471c17f7e9a7bc9e8b75a846e800b6c824e5aff2b631ea63ccaa34c42b9465</t>
  </si>
  <si>
    <t>1729</t>
  </si>
  <si>
    <t>25-06-2025 10:05:27</t>
  </si>
  <si>
    <t>SEDE POP</t>
  </si>
  <si>
    <t>40508cdee264520ed1cbb12081fdbd9d2aa515fa3b5ea92c0e267da8252b2a3e7ace9911ca7eb0aece02f864d1b0ec5b</t>
  </si>
  <si>
    <t>16342</t>
  </si>
  <si>
    <t>25-06-2025 09:28:39</t>
  </si>
  <si>
    <t>5da88b744adf0b7a7f13e4e31321fea08c74bdadcc6808f9f6f60d0b8f178b338bcee8102d455e6d1cef2fdc5648d58f</t>
  </si>
  <si>
    <t>13261</t>
  </si>
  <si>
    <t>25-06-2025 09:37:10</t>
  </si>
  <si>
    <t>68cb9bb6341c2bef80eb9fbef6e87301e581b9103ca07a39e02a3a7f2c5ef26ff5b72b5358f1802c2e9ac8a5c8cebcd4</t>
  </si>
  <si>
    <t>10902</t>
  </si>
  <si>
    <t>24-06-2025</t>
  </si>
  <si>
    <t>24-06-2025 07:46:23</t>
  </si>
  <si>
    <t>e4c8eb28ddfa4c795c1a4621905175c4ca5380a6f8714cde2db7ecd9bb19ed7712d3436133b29f674e860ff208e74658</t>
  </si>
  <si>
    <t>78807</t>
  </si>
  <si>
    <t>VA06</t>
  </si>
  <si>
    <t>21-06-2025</t>
  </si>
  <si>
    <t>21-06-2025 10:18:18</t>
  </si>
  <si>
    <t>f2ec14aa88050de7fc8af1690dac52689fe1a31077df8817b11cab8bd1bf8a955c7865955d77c705d035e97947f1c4fe</t>
  </si>
  <si>
    <t>10417</t>
  </si>
  <si>
    <t>20-06-2025</t>
  </si>
  <si>
    <t>20-06-2025 08:13:38</t>
  </si>
  <si>
    <t>cb38609920d62ec1565b5abd34264cbb15b0aa448577153bbbfc2dd12166c3faff9ec5e757bb21f3b6f5a3ec91f8372c</t>
  </si>
  <si>
    <t>3366583</t>
  </si>
  <si>
    <t>17-06-2025</t>
  </si>
  <si>
    <t>17-06-2025 14:28:23</t>
  </si>
  <si>
    <t>6a56f16190e83e6849adf426a3feb5848b52f87ef67c59cc0083a91c69773e6cdd31e65d11deba5d561d87d4ef928004</t>
  </si>
  <si>
    <t>287030</t>
  </si>
  <si>
    <t>16-06-2025</t>
  </si>
  <si>
    <t>16-06-2025 09:15:39</t>
  </si>
  <si>
    <t>fe02e59f028b04997bd29ee471f90ce233bfa51867e4d189bf32e3ef30c67fcfc5b7eebeeafc56dc6bbf35ac79b6dc24</t>
  </si>
  <si>
    <t>12466</t>
  </si>
  <si>
    <t>13-06-2025</t>
  </si>
  <si>
    <t>13-06-2025 11:01:39</t>
  </si>
  <si>
    <t>989ec60bb12e4db5d199e2b5e9b23803c75428313d753e5f565e80ab5a11dd681d5903bd2335233a4d87730febc3730a</t>
  </si>
  <si>
    <t>286909</t>
  </si>
  <si>
    <t>12-06-2025</t>
  </si>
  <si>
    <t>12-06-2025 15:58:24</t>
  </si>
  <si>
    <t>026ed6584a332826704f6b6be13dafc8711a48e0183d17421dd984cc6c95d8d4bc62143195181d1f7e7477502d3c0ccd</t>
  </si>
  <si>
    <t>347</t>
  </si>
  <si>
    <t>B</t>
  </si>
  <si>
    <t>09-06-2025</t>
  </si>
  <si>
    <t>09-06-2025 14:57:28</t>
  </si>
  <si>
    <t>900576130</t>
  </si>
  <si>
    <t>DISTRIBUIDORA DE RUEDAS SAS BARRANQUILLA</t>
  </si>
  <si>
    <t>d40c391808d6b2b64d2d37992f2570b2eb9354b03feda88022a285080a0925ed80fe3922f324ef33b95c2f7f707269d4</t>
  </si>
  <si>
    <t>100282128</t>
  </si>
  <si>
    <t>5013</t>
  </si>
  <si>
    <t>07-06-2025</t>
  </si>
  <si>
    <t>07-06-2025 09:04:42</t>
  </si>
  <si>
    <t>a79def2ae56164d7ae8dbbbcaad72bd2c1724ed6b2108c45eac19f0619c8ccddf69ec150cb0c696209dda0abc1c698c2</t>
  </si>
  <si>
    <t>100334071</t>
  </si>
  <si>
    <t>02-06-2025</t>
  </si>
  <si>
    <t>02-06-2025 13:04:37</t>
  </si>
  <si>
    <t>7d69be0b80b8045c47d969007131806c1c754608a40fea1b6b423b8f0f9c31b01952b81e7191aa1979370bf3f60dcb44</t>
  </si>
  <si>
    <t>100280775</t>
  </si>
  <si>
    <t>27-05-2025</t>
  </si>
  <si>
    <t>27-05-2025 09:45:41</t>
  </si>
  <si>
    <t>2e447d531e790125f05bca1f0620b59183bc2174c7c834c0661f9090849ca173e6910468a24a96de7bcec1c233f3267c</t>
  </si>
  <si>
    <t>418867</t>
  </si>
  <si>
    <t>19-05-2025</t>
  </si>
  <si>
    <t>19-05-2025 12:12:01</t>
  </si>
  <si>
    <t>8cb229d51c5afa53873e53398f192d5181c0eac4cc93490fabd8163d463a2d092cfb204eb292c5046c724507fb96de72</t>
  </si>
  <si>
    <t>1215462</t>
  </si>
  <si>
    <t>19-05-2025 07:04:00</t>
  </si>
  <si>
    <t>735ea6c672ab82b3da6056d1c7e42765687f9f7d0388830311209b2142c2ce35961ef817ae3872641272e81ed6bd7ccf</t>
  </si>
  <si>
    <t>1215375</t>
  </si>
  <si>
    <t>18-05-2025</t>
  </si>
  <si>
    <t>18-05-2025 09:51:24</t>
  </si>
  <si>
    <t>384b7a1317df4f23f3858cd91ed8ffd9b4756cd84b83ec776a5773e11aa8605f08537a16dd460b24f32fbf492de15709</t>
  </si>
  <si>
    <t>1215369</t>
  </si>
  <si>
    <t>18-05-2025 04:27:56</t>
  </si>
  <si>
    <t>20a208f9ab421f439541a794ffa5d7b909f1de5aae2c3d94ae6e2b1d7edd4f03dae9843bfe63c1554331eb365cda9a10</t>
  </si>
  <si>
    <t>250830</t>
  </si>
  <si>
    <t>15-05-2025</t>
  </si>
  <si>
    <t>15-05-2025 11:46:56</t>
  </si>
  <si>
    <t>709ae62ad6f89f92de70345bfdb75a7bfe197275faf75fadb4077527fff09ae0d8db87971d036f6961c99403a8e7f9fa</t>
  </si>
  <si>
    <t>385691</t>
  </si>
  <si>
    <t>23-04-2025</t>
  </si>
  <si>
    <t>23-04-2025 12:01:03</t>
  </si>
  <si>
    <t>23b4ab8788b33bfbb15e7ab6d8bee2adc2c173d9be44a49708d5d038758ddc6d04f115509fb7140120fdccc7c4748834</t>
  </si>
  <si>
    <t>83411</t>
  </si>
  <si>
    <t>RE1</t>
  </si>
  <si>
    <t>23-04-2025 10:59:11</t>
  </si>
  <si>
    <t>900781464</t>
  </si>
  <si>
    <t>PANIFICADORA LA BAGUETTE  S.A.S</t>
  </si>
  <si>
    <t>bae61d8cfeb2e986b186f2839943d360ae872bc76616f9831a998fffe4fdfabf01ca1cab1c828fc2a1345a7acafc45dd</t>
  </si>
  <si>
    <t>232189</t>
  </si>
  <si>
    <t>21-04-2025</t>
  </si>
  <si>
    <t>21-04-2025 10:56:50</t>
  </si>
  <si>
    <t>9dead47c2a8daecfff43b907f45e764fe849a1a714cb1b30f68b9699caffde224388d6c91f6642f0d1a1c6ef65c7375a</t>
  </si>
  <si>
    <t>372831</t>
  </si>
  <si>
    <t>11-04-2025</t>
  </si>
  <si>
    <t>11-04-2025 08:47:20</t>
  </si>
  <si>
    <t>e83d8e4f0fa30917af5182fac7a23bde4a3a70b87718cb88007ce90066b80522e5375f591ebe9fbf3934f2ef22aa99e7</t>
  </si>
  <si>
    <t>222110</t>
  </si>
  <si>
    <t>05-04-2025</t>
  </si>
  <si>
    <t>05-04-2025 22:55:11</t>
  </si>
  <si>
    <t>7551cbb05389d296e042c99a77f22ae8ebdd0fb661a8639d22f25fc38ade1cf17d949e36c4ffb0507c26720f0f73a5fb</t>
  </si>
  <si>
    <t>24213</t>
  </si>
  <si>
    <t>CNOR</t>
  </si>
  <si>
    <t>28-03-2025</t>
  </si>
  <si>
    <t>28-03-2025 14:43:11</t>
  </si>
  <si>
    <t>890115118</t>
  </si>
  <si>
    <t>FRENOS BARRANQUILLA  SAS</t>
  </si>
  <si>
    <t>2ebd70e9972e5e2bf21637bbd947f47dfa74e17a9de5045e4d2530def7c28a6e762186dfa583383f505760b6e0a0dd1b</t>
  </si>
  <si>
    <t>295506</t>
  </si>
  <si>
    <t>07-02-2025</t>
  </si>
  <si>
    <t>07-02-2025 22:20:35</t>
  </si>
  <si>
    <t>274eba982820e116eb3c71ca9e3374f7ac5e8d04ce67ffd1564f820c8b23b445ff4dec2237c8cbd2331fa23e09e2d47c</t>
  </si>
  <si>
    <t>277603</t>
  </si>
  <si>
    <t>24-01-2025</t>
  </si>
  <si>
    <t>24-01-2025 13:14:22</t>
  </si>
  <si>
    <t>63b0ae00ab060e480812610cdba15d5338ca7166fbcde56eadd2a2d956551b4fb331335b247645316ecc5fb64b3e2091</t>
  </si>
  <si>
    <t>260178</t>
  </si>
  <si>
    <t>08-01-2025</t>
  </si>
  <si>
    <t>09-01-2025 00:00:33</t>
  </si>
  <si>
    <t>CL 65 27 33</t>
  </si>
  <si>
    <t>DPTO</t>
  </si>
  <si>
    <t>DIRECCION</t>
  </si>
  <si>
    <t>MUNICIPIO</t>
  </si>
  <si>
    <t>CR 64 # 80-194 Local 3</t>
  </si>
  <si>
    <t>Barranquilla</t>
  </si>
  <si>
    <t>Calle 30 #23-08</t>
  </si>
  <si>
    <t>Cl. 69c #32-08</t>
  </si>
  <si>
    <t>Cl. 53 #46-143</t>
  </si>
  <si>
    <t> Cl. 44 # 70-88 local 2,</t>
  </si>
  <si>
    <t>Carrera 43 # 70B-55</t>
  </si>
  <si>
    <t>Carrera 51B #93-119</t>
  </si>
  <si>
    <t>Cra. 49c #92 72 </t>
  </si>
  <si>
    <t>Cra. 43 #80 186</t>
  </si>
  <si>
    <t>Calle 30 # 26-48</t>
  </si>
  <si>
    <t>Cl. 36 #43 68</t>
  </si>
  <si>
    <t>Cra. 53 #125 - 550</t>
  </si>
  <si>
    <t>Cra. 56 #5c - 50, </t>
  </si>
  <si>
    <t>Cra. 72 #12a-75</t>
  </si>
  <si>
    <r>
      <t>Carrera 51B con Avenida Circunvalar Esquina</t>
    </r>
    <r>
      <rPr>
        <sz val="11"/>
        <color rgb="FF000000"/>
        <rFont val="Calibri"/>
        <family val="2"/>
      </rPr>
      <t xml:space="preserve"> (Lote B3, sector Portal del Genovés)</t>
    </r>
  </si>
  <si>
    <t>Calle 77 # 70 – 55 (Local 1)</t>
  </si>
  <si>
    <t>Carrera 41 No. 46 - 137</t>
  </si>
  <si>
    <t>Cra. 53 #106 - 280</t>
  </si>
  <si>
    <t>Atlántico</t>
  </si>
  <si>
    <t>Carrera 51B No. 75 - 171</t>
  </si>
  <si>
    <t>Calle 98 # 51B - 91</t>
  </si>
  <si>
    <t>Carrera 43 # 9-97, Local 42, 43, 44 y 45</t>
  </si>
  <si>
    <t>Calle 40 No. 44-39, Oficina 6H</t>
  </si>
  <si>
    <t>Cra. 51 #76 - 47</t>
  </si>
  <si>
    <t>Cra. 52 # 70 - 168</t>
  </si>
  <si>
    <t> Cl. 93 #42C - 37</t>
  </si>
  <si>
    <t>Cl. 70 #45-41</t>
  </si>
  <si>
    <t>Via 40 No. 85 - 470 Local 17- A</t>
  </si>
  <si>
    <t>Cl. 44 #43-115</t>
  </si>
  <si>
    <t>Cl. 84b #38 - 11</t>
  </si>
  <si>
    <t>Cra. 38 #35-69 LOCAL 1</t>
  </si>
  <si>
    <t>Calle 110 # 42 - 235</t>
  </si>
  <si>
    <t>Cra. 48 #75-54 Local 4</t>
  </si>
  <si>
    <t>Calle 54 No. 42-15</t>
  </si>
  <si>
    <t>Carrera 43 # 82-09</t>
  </si>
  <si>
    <r>
      <t>Carrera 43 #80-120</t>
    </r>
    <r>
      <rPr>
        <sz val="11"/>
        <color rgb="FF474747"/>
        <rFont val="Arial"/>
        <family val="2"/>
      </rPr>
      <t>.</t>
    </r>
  </si>
  <si>
    <t>Cra. 38 #36-02</t>
  </si>
  <si>
    <t>CARRERA 60 #70 130</t>
  </si>
  <si>
    <t>CALLE 80 CR 63 26</t>
  </si>
  <si>
    <t>Cra. 55 #99 51</t>
  </si>
  <si>
    <t>Cra. 51B #106-200</t>
  </si>
  <si>
    <t>Calle 66 Vía 40, Esquina</t>
  </si>
  <si>
    <t>Calle 110 # 43C - 91</t>
  </si>
  <si>
    <t>CARRERA 47 85 167</t>
  </si>
  <si>
    <t>CALLE 110 43 C 735</t>
  </si>
  <si>
    <t>Cl. 116 #42b 91</t>
  </si>
  <si>
    <t>Cl 72 # 38-186</t>
  </si>
  <si>
    <t>Cra. 59c # 81-12</t>
  </si>
  <si>
    <t>Carrera 53 No. 94-50, Local 3</t>
  </si>
  <si>
    <t>Carrera 53 con calle 106 esquina</t>
  </si>
  <si>
    <t>Cra. 43 # 84B - 101</t>
  </si>
  <si>
    <t>CALLE 1 #10-50 LTE</t>
  </si>
  <si>
    <t xml:space="preserve">Calle 85 # 50 - 37, Local 5 </t>
  </si>
  <si>
    <t>Carrera 38 No. 69D - 29</t>
  </si>
  <si>
    <t xml:space="preserve">Cra. 53 #98-2 </t>
  </si>
  <si>
    <t>Cundinamarca</t>
  </si>
  <si>
    <t>Bogotá</t>
  </si>
  <si>
    <t xml:space="preserve">Cll 86 #47-05 </t>
  </si>
  <si>
    <t>KM 8 VIA BARRANQUILLA ZF LA CAYENA LOTE</t>
  </si>
  <si>
    <t>Calle 73 No 41D - 19.</t>
  </si>
  <si>
    <t>CALLE 77 B CR 59 61 OF1002</t>
  </si>
  <si>
    <t>Av. Murillo (Calle 45) # 50B - 54</t>
  </si>
  <si>
    <t>Calle 3A N° 24-104</t>
  </si>
  <si>
    <t>Puerto Colombia</t>
  </si>
  <si>
    <t>iva</t>
  </si>
  <si>
    <t>nit_emisor</t>
  </si>
  <si>
    <t>emisor</t>
  </si>
  <si>
    <t>total</t>
  </si>
  <si>
    <t>gravada</t>
  </si>
  <si>
    <t>exenta</t>
  </si>
  <si>
    <t>nit</t>
  </si>
  <si>
    <t>direccion</t>
  </si>
  <si>
    <t>ciudad</t>
  </si>
  <si>
    <t>dpto</t>
  </si>
  <si>
    <t>Total general</t>
  </si>
  <si>
    <t>Carrera 43 #80-120.</t>
  </si>
  <si>
    <t>Carrera 51B con Avenida Circunvalar Esquina (Lote B3, sector Portal del Genovés)</t>
  </si>
  <si>
    <t>(en blanco)</t>
  </si>
  <si>
    <t>munic</t>
  </si>
  <si>
    <t>08</t>
  </si>
  <si>
    <t>001</t>
  </si>
  <si>
    <t>573</t>
  </si>
  <si>
    <t>11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</si>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</sst>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1"/>
      <color rgb="FF474747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4844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 applyBorder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43" fontId="1" fillId="3" borderId="0" xfId="1" applyFont="1" applyFill="1"/>
    <xf numFmtId="0" fontId="1" fillId="4" borderId="0" xfId="0" applyFont="1" applyFill="1"/>
    <xf numFmtId="43" fontId="1" fillId="4" borderId="0" xfId="1" applyFont="1" applyFill="1"/>
    <xf numFmtId="43" fontId="0" fillId="0" borderId="0" xfId="0" applyNumberFormat="1"/>
    <xf numFmtId="43" fontId="1" fillId="3" borderId="0" xfId="0" applyNumberFormat="1" applyFont="1" applyFill="1"/>
    <xf numFmtId="0" fontId="5" fillId="5" borderId="1" xfId="0" applyFont="1" applyFill="1" applyBorder="1"/>
    <xf numFmtId="0" fontId="5" fillId="0" borderId="1" xfId="0" applyFont="1" applyBorder="1"/>
    <xf numFmtId="0" fontId="5" fillId="5" borderId="0" xfId="0" applyFont="1" applyFill="1" applyBorder="1"/>
    <xf numFmtId="0" fontId="0" fillId="0" borderId="0" xfId="0" pivotButton="1"/>
    <xf numFmtId="0" fontId="5" fillId="0" borderId="0" xfId="0" applyFont="1"/>
    <xf numFmtId="0" fontId="5" fillId="0" borderId="0" xfId="0" applyFont="1" applyBorder="1"/>
    <xf numFmtId="49" fontId="0" fillId="0" borderId="0" xfId="0" applyNumberFormat="1"/>
    <xf numFmtId="49" fontId="5" fillId="5" borderId="0" xfId="0" applyNumberFormat="1" applyFont="1" applyFill="1" applyBorder="1"/>
  </cellXfs>
  <cellStyles count="2">
    <cellStyle name="Millares" xfId="1" builtinId="3"/>
    <cellStyle name="Normal" xfId="0" builtinId="0"/>
  </cellStyles>
  <dxfs count="3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" refreshedDate="46162.874829513887" createdVersion="7" refreshedVersion="7" minRefreshableVersion="3" recordCount="202" xr:uid="{52B0E0EE-5381-4FD2-B2BE-7A73706A1CDC}">
  <cacheSource type="worksheet">
    <worksheetSource ref="A1:D203" sheet="clientes"/>
  </cacheSource>
  <cacheFields count="4">
    <cacheField name="nit" numFmtId="0">
      <sharedItems containsMixedTypes="1" containsNumber="1" containsInteger="1" minValue="900276962" maxValue="901873198" count="63">
        <s v="800165720"/>
        <s v="901565698"/>
        <s v="860039794"/>
        <s v="890102010"/>
        <s v="901300741"/>
        <s v="890900943"/>
        <s v="802023507"/>
        <s v="900021337"/>
        <s v="802006391"/>
        <n v="900276962"/>
        <s v="900276962"/>
        <s v="802003599"/>
        <s v="811009788"/>
        <s v="900576130"/>
        <s v="860001307"/>
        <s v="901793368"/>
        <s v="8674041"/>
        <s v="900230625"/>
        <s v="901515225"/>
        <s v="890115118"/>
        <s v="890102603"/>
        <s v="900355557"/>
        <s v="901484212"/>
        <s v="890115294"/>
        <s v="900214193"/>
        <s v="901316914"/>
        <s v="900480569"/>
        <s v="900059238"/>
        <s v="32826857"/>
        <s v="800051755"/>
        <s v="901185697"/>
        <s v="900781464"/>
        <s v="860503159"/>
        <s v="900319753"/>
        <s v="901435329"/>
        <s v="900309367"/>
        <s v="901873198"/>
        <n v="901873198"/>
        <s v="802017066"/>
        <s v="800242106"/>
        <s v="901571419"/>
        <s v="900943243"/>
        <s v="901844029"/>
        <s v="802002267"/>
        <s v="901213535"/>
        <s v="901787342"/>
        <s v="901320114"/>
        <s v="900383711"/>
        <s v="900834289"/>
        <s v="860500480"/>
        <s v="860002536"/>
        <s v="802004266"/>
        <s v="800165377"/>
        <s v="901905997"/>
        <s v="811028650"/>
        <s v="816008774"/>
        <s v="901869171"/>
        <s v="901229957"/>
        <s v="901639056"/>
        <s v="800165815"/>
        <s v="860001965"/>
        <s v="830087848"/>
        <s v="900986550"/>
      </sharedItems>
    </cacheField>
    <cacheField name="direccion" numFmtId="0">
      <sharedItems containsBlank="1" count="62">
        <s v="Carrera 41 No. 46 - 137"/>
        <s v="Cl. 69c #32-08"/>
        <s v="Cl. 53 #46-143"/>
        <s v="Cra. 53 #106 - 280"/>
        <s v="Carrera 51B No. 75 - 171"/>
        <s v="Calle 98 # 51B - 91"/>
        <s v="Carrera 43 # 9-97, Local 42, 43, 44 y 45"/>
        <s v="Calle 40 No. 44-39, Oficina 6H"/>
        <s v="Cra. 51 #76 - 47"/>
        <s v="Cra. 52 # 70 - 168"/>
        <s v="Cl. 44 #43-115"/>
        <s v="Cl. 84b #38 - 11"/>
        <s v="Cra. 38 #35-69 LOCAL 1"/>
        <s v="Calle 110 # 42 - 235"/>
        <s v="Cra. 48 #75-54 Local 4"/>
        <s v="Calle 54 No. 42-15"/>
        <s v="Carrera 43 # 82-09"/>
        <s v="Carrera 43 #80-120."/>
        <s v="Cra. 38 #36-02"/>
        <m/>
        <s v="CARRERA 60 #70 130"/>
        <s v="CALLE 80 CR 63 26"/>
        <s v="Cra. 55 #99 51"/>
        <s v="CALLE 110 43 C 735"/>
        <s v="CARRERA 47 85 167"/>
        <s v="Calle 110 # 43C - 91"/>
        <s v="Cra. 51B #106-200"/>
        <s v="Calle 66 Vía 40, Esquina"/>
        <s v="Cl 72 # 38-186"/>
        <s v="Cra. 59c # 81-12"/>
        <s v="Carrera 53 No. 94-50, Local 3"/>
        <s v="Carrera 53 con calle 106 esquina"/>
        <s v="Cra. 43 # 84B - 101"/>
        <s v="CALLE 1 #10-50 LTE"/>
        <s v="Cl. 116 #42b 91"/>
        <s v="Carrera 38 No. 69D - 29"/>
        <s v="Cra. 53 #98-2 "/>
        <s v="Cll 86 #47-05 "/>
        <s v="KM 8 VIA BARRANQUILLA ZF LA CAYENA LOTE"/>
        <s v="Calle 73 No 41D - 19."/>
        <s v="CALLE 77 B CR 59 61 OF1002"/>
        <s v="Av. Murillo (Calle 45) # 50B - 54"/>
        <s v="Calle 3A N° 24-104"/>
        <s v=" Cl. 44 # 70-88 local 2,"/>
        <s v="CL 65 27 33"/>
        <s v="CR 64 # 80-194 Local 3"/>
        <s v="Calle 30 #23-08"/>
        <s v="Carrera 43 # 70B-55"/>
        <s v="Carrera 51B #93-119"/>
        <s v="Cra. 49c #92 72 "/>
        <s v="Cra. 43 #80 186"/>
        <s v="Calle 30 # 26-48"/>
        <s v="Cl. 36 #43 68"/>
        <s v="Cl. 70 #45-41"/>
        <s v="Via 40 No. 85 - 470 Local 17- A"/>
        <s v="Cra. 56 #5c - 50, "/>
        <s v="Cra. 72 #12a-75"/>
        <s v="Carrera 51B con Avenida Circunvalar Esquina (Lote B3, sector Portal del Genovés)"/>
        <s v="Calle 77 # 70 – 55 (Local 1)"/>
        <s v="Calle 85 # 50 - 37, Local 5 " u="1"/>
        <s v="Cra. 53 #125 - 550" u="1"/>
        <s v=" Cl. 93 #42C - 37" u="1"/>
      </sharedItems>
    </cacheField>
    <cacheField name="dpto" numFmtId="0">
      <sharedItems count="2">
        <s v="Atlántico"/>
        <s v="Cundinamarca"/>
      </sharedItems>
    </cacheField>
    <cacheField name="ciudad" numFmtId="0">
      <sharedItems count="3">
        <s v="Barranquilla"/>
        <s v="Puerto Colombia"/>
        <s v="Bogotá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</r>
  <r>
    <x v="1"/>
    <x v="1"/>
    <x v="0"/>
    <x v="0"/>
  </r>
  <r>
    <x v="2"/>
    <x v="2"/>
    <x v="0"/>
    <x v="0"/>
  </r>
  <r>
    <x v="3"/>
    <x v="3"/>
    <x v="0"/>
    <x v="0"/>
  </r>
  <r>
    <x v="3"/>
    <x v="3"/>
    <x v="0"/>
    <x v="0"/>
  </r>
  <r>
    <x v="3"/>
    <x v="3"/>
    <x v="0"/>
    <x v="0"/>
  </r>
  <r>
    <x v="3"/>
    <x v="3"/>
    <x v="0"/>
    <x v="0"/>
  </r>
  <r>
    <x v="4"/>
    <x v="4"/>
    <x v="0"/>
    <x v="0"/>
  </r>
  <r>
    <x v="5"/>
    <x v="5"/>
    <x v="0"/>
    <x v="0"/>
  </r>
  <r>
    <x v="5"/>
    <x v="5"/>
    <x v="0"/>
    <x v="0"/>
  </r>
  <r>
    <x v="5"/>
    <x v="5"/>
    <x v="0"/>
    <x v="0"/>
  </r>
  <r>
    <x v="6"/>
    <x v="6"/>
    <x v="0"/>
    <x v="0"/>
  </r>
  <r>
    <x v="6"/>
    <x v="6"/>
    <x v="0"/>
    <x v="0"/>
  </r>
  <r>
    <x v="6"/>
    <x v="6"/>
    <x v="0"/>
    <x v="0"/>
  </r>
  <r>
    <x v="6"/>
    <x v="6"/>
    <x v="0"/>
    <x v="0"/>
  </r>
  <r>
    <x v="6"/>
    <x v="6"/>
    <x v="0"/>
    <x v="0"/>
  </r>
  <r>
    <x v="6"/>
    <x v="6"/>
    <x v="0"/>
    <x v="0"/>
  </r>
  <r>
    <x v="7"/>
    <x v="7"/>
    <x v="0"/>
    <x v="0"/>
  </r>
  <r>
    <x v="8"/>
    <x v="8"/>
    <x v="0"/>
    <x v="0"/>
  </r>
  <r>
    <x v="8"/>
    <x v="8"/>
    <x v="0"/>
    <x v="0"/>
  </r>
  <r>
    <x v="9"/>
    <x v="9"/>
    <x v="0"/>
    <x v="0"/>
  </r>
  <r>
    <x v="10"/>
    <x v="9"/>
    <x v="0"/>
    <x v="0"/>
  </r>
  <r>
    <x v="11"/>
    <x v="10"/>
    <x v="0"/>
    <x v="0"/>
  </r>
  <r>
    <x v="12"/>
    <x v="11"/>
    <x v="0"/>
    <x v="0"/>
  </r>
  <r>
    <x v="12"/>
    <x v="11"/>
    <x v="0"/>
    <x v="0"/>
  </r>
  <r>
    <x v="13"/>
    <x v="12"/>
    <x v="0"/>
    <x v="0"/>
  </r>
  <r>
    <x v="14"/>
    <x v="13"/>
    <x v="0"/>
    <x v="0"/>
  </r>
  <r>
    <x v="15"/>
    <x v="14"/>
    <x v="0"/>
    <x v="0"/>
  </r>
  <r>
    <x v="16"/>
    <x v="15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7"/>
    <x v="16"/>
    <x v="0"/>
    <x v="0"/>
  </r>
  <r>
    <x v="18"/>
    <x v="17"/>
    <x v="0"/>
    <x v="0"/>
  </r>
  <r>
    <x v="19"/>
    <x v="18"/>
    <x v="0"/>
    <x v="0"/>
  </r>
  <r>
    <x v="20"/>
    <x v="19"/>
    <x v="0"/>
    <x v="0"/>
  </r>
  <r>
    <x v="21"/>
    <x v="20"/>
    <x v="0"/>
    <x v="0"/>
  </r>
  <r>
    <x v="22"/>
    <x v="21"/>
    <x v="0"/>
    <x v="0"/>
  </r>
  <r>
    <x v="22"/>
    <x v="21"/>
    <x v="0"/>
    <x v="0"/>
  </r>
  <r>
    <x v="22"/>
    <x v="21"/>
    <x v="0"/>
    <x v="0"/>
  </r>
  <r>
    <x v="23"/>
    <x v="22"/>
    <x v="0"/>
    <x v="0"/>
  </r>
  <r>
    <x v="24"/>
    <x v="23"/>
    <x v="0"/>
    <x v="0"/>
  </r>
  <r>
    <x v="25"/>
    <x v="24"/>
    <x v="0"/>
    <x v="0"/>
  </r>
  <r>
    <x v="25"/>
    <x v="24"/>
    <x v="0"/>
    <x v="0"/>
  </r>
  <r>
    <x v="26"/>
    <x v="25"/>
    <x v="0"/>
    <x v="0"/>
  </r>
  <r>
    <x v="26"/>
    <x v="25"/>
    <x v="0"/>
    <x v="0"/>
  </r>
  <r>
    <x v="27"/>
    <x v="26"/>
    <x v="0"/>
    <x v="0"/>
  </r>
  <r>
    <x v="27"/>
    <x v="26"/>
    <x v="0"/>
    <x v="0"/>
  </r>
  <r>
    <x v="27"/>
    <x v="26"/>
    <x v="0"/>
    <x v="0"/>
  </r>
  <r>
    <x v="28"/>
    <x v="26"/>
    <x v="0"/>
    <x v="0"/>
  </r>
  <r>
    <x v="29"/>
    <x v="27"/>
    <x v="0"/>
    <x v="0"/>
  </r>
  <r>
    <x v="30"/>
    <x v="28"/>
    <x v="0"/>
    <x v="0"/>
  </r>
  <r>
    <x v="31"/>
    <x v="29"/>
    <x v="0"/>
    <x v="0"/>
  </r>
  <r>
    <x v="32"/>
    <x v="30"/>
    <x v="0"/>
    <x v="0"/>
  </r>
  <r>
    <x v="32"/>
    <x v="30"/>
    <x v="0"/>
    <x v="0"/>
  </r>
  <r>
    <x v="33"/>
    <x v="31"/>
    <x v="0"/>
    <x v="0"/>
  </r>
  <r>
    <x v="33"/>
    <x v="31"/>
    <x v="0"/>
    <x v="0"/>
  </r>
  <r>
    <x v="33"/>
    <x v="31"/>
    <x v="0"/>
    <x v="0"/>
  </r>
  <r>
    <x v="33"/>
    <x v="31"/>
    <x v="0"/>
    <x v="0"/>
  </r>
  <r>
    <x v="33"/>
    <x v="31"/>
    <x v="0"/>
    <x v="0"/>
  </r>
  <r>
    <x v="34"/>
    <x v="32"/>
    <x v="0"/>
    <x v="0"/>
  </r>
  <r>
    <x v="35"/>
    <x v="33"/>
    <x v="0"/>
    <x v="0"/>
  </r>
  <r>
    <x v="36"/>
    <x v="34"/>
    <x v="0"/>
    <x v="0"/>
  </r>
  <r>
    <x v="37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6"/>
    <x v="34"/>
    <x v="0"/>
    <x v="1"/>
  </r>
  <r>
    <x v="38"/>
    <x v="35"/>
    <x v="0"/>
    <x v="0"/>
  </r>
  <r>
    <x v="38"/>
    <x v="35"/>
    <x v="0"/>
    <x v="0"/>
  </r>
  <r>
    <x v="38"/>
    <x v="35"/>
    <x v="0"/>
    <x v="0"/>
  </r>
  <r>
    <x v="38"/>
    <x v="35"/>
    <x v="0"/>
    <x v="0"/>
  </r>
  <r>
    <x v="38"/>
    <x v="35"/>
    <x v="0"/>
    <x v="0"/>
  </r>
  <r>
    <x v="38"/>
    <x v="35"/>
    <x v="0"/>
    <x v="0"/>
  </r>
  <r>
    <x v="38"/>
    <x v="35"/>
    <x v="0"/>
    <x v="0"/>
  </r>
  <r>
    <x v="38"/>
    <x v="35"/>
    <x v="0"/>
    <x v="0"/>
  </r>
  <r>
    <x v="38"/>
    <x v="35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39"/>
    <x v="36"/>
    <x v="0"/>
    <x v="0"/>
  </r>
  <r>
    <x v="40"/>
    <x v="37"/>
    <x v="0"/>
    <x v="0"/>
  </r>
  <r>
    <x v="41"/>
    <x v="38"/>
    <x v="0"/>
    <x v="0"/>
  </r>
  <r>
    <x v="42"/>
    <x v="39"/>
    <x v="0"/>
    <x v="0"/>
  </r>
  <r>
    <x v="43"/>
    <x v="40"/>
    <x v="0"/>
    <x v="0"/>
  </r>
  <r>
    <x v="43"/>
    <x v="40"/>
    <x v="0"/>
    <x v="0"/>
  </r>
  <r>
    <x v="44"/>
    <x v="41"/>
    <x v="0"/>
    <x v="0"/>
  </r>
  <r>
    <x v="44"/>
    <x v="41"/>
    <x v="0"/>
    <x v="0"/>
  </r>
  <r>
    <x v="45"/>
    <x v="42"/>
    <x v="0"/>
    <x v="1"/>
  </r>
  <r>
    <x v="6"/>
    <x v="6"/>
    <x v="0"/>
    <x v="0"/>
  </r>
  <r>
    <x v="6"/>
    <x v="6"/>
    <x v="0"/>
    <x v="0"/>
  </r>
  <r>
    <x v="36"/>
    <x v="34"/>
    <x v="0"/>
    <x v="0"/>
  </r>
  <r>
    <x v="36"/>
    <x v="34"/>
    <x v="0"/>
    <x v="0"/>
  </r>
  <r>
    <x v="39"/>
    <x v="36"/>
    <x v="0"/>
    <x v="0"/>
  </r>
  <r>
    <x v="46"/>
    <x v="43"/>
    <x v="0"/>
    <x v="0"/>
  </r>
  <r>
    <x v="47"/>
    <x v="44"/>
    <x v="0"/>
    <x v="0"/>
  </r>
  <r>
    <x v="48"/>
    <x v="45"/>
    <x v="0"/>
    <x v="0"/>
  </r>
  <r>
    <x v="48"/>
    <x v="45"/>
    <x v="0"/>
    <x v="0"/>
  </r>
  <r>
    <x v="48"/>
    <x v="45"/>
    <x v="0"/>
    <x v="0"/>
  </r>
  <r>
    <x v="48"/>
    <x v="45"/>
    <x v="0"/>
    <x v="0"/>
  </r>
  <r>
    <x v="49"/>
    <x v="46"/>
    <x v="0"/>
    <x v="0"/>
  </r>
  <r>
    <x v="49"/>
    <x v="46"/>
    <x v="0"/>
    <x v="0"/>
  </r>
  <r>
    <x v="46"/>
    <x v="43"/>
    <x v="0"/>
    <x v="0"/>
  </r>
  <r>
    <x v="46"/>
    <x v="43"/>
    <x v="0"/>
    <x v="0"/>
  </r>
  <r>
    <x v="46"/>
    <x v="43"/>
    <x v="0"/>
    <x v="0"/>
  </r>
  <r>
    <x v="46"/>
    <x v="43"/>
    <x v="0"/>
    <x v="0"/>
  </r>
  <r>
    <x v="50"/>
    <x v="47"/>
    <x v="0"/>
    <x v="0"/>
  </r>
  <r>
    <x v="18"/>
    <x v="17"/>
    <x v="0"/>
    <x v="0"/>
  </r>
  <r>
    <x v="18"/>
    <x v="17"/>
    <x v="0"/>
    <x v="0"/>
  </r>
  <r>
    <x v="18"/>
    <x v="17"/>
    <x v="0"/>
    <x v="0"/>
  </r>
  <r>
    <x v="51"/>
    <x v="17"/>
    <x v="0"/>
    <x v="0"/>
  </r>
  <r>
    <x v="51"/>
    <x v="17"/>
    <x v="0"/>
    <x v="0"/>
  </r>
  <r>
    <x v="36"/>
    <x v="34"/>
    <x v="0"/>
    <x v="0"/>
  </r>
  <r>
    <x v="52"/>
    <x v="48"/>
    <x v="0"/>
    <x v="0"/>
  </r>
  <r>
    <x v="53"/>
    <x v="49"/>
    <x v="0"/>
    <x v="0"/>
  </r>
  <r>
    <x v="53"/>
    <x v="49"/>
    <x v="0"/>
    <x v="0"/>
  </r>
  <r>
    <x v="53"/>
    <x v="49"/>
    <x v="0"/>
    <x v="0"/>
  </r>
  <r>
    <x v="53"/>
    <x v="49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4"/>
    <x v="50"/>
    <x v="0"/>
    <x v="0"/>
  </r>
  <r>
    <x v="55"/>
    <x v="51"/>
    <x v="0"/>
    <x v="0"/>
  </r>
  <r>
    <x v="55"/>
    <x v="51"/>
    <x v="0"/>
    <x v="0"/>
  </r>
  <r>
    <x v="55"/>
    <x v="51"/>
    <x v="0"/>
    <x v="0"/>
  </r>
  <r>
    <x v="56"/>
    <x v="52"/>
    <x v="0"/>
    <x v="0"/>
  </r>
  <r>
    <x v="57"/>
    <x v="53"/>
    <x v="0"/>
    <x v="0"/>
  </r>
  <r>
    <x v="57"/>
    <x v="53"/>
    <x v="0"/>
    <x v="0"/>
  </r>
  <r>
    <x v="58"/>
    <x v="54"/>
    <x v="0"/>
    <x v="0"/>
  </r>
  <r>
    <x v="58"/>
    <x v="54"/>
    <x v="0"/>
    <x v="0"/>
  </r>
  <r>
    <x v="58"/>
    <x v="54"/>
    <x v="0"/>
    <x v="0"/>
  </r>
  <r>
    <x v="58"/>
    <x v="54"/>
    <x v="0"/>
    <x v="0"/>
  </r>
  <r>
    <x v="58"/>
    <x v="54"/>
    <x v="0"/>
    <x v="0"/>
  </r>
  <r>
    <x v="58"/>
    <x v="54"/>
    <x v="0"/>
    <x v="0"/>
  </r>
  <r>
    <x v="36"/>
    <x v="34"/>
    <x v="0"/>
    <x v="0"/>
  </r>
  <r>
    <x v="36"/>
    <x v="34"/>
    <x v="0"/>
    <x v="0"/>
  </r>
  <r>
    <x v="36"/>
    <x v="34"/>
    <x v="0"/>
    <x v="0"/>
  </r>
  <r>
    <x v="36"/>
    <x v="34"/>
    <x v="0"/>
    <x v="0"/>
  </r>
  <r>
    <x v="36"/>
    <x v="34"/>
    <x v="0"/>
    <x v="0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59"/>
    <x v="55"/>
    <x v="1"/>
    <x v="2"/>
  </r>
  <r>
    <x v="60"/>
    <x v="56"/>
    <x v="0"/>
    <x v="0"/>
  </r>
  <r>
    <x v="60"/>
    <x v="56"/>
    <x v="0"/>
    <x v="0"/>
  </r>
  <r>
    <x v="60"/>
    <x v="56"/>
    <x v="0"/>
    <x v="0"/>
  </r>
  <r>
    <x v="60"/>
    <x v="56"/>
    <x v="0"/>
    <x v="0"/>
  </r>
  <r>
    <x v="61"/>
    <x v="57"/>
    <x v="0"/>
    <x v="0"/>
  </r>
  <r>
    <x v="62"/>
    <x v="58"/>
    <x v="0"/>
    <x v="0"/>
  </r>
  <r>
    <x v="62"/>
    <x v="58"/>
    <x v="0"/>
    <x v="0"/>
  </r>
  <r>
    <x v="54"/>
    <x v="50"/>
    <x v="0"/>
    <x v="0"/>
  </r>
  <r>
    <x v="54"/>
    <x v="5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13A80-1925-46AF-91DF-6C4956347857}" name="TablaDinámica1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compact="0" compactData="0" multipleFieldFilters="0">
  <location ref="A3:D68" firstHeaderRow="1" firstDataRow="1" firstDataCol="4"/>
  <pivotFields count="4">
    <pivotField axis="axisRow" compact="0" outline="0" showAll="0" defaultSubtotal="0">
      <items count="63">
        <item x="9"/>
        <item x="37"/>
        <item x="28"/>
        <item x="29"/>
        <item x="52"/>
        <item x="0"/>
        <item x="59"/>
        <item x="39"/>
        <item x="43"/>
        <item x="11"/>
        <item x="51"/>
        <item x="8"/>
        <item x="38"/>
        <item x="6"/>
        <item x="12"/>
        <item x="54"/>
        <item x="55"/>
        <item x="61"/>
        <item x="14"/>
        <item x="60"/>
        <item x="50"/>
        <item x="2"/>
        <item x="49"/>
        <item x="32"/>
        <item x="16"/>
        <item x="3"/>
        <item x="20"/>
        <item x="19"/>
        <item x="23"/>
        <item x="5"/>
        <item x="7"/>
        <item x="27"/>
        <item x="24"/>
        <item x="17"/>
        <item x="10"/>
        <item x="35"/>
        <item x="33"/>
        <item x="21"/>
        <item x="47"/>
        <item x="26"/>
        <item x="13"/>
        <item x="31"/>
        <item x="48"/>
        <item x="41"/>
        <item x="62"/>
        <item x="30"/>
        <item x="44"/>
        <item x="57"/>
        <item x="4"/>
        <item x="25"/>
        <item x="46"/>
        <item x="34"/>
        <item x="22"/>
        <item x="18"/>
        <item x="1"/>
        <item x="40"/>
        <item x="58"/>
        <item x="45"/>
        <item x="15"/>
        <item x="42"/>
        <item x="56"/>
        <item x="36"/>
        <item x="53"/>
      </items>
    </pivotField>
    <pivotField axis="axisRow" compact="0" outline="0" showAll="0" defaultSubtotal="0">
      <items count="62">
        <item x="43"/>
        <item m="1" x="61"/>
        <item x="41"/>
        <item x="33"/>
        <item x="13"/>
        <item x="25"/>
        <item x="23"/>
        <item x="51"/>
        <item x="46"/>
        <item x="42"/>
        <item x="7"/>
        <item x="15"/>
        <item x="27"/>
        <item x="39"/>
        <item x="58"/>
        <item x="40"/>
        <item x="21"/>
        <item m="1" x="59"/>
        <item x="5"/>
        <item x="35"/>
        <item x="0"/>
        <item x="47"/>
        <item x="16"/>
        <item x="6"/>
        <item x="17"/>
        <item x="24"/>
        <item x="48"/>
        <item x="57"/>
        <item x="4"/>
        <item x="31"/>
        <item x="30"/>
        <item x="20"/>
        <item x="44"/>
        <item x="28"/>
        <item x="34"/>
        <item x="52"/>
        <item x="10"/>
        <item x="2"/>
        <item x="1"/>
        <item x="53"/>
        <item x="11"/>
        <item x="37"/>
        <item x="45"/>
        <item x="12"/>
        <item x="18"/>
        <item x="32"/>
        <item x="50"/>
        <item x="14"/>
        <item x="49"/>
        <item x="8"/>
        <item x="26"/>
        <item x="9"/>
        <item x="3"/>
        <item m="1" x="60"/>
        <item x="36"/>
        <item x="22"/>
        <item x="55"/>
        <item x="29"/>
        <item x="56"/>
        <item x="38"/>
        <item x="54"/>
        <item x="19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">
        <item x="0"/>
        <item x="2"/>
        <item x="1"/>
      </items>
    </pivotField>
  </pivotFields>
  <rowFields count="4">
    <field x="0"/>
    <field x="1"/>
    <field x="2"/>
    <field x="3"/>
  </rowFields>
  <rowItems count="65">
    <i>
      <x/>
      <x v="51"/>
      <x/>
      <x/>
    </i>
    <i>
      <x v="1"/>
      <x v="34"/>
      <x/>
      <x v="2"/>
    </i>
    <i>
      <x v="2"/>
      <x v="50"/>
      <x/>
      <x/>
    </i>
    <i>
      <x v="3"/>
      <x v="12"/>
      <x/>
      <x/>
    </i>
    <i>
      <x v="4"/>
      <x v="26"/>
      <x/>
      <x/>
    </i>
    <i>
      <x v="5"/>
      <x v="20"/>
      <x/>
      <x/>
    </i>
    <i>
      <x v="6"/>
      <x v="56"/>
      <x v="1"/>
      <x v="1"/>
    </i>
    <i>
      <x v="7"/>
      <x v="54"/>
      <x/>
      <x/>
    </i>
    <i>
      <x v="8"/>
      <x v="15"/>
      <x/>
      <x/>
    </i>
    <i>
      <x v="9"/>
      <x v="36"/>
      <x/>
      <x/>
    </i>
    <i>
      <x v="10"/>
      <x v="24"/>
      <x/>
      <x/>
    </i>
    <i>
      <x v="11"/>
      <x v="49"/>
      <x/>
      <x/>
    </i>
    <i>
      <x v="12"/>
      <x v="19"/>
      <x/>
      <x/>
    </i>
    <i>
      <x v="13"/>
      <x v="23"/>
      <x/>
      <x/>
    </i>
    <i>
      <x v="14"/>
      <x v="40"/>
      <x/>
      <x/>
    </i>
    <i>
      <x v="15"/>
      <x v="46"/>
      <x/>
      <x/>
    </i>
    <i>
      <x v="16"/>
      <x v="7"/>
      <x/>
      <x/>
    </i>
    <i>
      <x v="17"/>
      <x v="27"/>
      <x/>
      <x/>
    </i>
    <i>
      <x v="18"/>
      <x v="4"/>
      <x/>
      <x/>
    </i>
    <i>
      <x v="19"/>
      <x v="58"/>
      <x/>
      <x/>
    </i>
    <i>
      <x v="20"/>
      <x v="21"/>
      <x/>
      <x/>
    </i>
    <i>
      <x v="21"/>
      <x v="37"/>
      <x/>
      <x/>
    </i>
    <i>
      <x v="22"/>
      <x v="8"/>
      <x/>
      <x/>
    </i>
    <i>
      <x v="23"/>
      <x v="30"/>
      <x/>
      <x/>
    </i>
    <i>
      <x v="24"/>
      <x v="11"/>
      <x/>
      <x/>
    </i>
    <i>
      <x v="25"/>
      <x v="52"/>
      <x/>
      <x/>
    </i>
    <i>
      <x v="26"/>
      <x v="61"/>
      <x/>
      <x/>
    </i>
    <i>
      <x v="27"/>
      <x v="44"/>
      <x/>
      <x/>
    </i>
    <i>
      <x v="28"/>
      <x v="55"/>
      <x/>
      <x/>
    </i>
    <i>
      <x v="29"/>
      <x v="18"/>
      <x/>
      <x/>
    </i>
    <i>
      <x v="30"/>
      <x v="10"/>
      <x/>
      <x/>
    </i>
    <i>
      <x v="31"/>
      <x v="50"/>
      <x/>
      <x/>
    </i>
    <i>
      <x v="32"/>
      <x v="6"/>
      <x/>
      <x/>
    </i>
    <i>
      <x v="33"/>
      <x v="22"/>
      <x/>
      <x/>
    </i>
    <i>
      <x v="34"/>
      <x v="51"/>
      <x/>
      <x/>
    </i>
    <i>
      <x v="35"/>
      <x v="3"/>
      <x/>
      <x/>
    </i>
    <i>
      <x v="36"/>
      <x v="29"/>
      <x/>
      <x/>
    </i>
    <i>
      <x v="37"/>
      <x v="31"/>
      <x/>
      <x/>
    </i>
    <i>
      <x v="38"/>
      <x v="32"/>
      <x/>
      <x/>
    </i>
    <i>
      <x v="39"/>
      <x v="5"/>
      <x/>
      <x/>
    </i>
    <i>
      <x v="40"/>
      <x v="43"/>
      <x/>
      <x/>
    </i>
    <i>
      <x v="41"/>
      <x v="57"/>
      <x/>
      <x/>
    </i>
    <i>
      <x v="42"/>
      <x v="42"/>
      <x/>
      <x/>
    </i>
    <i>
      <x v="43"/>
      <x v="59"/>
      <x/>
      <x/>
    </i>
    <i>
      <x v="44"/>
      <x v="14"/>
      <x/>
      <x/>
    </i>
    <i>
      <x v="45"/>
      <x v="33"/>
      <x/>
      <x/>
    </i>
    <i>
      <x v="46"/>
      <x v="2"/>
      <x/>
      <x/>
    </i>
    <i>
      <x v="47"/>
      <x v="39"/>
      <x/>
      <x/>
    </i>
    <i>
      <x v="48"/>
      <x v="28"/>
      <x/>
      <x/>
    </i>
    <i>
      <x v="49"/>
      <x v="25"/>
      <x/>
      <x/>
    </i>
    <i>
      <x v="50"/>
      <x/>
      <x/>
      <x/>
    </i>
    <i>
      <x v="51"/>
      <x v="45"/>
      <x/>
      <x/>
    </i>
    <i>
      <x v="52"/>
      <x v="16"/>
      <x/>
      <x/>
    </i>
    <i>
      <x v="53"/>
      <x v="24"/>
      <x/>
      <x/>
    </i>
    <i>
      <x v="54"/>
      <x v="38"/>
      <x/>
      <x/>
    </i>
    <i>
      <x v="55"/>
      <x v="41"/>
      <x/>
      <x/>
    </i>
    <i>
      <x v="56"/>
      <x v="60"/>
      <x/>
      <x/>
    </i>
    <i>
      <x v="57"/>
      <x v="9"/>
      <x/>
      <x v="2"/>
    </i>
    <i>
      <x v="58"/>
      <x v="47"/>
      <x/>
      <x/>
    </i>
    <i>
      <x v="59"/>
      <x v="13"/>
      <x/>
      <x/>
    </i>
    <i>
      <x v="60"/>
      <x v="35"/>
      <x/>
      <x/>
    </i>
    <i>
      <x v="61"/>
      <x v="34"/>
      <x/>
      <x/>
    </i>
    <i r="3">
      <x v="2"/>
    </i>
    <i>
      <x v="62"/>
      <x v="48"/>
      <x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_Doc_20260508_0323" displayName="Rp_Doc_20260508_0323" ref="A1:AF203" totalsRowShown="0">
  <autoFilter ref="A1:AF203" xr:uid="{00000000-0009-0000-0100-000001000000}">
    <filterColumn colId="1">
      <filters>
        <filter val="b5bf19132e4a154eb66dd6052c3aa920dd4f16b794701f58f4f8b95f57cf9241d547a8c542bb480d9a260cde58709b06"/>
      </filters>
    </filterColumn>
  </autoFilter>
  <tableColumns count="32">
    <tableColumn id="1" xr3:uid="{00000000-0010-0000-0000-000001000000}" name="Tipo de documento" dataDxfId="31"/>
    <tableColumn id="2" xr3:uid="{00000000-0010-0000-0000-000002000000}" name="CUFE/CUDE" dataDxfId="30"/>
    <tableColumn id="3" xr3:uid="{00000000-0010-0000-0000-000003000000}" name="Folio" dataDxfId="29"/>
    <tableColumn id="4" xr3:uid="{00000000-0010-0000-0000-000004000000}" name="Prefijo" dataDxfId="28"/>
    <tableColumn id="5" xr3:uid="{00000000-0010-0000-0000-000005000000}" name="Divisa" dataDxfId="27"/>
    <tableColumn id="6" xr3:uid="{00000000-0010-0000-0000-000006000000}" name="Forma de Pago" dataDxfId="26"/>
    <tableColumn id="7" xr3:uid="{00000000-0010-0000-0000-000007000000}" name="Medio de Pago" dataDxfId="25"/>
    <tableColumn id="8" xr3:uid="{00000000-0010-0000-0000-000008000000}" name="Fecha Emisión" dataDxfId="24"/>
    <tableColumn id="9" xr3:uid="{00000000-0010-0000-0000-000009000000}" name="Fecha Recepción" dataDxfId="23"/>
    <tableColumn id="10" xr3:uid="{00000000-0010-0000-0000-00000A000000}" name="NIT Emisor" dataDxfId="22"/>
    <tableColumn id="11" xr3:uid="{00000000-0010-0000-0000-00000B000000}" name="Nombre Emisor" dataDxfId="21"/>
    <tableColumn id="12" xr3:uid="{00000000-0010-0000-0000-00000C000000}" name="NIT Receptor" dataDxfId="20"/>
    <tableColumn id="13" xr3:uid="{00000000-0010-0000-0000-00000D000000}" name="Nombre Receptor" dataDxfId="19"/>
    <tableColumn id="14" xr3:uid="{00000000-0010-0000-0000-00000E000000}" name="IVA" dataDxfId="18"/>
    <tableColumn id="15" xr3:uid="{00000000-0010-0000-0000-00000F000000}" name="ICA" dataDxfId="17"/>
    <tableColumn id="16" xr3:uid="{00000000-0010-0000-0000-000010000000}" name="IC" dataDxfId="16"/>
    <tableColumn id="17" xr3:uid="{00000000-0010-0000-0000-000011000000}" name="INC" dataDxfId="15"/>
    <tableColumn id="18" xr3:uid="{00000000-0010-0000-0000-000012000000}" name="Timbre" dataDxfId="14"/>
    <tableColumn id="19" xr3:uid="{00000000-0010-0000-0000-000013000000}" name="INC Bolsas" dataDxfId="13"/>
    <tableColumn id="20" xr3:uid="{00000000-0010-0000-0000-000014000000}" name="IN Carbono" dataDxfId="12"/>
    <tableColumn id="21" xr3:uid="{00000000-0010-0000-0000-000015000000}" name="IN Combustibles" dataDxfId="11"/>
    <tableColumn id="22" xr3:uid="{00000000-0010-0000-0000-000016000000}" name="IC Datos" dataDxfId="10"/>
    <tableColumn id="23" xr3:uid="{00000000-0010-0000-0000-000017000000}" name="ICL" dataDxfId="9"/>
    <tableColumn id="24" xr3:uid="{00000000-0010-0000-0000-000018000000}" name="INPP" dataDxfId="8"/>
    <tableColumn id="25" xr3:uid="{00000000-0010-0000-0000-000019000000}" name="IBUA" dataDxfId="7"/>
    <tableColumn id="26" xr3:uid="{00000000-0010-0000-0000-00001A000000}" name="ICUI" dataDxfId="6"/>
    <tableColumn id="27" xr3:uid="{00000000-0010-0000-0000-00001B000000}" name="Rete IVA" dataDxfId="5"/>
    <tableColumn id="28" xr3:uid="{00000000-0010-0000-0000-00001C000000}" name="Rete Renta" dataDxfId="4"/>
    <tableColumn id="29" xr3:uid="{00000000-0010-0000-0000-00001D000000}" name="Rete ICA" dataDxfId="3"/>
    <tableColumn id="30" xr3:uid="{00000000-0010-0000-0000-00001E000000}" name="Total" dataDxfId="2"/>
    <tableColumn id="31" xr3:uid="{00000000-0010-0000-0000-00001F000000}" name="Estado" dataDxfId="1"/>
    <tableColumn id="32" xr3:uid="{00000000-0010-0000-0000-000020000000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3"/>
  <sheetViews>
    <sheetView topLeftCell="C1" workbookViewId="0">
      <selection activeCell="N16" sqref="N16"/>
    </sheetView>
  </sheetViews>
  <sheetFormatPr baseColWidth="10" defaultColWidth="9.140625" defaultRowHeight="12.75" x14ac:dyDescent="0.2"/>
  <cols>
    <col min="1" max="1" width="24.42578125" style="1" customWidth="1"/>
    <col min="2" max="2" width="101" style="1" customWidth="1"/>
    <col min="3" max="3" width="11.5703125" style="1" customWidth="1"/>
    <col min="4" max="4" width="8.42578125" style="1" customWidth="1"/>
    <col min="5" max="5" width="7.7109375" style="1" customWidth="1"/>
    <col min="6" max="7" width="15.42578125" style="1" customWidth="1"/>
    <col min="8" max="8" width="15" style="1" customWidth="1"/>
    <col min="9" max="9" width="18.5703125" style="1" customWidth="1"/>
    <col min="10" max="10" width="12" style="1" customWidth="1"/>
    <col min="11" max="11" width="101.85546875" style="1" customWidth="1"/>
    <col min="12" max="12" width="13.7109375" style="1" customWidth="1"/>
    <col min="13" max="13" width="21.5703125" style="1" customWidth="1"/>
    <col min="14" max="14" width="10.7109375" style="1" customWidth="1"/>
    <col min="15" max="15" width="5.85546875" style="1" customWidth="1"/>
    <col min="16" max="16" width="4.7109375" style="1" customWidth="1"/>
    <col min="17" max="17" width="8.7109375" style="1" customWidth="1"/>
    <col min="18" max="18" width="8.85546875" style="1" customWidth="1"/>
    <col min="19" max="19" width="11.42578125" style="1" customWidth="1"/>
    <col min="20" max="20" width="12.28515625" style="1" customWidth="1"/>
    <col min="21" max="21" width="16.42578125" style="1" customWidth="1"/>
    <col min="22" max="22" width="9.7109375" style="1" customWidth="1"/>
    <col min="23" max="23" width="5.5703125" style="1" customWidth="1"/>
    <col min="24" max="24" width="7" style="1" customWidth="1"/>
    <col min="25" max="25" width="7.140625" style="1" customWidth="1"/>
    <col min="26" max="26" width="6.42578125" style="1" customWidth="1"/>
    <col min="27" max="27" width="10.28515625" style="1" customWidth="1"/>
    <col min="28" max="28" width="12" style="1" customWidth="1"/>
    <col min="29" max="29" width="10.140625" style="1" customWidth="1"/>
    <col min="30" max="30" width="10.7109375" style="1" customWidth="1"/>
    <col min="31" max="31" width="22.5703125" style="1" customWidth="1"/>
    <col min="32" max="32" width="8.140625" style="1" customWidth="1"/>
    <col min="33" max="33" width="9.140625" style="1" customWidth="1"/>
    <col min="34" max="16384" width="9.140625" style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hidden="1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54317.65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340200</v>
      </c>
      <c r="AE2" s="1" t="s">
        <v>45</v>
      </c>
      <c r="AF2" s="1" t="s">
        <v>46</v>
      </c>
    </row>
    <row r="3" spans="1:32" hidden="1" x14ac:dyDescent="0.2">
      <c r="A3" s="1" t="s">
        <v>32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37</v>
      </c>
      <c r="H3" s="1" t="s">
        <v>39</v>
      </c>
      <c r="I3" s="1" t="s">
        <v>50</v>
      </c>
      <c r="J3" s="1" t="s">
        <v>51</v>
      </c>
      <c r="K3" s="1" t="s">
        <v>52</v>
      </c>
      <c r="L3" s="1" t="s">
        <v>43</v>
      </c>
      <c r="M3" s="1" t="s">
        <v>53</v>
      </c>
      <c r="N3" s="1">
        <v>22831.93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143000</v>
      </c>
      <c r="AE3" s="1" t="s">
        <v>45</v>
      </c>
      <c r="AF3" s="1" t="s">
        <v>46</v>
      </c>
    </row>
    <row r="4" spans="1:32" hidden="1" x14ac:dyDescent="0.2">
      <c r="A4" s="1" t="s">
        <v>32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43</v>
      </c>
      <c r="M4" s="1" t="s">
        <v>44</v>
      </c>
      <c r="N4" s="1">
        <v>1660.5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10400</v>
      </c>
      <c r="AE4" s="1" t="s">
        <v>45</v>
      </c>
      <c r="AF4" s="1" t="s">
        <v>46</v>
      </c>
    </row>
    <row r="5" spans="1:32" x14ac:dyDescent="0.2">
      <c r="A5" s="1" t="s">
        <v>61</v>
      </c>
      <c r="B5" s="1" t="s">
        <v>62</v>
      </c>
      <c r="C5" s="1" t="s">
        <v>63</v>
      </c>
      <c r="D5" s="1" t="s">
        <v>64</v>
      </c>
      <c r="E5" s="1" t="s">
        <v>36</v>
      </c>
      <c r="F5" s="1" t="s">
        <v>37</v>
      </c>
      <c r="G5" s="1" t="s">
        <v>65</v>
      </c>
      <c r="H5" s="1" t="s">
        <v>57</v>
      </c>
      <c r="I5" s="1" t="s">
        <v>66</v>
      </c>
      <c r="J5" s="1" t="s">
        <v>67</v>
      </c>
      <c r="K5" s="1" t="s">
        <v>68</v>
      </c>
      <c r="L5" s="1" t="s">
        <v>43</v>
      </c>
      <c r="M5" s="1" t="s">
        <v>69</v>
      </c>
      <c r="N5" s="1">
        <v>4470.59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28000</v>
      </c>
      <c r="AE5" s="1" t="s">
        <v>45</v>
      </c>
      <c r="AF5" s="1" t="s">
        <v>46</v>
      </c>
    </row>
    <row r="6" spans="1:32" hidden="1" x14ac:dyDescent="0.2">
      <c r="A6" s="1" t="s">
        <v>32</v>
      </c>
      <c r="B6" s="1" t="s">
        <v>70</v>
      </c>
      <c r="C6" s="1" t="s">
        <v>71</v>
      </c>
      <c r="D6" s="1" t="s">
        <v>72</v>
      </c>
      <c r="E6" s="1" t="s">
        <v>36</v>
      </c>
      <c r="F6" s="1" t="s">
        <v>73</v>
      </c>
      <c r="G6" s="1" t="s">
        <v>74</v>
      </c>
      <c r="H6" s="1" t="s">
        <v>57</v>
      </c>
      <c r="I6" s="1" t="s">
        <v>75</v>
      </c>
      <c r="J6" s="1" t="s">
        <v>76</v>
      </c>
      <c r="K6" s="1" t="s">
        <v>77</v>
      </c>
      <c r="L6" s="1" t="s">
        <v>43</v>
      </c>
      <c r="M6" s="1" t="s">
        <v>69</v>
      </c>
      <c r="N6" s="1">
        <v>82201.59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514841.48</v>
      </c>
      <c r="AE6" s="1" t="s">
        <v>45</v>
      </c>
      <c r="AF6" s="1" t="s">
        <v>46</v>
      </c>
    </row>
    <row r="7" spans="1:32" hidden="1" x14ac:dyDescent="0.2">
      <c r="A7" s="1" t="s">
        <v>32</v>
      </c>
      <c r="B7" s="1" t="s">
        <v>78</v>
      </c>
      <c r="C7" s="1" t="s">
        <v>79</v>
      </c>
      <c r="D7" s="1" t="s">
        <v>72</v>
      </c>
      <c r="E7" s="1" t="s">
        <v>36</v>
      </c>
      <c r="F7" s="1" t="s">
        <v>37</v>
      </c>
      <c r="G7" s="1" t="s">
        <v>74</v>
      </c>
      <c r="H7" s="1" t="s">
        <v>57</v>
      </c>
      <c r="I7" s="1" t="s">
        <v>80</v>
      </c>
      <c r="J7" s="1" t="s">
        <v>76</v>
      </c>
      <c r="K7" s="1" t="s">
        <v>77</v>
      </c>
      <c r="L7" s="1" t="s">
        <v>43</v>
      </c>
      <c r="M7" s="1" t="s">
        <v>69</v>
      </c>
      <c r="N7" s="1">
        <v>66851.59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418702.09</v>
      </c>
      <c r="AE7" s="1" t="s">
        <v>45</v>
      </c>
      <c r="AF7" s="1" t="s">
        <v>46</v>
      </c>
    </row>
    <row r="8" spans="1:32" hidden="1" x14ac:dyDescent="0.2">
      <c r="A8" s="1" t="s">
        <v>32</v>
      </c>
      <c r="B8" s="1" t="s">
        <v>81</v>
      </c>
      <c r="C8" s="1" t="s">
        <v>82</v>
      </c>
      <c r="D8" s="1" t="s">
        <v>72</v>
      </c>
      <c r="E8" s="1" t="s">
        <v>36</v>
      </c>
      <c r="F8" s="1" t="s">
        <v>37</v>
      </c>
      <c r="G8" s="1" t="s">
        <v>74</v>
      </c>
      <c r="H8" s="1" t="s">
        <v>83</v>
      </c>
      <c r="I8" s="1" t="s">
        <v>84</v>
      </c>
      <c r="J8" s="1" t="s">
        <v>76</v>
      </c>
      <c r="K8" s="1" t="s">
        <v>77</v>
      </c>
      <c r="L8" s="1" t="s">
        <v>43</v>
      </c>
      <c r="M8" s="1" t="s">
        <v>69</v>
      </c>
      <c r="N8" s="1">
        <v>46934.559999999998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293958.56</v>
      </c>
      <c r="AE8" s="1" t="s">
        <v>45</v>
      </c>
      <c r="AF8" s="1" t="s">
        <v>46</v>
      </c>
    </row>
    <row r="9" spans="1:32" hidden="1" x14ac:dyDescent="0.2">
      <c r="A9" s="1" t="s">
        <v>32</v>
      </c>
      <c r="B9" s="1" t="s">
        <v>85</v>
      </c>
      <c r="C9" s="1" t="s">
        <v>86</v>
      </c>
      <c r="D9" s="1" t="s">
        <v>87</v>
      </c>
      <c r="E9" s="1" t="s">
        <v>36</v>
      </c>
      <c r="F9" s="1" t="s">
        <v>37</v>
      </c>
      <c r="G9" s="1" t="s">
        <v>88</v>
      </c>
      <c r="H9" s="1" t="s">
        <v>83</v>
      </c>
      <c r="I9" s="1" t="s">
        <v>89</v>
      </c>
      <c r="J9" s="1" t="s">
        <v>90</v>
      </c>
      <c r="K9" s="1" t="s">
        <v>91</v>
      </c>
      <c r="L9" s="1" t="s">
        <v>43</v>
      </c>
      <c r="M9" s="1" t="s">
        <v>92</v>
      </c>
      <c r="N9" s="1">
        <v>25337.22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158691</v>
      </c>
      <c r="AE9" s="1" t="s">
        <v>45</v>
      </c>
      <c r="AF9" s="1" t="s">
        <v>46</v>
      </c>
    </row>
    <row r="10" spans="1:32" hidden="1" x14ac:dyDescent="0.2">
      <c r="A10" s="1" t="s">
        <v>32</v>
      </c>
      <c r="B10" s="1" t="s">
        <v>93</v>
      </c>
      <c r="C10" s="1" t="s">
        <v>94</v>
      </c>
      <c r="D10" s="1" t="s">
        <v>95</v>
      </c>
      <c r="E10" s="1" t="s">
        <v>36</v>
      </c>
      <c r="F10" s="1" t="s">
        <v>37</v>
      </c>
      <c r="G10" s="1" t="s">
        <v>73</v>
      </c>
      <c r="H10" s="1" t="s">
        <v>96</v>
      </c>
      <c r="I10" s="1" t="s">
        <v>97</v>
      </c>
      <c r="J10" s="1" t="s">
        <v>98</v>
      </c>
      <c r="K10" s="1" t="s">
        <v>99</v>
      </c>
      <c r="L10" s="1" t="s">
        <v>43</v>
      </c>
      <c r="M10" s="1" t="s">
        <v>100</v>
      </c>
      <c r="N10" s="1">
        <v>58788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815400</v>
      </c>
      <c r="AE10" s="1" t="s">
        <v>45</v>
      </c>
      <c r="AF10" s="1" t="s">
        <v>46</v>
      </c>
    </row>
    <row r="11" spans="1:32" hidden="1" x14ac:dyDescent="0.2">
      <c r="A11" s="1" t="s">
        <v>32</v>
      </c>
      <c r="B11" s="1" t="s">
        <v>101</v>
      </c>
      <c r="C11" s="1" t="s">
        <v>102</v>
      </c>
      <c r="D11" s="1" t="s">
        <v>103</v>
      </c>
      <c r="E11" s="1" t="s">
        <v>36</v>
      </c>
      <c r="F11" s="1" t="s">
        <v>37</v>
      </c>
      <c r="G11" s="1" t="s">
        <v>104</v>
      </c>
      <c r="H11" s="1" t="s">
        <v>96</v>
      </c>
      <c r="I11" s="1" t="s">
        <v>105</v>
      </c>
      <c r="J11" s="1" t="s">
        <v>106</v>
      </c>
      <c r="K11" s="1" t="s">
        <v>107</v>
      </c>
      <c r="L11" s="1" t="s">
        <v>43</v>
      </c>
      <c r="M11" s="1" t="s">
        <v>108</v>
      </c>
      <c r="N11" s="1">
        <v>72826.009999999995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904833</v>
      </c>
      <c r="AE11" s="1" t="s">
        <v>45</v>
      </c>
      <c r="AF11" s="1" t="s">
        <v>46</v>
      </c>
    </row>
    <row r="12" spans="1:32" hidden="1" x14ac:dyDescent="0.2">
      <c r="A12" s="1" t="s">
        <v>32</v>
      </c>
      <c r="B12" s="1" t="s">
        <v>109</v>
      </c>
      <c r="C12" s="1" t="s">
        <v>110</v>
      </c>
      <c r="D12" s="1" t="s">
        <v>111</v>
      </c>
      <c r="E12" s="1" t="s">
        <v>36</v>
      </c>
      <c r="F12" s="1" t="s">
        <v>37</v>
      </c>
      <c r="G12" s="1" t="s">
        <v>38</v>
      </c>
      <c r="H12" s="1" t="s">
        <v>96</v>
      </c>
      <c r="I12" s="1" t="s">
        <v>112</v>
      </c>
      <c r="J12" s="1" t="s">
        <v>113</v>
      </c>
      <c r="K12" s="1" t="s">
        <v>114</v>
      </c>
      <c r="L12" s="1" t="s">
        <v>43</v>
      </c>
      <c r="M12" s="1" t="s">
        <v>115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160000</v>
      </c>
      <c r="AE12" s="1" t="s">
        <v>45</v>
      </c>
      <c r="AF12" s="1" t="s">
        <v>46</v>
      </c>
    </row>
    <row r="13" spans="1:32" hidden="1" x14ac:dyDescent="0.2">
      <c r="A13" s="1" t="s">
        <v>32</v>
      </c>
      <c r="B13" s="1" t="s">
        <v>116</v>
      </c>
      <c r="C13" s="1" t="s">
        <v>117</v>
      </c>
      <c r="D13" s="1" t="s">
        <v>87</v>
      </c>
      <c r="E13" s="1" t="s">
        <v>36</v>
      </c>
      <c r="F13" s="1" t="s">
        <v>37</v>
      </c>
      <c r="G13" s="1" t="s">
        <v>65</v>
      </c>
      <c r="H13" s="1" t="s">
        <v>118</v>
      </c>
      <c r="I13" s="1" t="s">
        <v>119</v>
      </c>
      <c r="J13" s="1" t="s">
        <v>90</v>
      </c>
      <c r="K13" s="1" t="s">
        <v>91</v>
      </c>
      <c r="L13" s="1" t="s">
        <v>43</v>
      </c>
      <c r="M13" s="1" t="s">
        <v>92</v>
      </c>
      <c r="N13" s="1">
        <v>70700.639999999999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442809.28</v>
      </c>
      <c r="AE13" s="1" t="s">
        <v>45</v>
      </c>
      <c r="AF13" s="1" t="s">
        <v>46</v>
      </c>
    </row>
    <row r="14" spans="1:32" hidden="1" x14ac:dyDescent="0.2">
      <c r="A14" s="1" t="s">
        <v>32</v>
      </c>
      <c r="B14" s="1" t="s">
        <v>120</v>
      </c>
      <c r="C14" s="1" t="s">
        <v>121</v>
      </c>
      <c r="D14" s="1" t="s">
        <v>122</v>
      </c>
      <c r="E14" s="1" t="s">
        <v>36</v>
      </c>
      <c r="F14" s="1" t="s">
        <v>37</v>
      </c>
      <c r="G14" s="1" t="s">
        <v>88</v>
      </c>
      <c r="H14" s="1" t="s">
        <v>123</v>
      </c>
      <c r="I14" s="1" t="s">
        <v>124</v>
      </c>
      <c r="J14" s="1" t="s">
        <v>125</v>
      </c>
      <c r="K14" s="1" t="s">
        <v>126</v>
      </c>
      <c r="L14" s="1" t="s">
        <v>43</v>
      </c>
      <c r="M14" s="1" t="s">
        <v>127</v>
      </c>
      <c r="N14" s="1">
        <v>19159.66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120000</v>
      </c>
      <c r="AE14" s="1" t="s">
        <v>45</v>
      </c>
      <c r="AF14" s="1" t="s">
        <v>46</v>
      </c>
    </row>
    <row r="15" spans="1:32" hidden="1" x14ac:dyDescent="0.2">
      <c r="A15" s="1" t="s">
        <v>32</v>
      </c>
      <c r="B15" s="1" t="s">
        <v>128</v>
      </c>
      <c r="C15" s="1" t="s">
        <v>129</v>
      </c>
      <c r="D15" s="1" t="s">
        <v>130</v>
      </c>
      <c r="E15" s="1" t="s">
        <v>36</v>
      </c>
      <c r="F15" s="1" t="s">
        <v>37</v>
      </c>
      <c r="G15" s="1" t="s">
        <v>88</v>
      </c>
      <c r="H15" s="1" t="s">
        <v>123</v>
      </c>
      <c r="I15" s="1" t="s">
        <v>131</v>
      </c>
      <c r="J15" s="1" t="s">
        <v>132</v>
      </c>
      <c r="K15" s="1" t="s">
        <v>133</v>
      </c>
      <c r="L15" s="1" t="s">
        <v>43</v>
      </c>
      <c r="M15" s="1" t="s">
        <v>44</v>
      </c>
      <c r="N15" s="1">
        <v>6226.89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39000</v>
      </c>
      <c r="AE15" s="1" t="s">
        <v>45</v>
      </c>
      <c r="AF15" s="1" t="s">
        <v>46</v>
      </c>
    </row>
    <row r="16" spans="1:32" hidden="1" x14ac:dyDescent="0.2">
      <c r="A16" s="1" t="s">
        <v>32</v>
      </c>
      <c r="B16" s="1" t="s">
        <v>134</v>
      </c>
      <c r="C16" s="1" t="s">
        <v>135</v>
      </c>
      <c r="D16" s="1" t="s">
        <v>136</v>
      </c>
      <c r="E16" s="1" t="s">
        <v>36</v>
      </c>
      <c r="F16" s="1" t="s">
        <v>37</v>
      </c>
      <c r="G16" s="1" t="s">
        <v>88</v>
      </c>
      <c r="H16" s="1" t="s">
        <v>137</v>
      </c>
      <c r="I16" s="1" t="s">
        <v>138</v>
      </c>
      <c r="J16" s="1" t="s">
        <v>139</v>
      </c>
      <c r="K16" s="1" t="s">
        <v>140</v>
      </c>
      <c r="L16" s="1" t="s">
        <v>43</v>
      </c>
      <c r="M16" s="1" t="s">
        <v>141</v>
      </c>
      <c r="N16" s="1">
        <v>9172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131200</v>
      </c>
      <c r="AE16" s="1" t="s">
        <v>45</v>
      </c>
      <c r="AF16" s="1" t="s">
        <v>46</v>
      </c>
    </row>
    <row r="17" spans="1:32" hidden="1" x14ac:dyDescent="0.2">
      <c r="A17" s="1" t="s">
        <v>32</v>
      </c>
      <c r="B17" s="1" t="s">
        <v>142</v>
      </c>
      <c r="C17" s="1" t="s">
        <v>143</v>
      </c>
      <c r="D17" s="1" t="s">
        <v>144</v>
      </c>
      <c r="E17" s="1" t="s">
        <v>36</v>
      </c>
      <c r="F17" s="1" t="s">
        <v>37</v>
      </c>
      <c r="G17" s="1" t="s">
        <v>104</v>
      </c>
      <c r="H17" s="1" t="s">
        <v>137</v>
      </c>
      <c r="I17" s="1" t="s">
        <v>145</v>
      </c>
      <c r="J17" s="1" t="s">
        <v>146</v>
      </c>
      <c r="K17" s="1" t="s">
        <v>147</v>
      </c>
      <c r="L17" s="1" t="s">
        <v>43</v>
      </c>
      <c r="M17" s="1" t="s">
        <v>44</v>
      </c>
      <c r="N17" s="1">
        <v>20876.05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130750</v>
      </c>
      <c r="AE17" s="1" t="s">
        <v>45</v>
      </c>
      <c r="AF17" s="1" t="s">
        <v>46</v>
      </c>
    </row>
    <row r="18" spans="1:32" hidden="1" x14ac:dyDescent="0.2">
      <c r="A18" s="1" t="s">
        <v>32</v>
      </c>
      <c r="B18" s="1" t="s">
        <v>148</v>
      </c>
      <c r="C18" s="1" t="s">
        <v>149</v>
      </c>
      <c r="D18" s="1" t="s">
        <v>144</v>
      </c>
      <c r="E18" s="1" t="s">
        <v>36</v>
      </c>
      <c r="F18" s="1" t="s">
        <v>37</v>
      </c>
      <c r="G18" s="1" t="s">
        <v>88</v>
      </c>
      <c r="H18" s="1" t="s">
        <v>137</v>
      </c>
      <c r="I18" s="1" t="s">
        <v>150</v>
      </c>
      <c r="J18" s="1" t="s">
        <v>146</v>
      </c>
      <c r="K18" s="1" t="s">
        <v>147</v>
      </c>
      <c r="L18" s="1" t="s">
        <v>43</v>
      </c>
      <c r="M18" s="1" t="s">
        <v>44</v>
      </c>
      <c r="N18" s="1">
        <v>9487.65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192800</v>
      </c>
      <c r="AE18" s="1" t="s">
        <v>45</v>
      </c>
      <c r="AF18" s="1" t="s">
        <v>46</v>
      </c>
    </row>
    <row r="19" spans="1:32" hidden="1" x14ac:dyDescent="0.2">
      <c r="A19" s="1" t="s">
        <v>32</v>
      </c>
      <c r="B19" s="1" t="s">
        <v>151</v>
      </c>
      <c r="C19" s="1" t="s">
        <v>152</v>
      </c>
      <c r="D19" s="1" t="s">
        <v>153</v>
      </c>
      <c r="E19" s="1" t="s">
        <v>36</v>
      </c>
      <c r="F19" s="1" t="s">
        <v>37</v>
      </c>
      <c r="G19" s="1" t="s">
        <v>104</v>
      </c>
      <c r="H19" s="1" t="s">
        <v>154</v>
      </c>
      <c r="I19" s="1" t="s">
        <v>155</v>
      </c>
      <c r="J19" s="1" t="s">
        <v>156</v>
      </c>
      <c r="K19" s="1" t="s">
        <v>157</v>
      </c>
      <c r="L19" s="1" t="s">
        <v>43</v>
      </c>
      <c r="M19" s="1" t="s">
        <v>158</v>
      </c>
      <c r="N19" s="1">
        <v>6857.56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42950</v>
      </c>
      <c r="AE19" s="1" t="s">
        <v>45</v>
      </c>
      <c r="AF19" s="1" t="s">
        <v>46</v>
      </c>
    </row>
    <row r="20" spans="1:32" hidden="1" x14ac:dyDescent="0.2">
      <c r="A20" s="1" t="s">
        <v>32</v>
      </c>
      <c r="B20" s="1" t="s">
        <v>159</v>
      </c>
      <c r="C20" s="1" t="s">
        <v>160</v>
      </c>
      <c r="D20" s="1" t="s">
        <v>103</v>
      </c>
      <c r="E20" s="1" t="s">
        <v>36</v>
      </c>
      <c r="F20" s="1" t="s">
        <v>37</v>
      </c>
      <c r="G20" s="1" t="s">
        <v>104</v>
      </c>
      <c r="H20" s="1" t="s">
        <v>154</v>
      </c>
      <c r="I20" s="1" t="s">
        <v>161</v>
      </c>
      <c r="J20" s="1" t="s">
        <v>106</v>
      </c>
      <c r="K20" s="1" t="s">
        <v>107</v>
      </c>
      <c r="L20" s="1" t="s">
        <v>43</v>
      </c>
      <c r="M20" s="1" t="s">
        <v>108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167328</v>
      </c>
      <c r="AE20" s="1" t="s">
        <v>45</v>
      </c>
      <c r="AF20" s="1" t="s">
        <v>46</v>
      </c>
    </row>
    <row r="21" spans="1:32" hidden="1" x14ac:dyDescent="0.2">
      <c r="A21" s="1" t="s">
        <v>32</v>
      </c>
      <c r="B21" s="1" t="s">
        <v>162</v>
      </c>
      <c r="C21" s="1" t="s">
        <v>163</v>
      </c>
      <c r="D21" s="1" t="s">
        <v>56</v>
      </c>
      <c r="E21" s="1" t="s">
        <v>36</v>
      </c>
      <c r="F21" s="1" t="s">
        <v>37</v>
      </c>
      <c r="G21" s="1" t="s">
        <v>38</v>
      </c>
      <c r="H21" s="1" t="s">
        <v>164</v>
      </c>
      <c r="I21" s="1" t="s">
        <v>165</v>
      </c>
      <c r="J21" s="1" t="s">
        <v>59</v>
      </c>
      <c r="K21" s="1" t="s">
        <v>60</v>
      </c>
      <c r="L21" s="1" t="s">
        <v>43</v>
      </c>
      <c r="M21" s="1" t="s">
        <v>44</v>
      </c>
      <c r="N21" s="1">
        <v>4071.43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25500</v>
      </c>
      <c r="AE21" s="1" t="s">
        <v>45</v>
      </c>
      <c r="AF21" s="1" t="s">
        <v>46</v>
      </c>
    </row>
    <row r="22" spans="1:32" hidden="1" x14ac:dyDescent="0.2">
      <c r="A22" s="1" t="s">
        <v>32</v>
      </c>
      <c r="B22" s="1" t="s">
        <v>166</v>
      </c>
      <c r="C22" s="1" t="s">
        <v>167</v>
      </c>
      <c r="D22" s="1" t="s">
        <v>72</v>
      </c>
      <c r="E22" s="1" t="s">
        <v>36</v>
      </c>
      <c r="F22" s="1" t="s">
        <v>37</v>
      </c>
      <c r="G22" s="1" t="s">
        <v>74</v>
      </c>
      <c r="H22" s="1" t="s">
        <v>168</v>
      </c>
      <c r="I22" s="1" t="s">
        <v>169</v>
      </c>
      <c r="J22" s="1" t="s">
        <v>76</v>
      </c>
      <c r="K22" s="1" t="s">
        <v>77</v>
      </c>
      <c r="L22" s="1" t="s">
        <v>43</v>
      </c>
      <c r="M22" s="1" t="s">
        <v>69</v>
      </c>
      <c r="N22" s="1">
        <v>88099.199999999997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551779.19999999995</v>
      </c>
      <c r="AE22" s="1" t="s">
        <v>45</v>
      </c>
      <c r="AF22" s="1" t="s">
        <v>46</v>
      </c>
    </row>
    <row r="23" spans="1:32" hidden="1" x14ac:dyDescent="0.2">
      <c r="A23" s="1" t="s">
        <v>32</v>
      </c>
      <c r="B23" s="1" t="s">
        <v>170</v>
      </c>
      <c r="C23" s="1" t="s">
        <v>171</v>
      </c>
      <c r="D23" s="1" t="s">
        <v>72</v>
      </c>
      <c r="E23" s="1" t="s">
        <v>36</v>
      </c>
      <c r="F23" s="1" t="s">
        <v>73</v>
      </c>
      <c r="G23" s="1" t="s">
        <v>74</v>
      </c>
      <c r="H23" s="1" t="s">
        <v>168</v>
      </c>
      <c r="I23" s="1" t="s">
        <v>172</v>
      </c>
      <c r="J23" s="1" t="s">
        <v>76</v>
      </c>
      <c r="K23" s="1" t="s">
        <v>77</v>
      </c>
      <c r="L23" s="1" t="s">
        <v>43</v>
      </c>
      <c r="M23" s="1" t="s">
        <v>69</v>
      </c>
      <c r="N23" s="1">
        <v>132053.99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827074.99</v>
      </c>
      <c r="AE23" s="1" t="s">
        <v>45</v>
      </c>
      <c r="AF23" s="1" t="s">
        <v>46</v>
      </c>
    </row>
    <row r="24" spans="1:32" hidden="1" x14ac:dyDescent="0.2">
      <c r="A24" s="1" t="s">
        <v>32</v>
      </c>
      <c r="B24" s="1" t="s">
        <v>173</v>
      </c>
      <c r="C24" s="1" t="s">
        <v>174</v>
      </c>
      <c r="D24" s="1" t="s">
        <v>175</v>
      </c>
      <c r="E24" s="1" t="s">
        <v>36</v>
      </c>
      <c r="F24" s="1" t="s">
        <v>73</v>
      </c>
      <c r="G24" s="1" t="s">
        <v>176</v>
      </c>
      <c r="H24" s="1" t="s">
        <v>177</v>
      </c>
      <c r="I24" s="1" t="s">
        <v>178</v>
      </c>
      <c r="J24" s="1" t="s">
        <v>67</v>
      </c>
      <c r="K24" s="1" t="s">
        <v>68</v>
      </c>
      <c r="L24" s="1" t="s">
        <v>43</v>
      </c>
      <c r="M24" s="1" t="s">
        <v>69</v>
      </c>
      <c r="N24" s="1">
        <v>6139.08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38450</v>
      </c>
      <c r="AE24" s="1" t="s">
        <v>45</v>
      </c>
      <c r="AF24" s="1" t="s">
        <v>46</v>
      </c>
    </row>
    <row r="25" spans="1:32" hidden="1" x14ac:dyDescent="0.2">
      <c r="A25" s="1" t="s">
        <v>32</v>
      </c>
      <c r="B25" s="1" t="s">
        <v>179</v>
      </c>
      <c r="C25" s="1" t="s">
        <v>180</v>
      </c>
      <c r="D25" s="1" t="s">
        <v>181</v>
      </c>
      <c r="E25" s="1" t="s">
        <v>36</v>
      </c>
      <c r="F25" s="1" t="s">
        <v>37</v>
      </c>
      <c r="G25" s="1" t="s">
        <v>38</v>
      </c>
      <c r="H25" s="1" t="s">
        <v>182</v>
      </c>
      <c r="I25" s="1" t="s">
        <v>183</v>
      </c>
      <c r="J25" s="1" t="s">
        <v>184</v>
      </c>
      <c r="K25" s="1" t="s">
        <v>185</v>
      </c>
      <c r="L25" s="1" t="s">
        <v>43</v>
      </c>
      <c r="M25" s="1" t="s">
        <v>44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170356</v>
      </c>
      <c r="AE25" s="1" t="s">
        <v>45</v>
      </c>
      <c r="AF25" s="1" t="s">
        <v>46</v>
      </c>
    </row>
    <row r="26" spans="1:32" hidden="1" x14ac:dyDescent="0.2">
      <c r="A26" s="1" t="s">
        <v>32</v>
      </c>
      <c r="B26" s="1" t="s">
        <v>186</v>
      </c>
      <c r="C26" s="1" t="s">
        <v>187</v>
      </c>
      <c r="D26" s="1" t="s">
        <v>188</v>
      </c>
      <c r="E26" s="1" t="s">
        <v>36</v>
      </c>
      <c r="F26" s="1" t="s">
        <v>37</v>
      </c>
      <c r="G26" s="1" t="s">
        <v>38</v>
      </c>
      <c r="H26" s="1" t="s">
        <v>182</v>
      </c>
      <c r="I26" s="1" t="s">
        <v>189</v>
      </c>
      <c r="J26" s="1" t="s">
        <v>190</v>
      </c>
      <c r="K26" s="1" t="s">
        <v>191</v>
      </c>
      <c r="L26" s="1" t="s">
        <v>43</v>
      </c>
      <c r="M26" s="1" t="s">
        <v>44</v>
      </c>
      <c r="N26" s="1">
        <v>18324.03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114766.348</v>
      </c>
      <c r="AE26" s="1" t="s">
        <v>45</v>
      </c>
      <c r="AF26" s="1" t="s">
        <v>46</v>
      </c>
    </row>
    <row r="27" spans="1:32" hidden="1" x14ac:dyDescent="0.2">
      <c r="A27" s="1" t="s">
        <v>32</v>
      </c>
      <c r="B27" s="1" t="s">
        <v>192</v>
      </c>
      <c r="C27" s="1" t="s">
        <v>193</v>
      </c>
      <c r="D27" s="1" t="s">
        <v>194</v>
      </c>
      <c r="E27" s="1" t="s">
        <v>36</v>
      </c>
      <c r="F27" s="1" t="s">
        <v>37</v>
      </c>
      <c r="G27" s="1" t="s">
        <v>88</v>
      </c>
      <c r="H27" s="1" t="s">
        <v>195</v>
      </c>
      <c r="I27" s="1" t="s">
        <v>196</v>
      </c>
      <c r="J27" s="1" t="s">
        <v>132</v>
      </c>
      <c r="K27" s="1" t="s">
        <v>197</v>
      </c>
      <c r="L27" s="1" t="s">
        <v>43</v>
      </c>
      <c r="M27" s="1" t="s">
        <v>44</v>
      </c>
      <c r="N27" s="1">
        <v>4949.58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31000</v>
      </c>
      <c r="AE27" s="1" t="s">
        <v>45</v>
      </c>
      <c r="AF27" s="1" t="s">
        <v>46</v>
      </c>
    </row>
    <row r="28" spans="1:32" hidden="1" x14ac:dyDescent="0.2">
      <c r="A28" s="1" t="s">
        <v>32</v>
      </c>
      <c r="B28" s="1" t="s">
        <v>198</v>
      </c>
      <c r="C28" s="1" t="s">
        <v>199</v>
      </c>
      <c r="D28" s="1" t="s">
        <v>200</v>
      </c>
      <c r="E28" s="1" t="s">
        <v>36</v>
      </c>
      <c r="F28" s="1" t="s">
        <v>37</v>
      </c>
      <c r="G28" s="1" t="s">
        <v>73</v>
      </c>
      <c r="H28" s="1" t="s">
        <v>201</v>
      </c>
      <c r="I28" s="1" t="s">
        <v>202</v>
      </c>
      <c r="J28" s="1" t="s">
        <v>98</v>
      </c>
      <c r="K28" s="1" t="s">
        <v>99</v>
      </c>
      <c r="L28" s="1" t="s">
        <v>43</v>
      </c>
      <c r="M28" s="1" t="s">
        <v>100</v>
      </c>
      <c r="N28" s="1">
        <v>16094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233256</v>
      </c>
      <c r="AE28" s="1" t="s">
        <v>45</v>
      </c>
      <c r="AF28" s="1" t="s">
        <v>46</v>
      </c>
    </row>
    <row r="29" spans="1:32" hidden="1" x14ac:dyDescent="0.2">
      <c r="A29" s="1" t="s">
        <v>32</v>
      </c>
      <c r="B29" s="1" t="s">
        <v>203</v>
      </c>
      <c r="C29" s="1" t="s">
        <v>204</v>
      </c>
      <c r="D29" s="1" t="s">
        <v>205</v>
      </c>
      <c r="E29" s="1" t="s">
        <v>36</v>
      </c>
      <c r="F29" s="1" t="s">
        <v>37</v>
      </c>
      <c r="G29" s="1" t="s">
        <v>176</v>
      </c>
      <c r="H29" s="1" t="s">
        <v>206</v>
      </c>
      <c r="I29" s="1" t="s">
        <v>207</v>
      </c>
      <c r="J29" s="1" t="s">
        <v>208</v>
      </c>
      <c r="K29" s="1" t="s">
        <v>209</v>
      </c>
      <c r="L29" s="1" t="s">
        <v>43</v>
      </c>
      <c r="M29" s="1" t="s">
        <v>210</v>
      </c>
      <c r="N29" s="1">
        <v>34003.730000000003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212969.54</v>
      </c>
      <c r="AE29" s="1" t="s">
        <v>45</v>
      </c>
      <c r="AF29" s="1" t="s">
        <v>46</v>
      </c>
    </row>
    <row r="30" spans="1:32" hidden="1" x14ac:dyDescent="0.2">
      <c r="A30" s="1" t="s">
        <v>32</v>
      </c>
      <c r="B30" s="1" t="s">
        <v>211</v>
      </c>
      <c r="C30" s="1" t="s">
        <v>212</v>
      </c>
      <c r="D30" s="1" t="s">
        <v>205</v>
      </c>
      <c r="E30" s="1" t="s">
        <v>36</v>
      </c>
      <c r="F30" s="1" t="s">
        <v>37</v>
      </c>
      <c r="G30" s="1" t="s">
        <v>176</v>
      </c>
      <c r="H30" s="1" t="s">
        <v>206</v>
      </c>
      <c r="I30" s="1" t="s">
        <v>213</v>
      </c>
      <c r="J30" s="1" t="s">
        <v>208</v>
      </c>
      <c r="K30" s="1" t="s">
        <v>209</v>
      </c>
      <c r="L30" s="1" t="s">
        <v>43</v>
      </c>
      <c r="M30" s="1" t="s">
        <v>210</v>
      </c>
      <c r="N30" s="1">
        <v>12931.02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80990.210000000006</v>
      </c>
      <c r="AE30" s="1" t="s">
        <v>45</v>
      </c>
      <c r="AF30" s="1" t="s">
        <v>46</v>
      </c>
    </row>
    <row r="31" spans="1:32" hidden="1" x14ac:dyDescent="0.2">
      <c r="A31" s="1" t="s">
        <v>32</v>
      </c>
      <c r="B31" s="1" t="s">
        <v>214</v>
      </c>
      <c r="C31" s="1" t="s">
        <v>215</v>
      </c>
      <c r="D31" s="1" t="s">
        <v>72</v>
      </c>
      <c r="E31" s="1" t="s">
        <v>36</v>
      </c>
      <c r="F31" s="1" t="s">
        <v>37</v>
      </c>
      <c r="G31" s="1" t="s">
        <v>38</v>
      </c>
      <c r="H31" s="1" t="s">
        <v>206</v>
      </c>
      <c r="I31" s="1" t="s">
        <v>216</v>
      </c>
      <c r="J31" s="1" t="s">
        <v>217</v>
      </c>
      <c r="K31" s="1" t="s">
        <v>218</v>
      </c>
      <c r="L31" s="1" t="s">
        <v>43</v>
      </c>
      <c r="M31" s="1" t="s">
        <v>219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175329</v>
      </c>
      <c r="AE31" s="1" t="s">
        <v>45</v>
      </c>
      <c r="AF31" s="1" t="s">
        <v>46</v>
      </c>
    </row>
    <row r="32" spans="1:32" hidden="1" x14ac:dyDescent="0.2">
      <c r="A32" s="1" t="s">
        <v>32</v>
      </c>
      <c r="B32" s="1" t="s">
        <v>220</v>
      </c>
      <c r="C32" s="1" t="s">
        <v>221</v>
      </c>
      <c r="D32" s="1" t="s">
        <v>188</v>
      </c>
      <c r="E32" s="1" t="s">
        <v>36</v>
      </c>
      <c r="F32" s="1" t="s">
        <v>37</v>
      </c>
      <c r="G32" s="1" t="s">
        <v>38</v>
      </c>
      <c r="H32" s="1" t="s">
        <v>206</v>
      </c>
      <c r="I32" s="1" t="s">
        <v>222</v>
      </c>
      <c r="J32" s="1" t="s">
        <v>190</v>
      </c>
      <c r="K32" s="1" t="s">
        <v>191</v>
      </c>
      <c r="L32" s="1" t="s">
        <v>43</v>
      </c>
      <c r="M32" s="1" t="s">
        <v>44</v>
      </c>
      <c r="N32" s="1">
        <v>4838.28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30302.935000000001</v>
      </c>
      <c r="AE32" s="1" t="s">
        <v>45</v>
      </c>
      <c r="AF32" s="1" t="s">
        <v>46</v>
      </c>
    </row>
    <row r="33" spans="1:32" hidden="1" x14ac:dyDescent="0.2">
      <c r="A33" s="1" t="s">
        <v>32</v>
      </c>
      <c r="B33" s="1" t="s">
        <v>223</v>
      </c>
      <c r="C33" s="1" t="s">
        <v>224</v>
      </c>
      <c r="D33" s="1" t="s">
        <v>175</v>
      </c>
      <c r="E33" s="1" t="s">
        <v>36</v>
      </c>
      <c r="F33" s="1" t="s">
        <v>73</v>
      </c>
      <c r="G33" s="1" t="s">
        <v>176</v>
      </c>
      <c r="H33" s="1" t="s">
        <v>225</v>
      </c>
      <c r="I33" s="1" t="s">
        <v>226</v>
      </c>
      <c r="J33" s="1" t="s">
        <v>67</v>
      </c>
      <c r="K33" s="1" t="s">
        <v>68</v>
      </c>
      <c r="L33" s="1" t="s">
        <v>43</v>
      </c>
      <c r="M33" s="1" t="s">
        <v>69</v>
      </c>
      <c r="N33" s="1">
        <v>138109.24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865000</v>
      </c>
      <c r="AE33" s="1" t="s">
        <v>45</v>
      </c>
      <c r="AF33" s="1" t="s">
        <v>46</v>
      </c>
    </row>
    <row r="34" spans="1:32" hidden="1" x14ac:dyDescent="0.2">
      <c r="A34" s="1" t="s">
        <v>32</v>
      </c>
      <c r="B34" s="1" t="s">
        <v>227</v>
      </c>
      <c r="C34" s="1" t="s">
        <v>228</v>
      </c>
      <c r="D34" s="1" t="s">
        <v>229</v>
      </c>
      <c r="E34" s="1" t="s">
        <v>36</v>
      </c>
      <c r="F34" s="1" t="s">
        <v>37</v>
      </c>
      <c r="G34" s="1" t="s">
        <v>104</v>
      </c>
      <c r="H34" s="1" t="s">
        <v>225</v>
      </c>
      <c r="I34" s="1" t="s">
        <v>230</v>
      </c>
      <c r="J34" s="1" t="s">
        <v>156</v>
      </c>
      <c r="K34" s="1" t="s">
        <v>157</v>
      </c>
      <c r="L34" s="1" t="s">
        <v>43</v>
      </c>
      <c r="M34" s="1" t="s">
        <v>158</v>
      </c>
      <c r="N34" s="1">
        <v>10793.28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67600</v>
      </c>
      <c r="AE34" s="1" t="s">
        <v>45</v>
      </c>
      <c r="AF34" s="1" t="s">
        <v>46</v>
      </c>
    </row>
    <row r="35" spans="1:32" hidden="1" x14ac:dyDescent="0.2">
      <c r="A35" s="1" t="s">
        <v>32</v>
      </c>
      <c r="B35" s="1" t="s">
        <v>231</v>
      </c>
      <c r="C35" s="1" t="s">
        <v>232</v>
      </c>
      <c r="D35" s="1" t="s">
        <v>233</v>
      </c>
      <c r="E35" s="1" t="s">
        <v>36</v>
      </c>
      <c r="F35" s="1" t="s">
        <v>37</v>
      </c>
      <c r="G35" s="1" t="s">
        <v>88</v>
      </c>
      <c r="H35" s="1" t="s">
        <v>234</v>
      </c>
      <c r="I35" s="1" t="s">
        <v>235</v>
      </c>
      <c r="J35" s="1" t="s">
        <v>236</v>
      </c>
      <c r="K35" s="1" t="s">
        <v>237</v>
      </c>
      <c r="L35" s="1" t="s">
        <v>43</v>
      </c>
      <c r="M35" s="1" t="s">
        <v>238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176440</v>
      </c>
      <c r="AE35" s="1" t="s">
        <v>45</v>
      </c>
      <c r="AF35" s="1" t="s">
        <v>46</v>
      </c>
    </row>
    <row r="36" spans="1:32" hidden="1" x14ac:dyDescent="0.2">
      <c r="A36" s="1" t="s">
        <v>32</v>
      </c>
      <c r="B36" s="1" t="s">
        <v>239</v>
      </c>
      <c r="C36" s="1" t="s">
        <v>240</v>
      </c>
      <c r="D36" s="1" t="s">
        <v>241</v>
      </c>
      <c r="E36" s="1" t="s">
        <v>36</v>
      </c>
      <c r="F36" s="1" t="s">
        <v>37</v>
      </c>
      <c r="G36" s="1" t="s">
        <v>38</v>
      </c>
      <c r="H36" s="1" t="s">
        <v>242</v>
      </c>
      <c r="I36" s="1" t="s">
        <v>243</v>
      </c>
      <c r="J36" s="1" t="s">
        <v>41</v>
      </c>
      <c r="K36" s="1" t="s">
        <v>42</v>
      </c>
      <c r="L36" s="1" t="s">
        <v>43</v>
      </c>
      <c r="M36" s="1" t="s">
        <v>44</v>
      </c>
      <c r="N36" s="1">
        <v>36770.589999999997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230300</v>
      </c>
      <c r="AE36" s="1" t="s">
        <v>45</v>
      </c>
      <c r="AF36" s="1" t="s">
        <v>46</v>
      </c>
    </row>
    <row r="37" spans="1:32" hidden="1" x14ac:dyDescent="0.2">
      <c r="A37" s="1" t="s">
        <v>32</v>
      </c>
      <c r="B37" s="1" t="s">
        <v>244</v>
      </c>
      <c r="C37" s="1" t="s">
        <v>245</v>
      </c>
      <c r="D37" s="1" t="s">
        <v>246</v>
      </c>
      <c r="E37" s="1" t="s">
        <v>36</v>
      </c>
      <c r="F37" s="1" t="s">
        <v>37</v>
      </c>
      <c r="G37" s="1" t="s">
        <v>38</v>
      </c>
      <c r="H37" s="1" t="s">
        <v>242</v>
      </c>
      <c r="I37" s="1" t="s">
        <v>247</v>
      </c>
      <c r="J37" s="1" t="s">
        <v>248</v>
      </c>
      <c r="K37" s="1" t="s">
        <v>249</v>
      </c>
      <c r="L37" s="1" t="s">
        <v>43</v>
      </c>
      <c r="M37" s="1" t="s">
        <v>44</v>
      </c>
      <c r="N37" s="1">
        <v>27925.21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174900</v>
      </c>
      <c r="AE37" s="1" t="s">
        <v>45</v>
      </c>
      <c r="AF37" s="1" t="s">
        <v>46</v>
      </c>
    </row>
    <row r="38" spans="1:32" hidden="1" x14ac:dyDescent="0.2">
      <c r="A38" s="1" t="s">
        <v>32</v>
      </c>
      <c r="B38" s="1" t="s">
        <v>250</v>
      </c>
      <c r="C38" s="1" t="s">
        <v>251</v>
      </c>
      <c r="D38" s="1" t="s">
        <v>252</v>
      </c>
      <c r="E38" s="1" t="s">
        <v>36</v>
      </c>
      <c r="F38" s="1" t="s">
        <v>37</v>
      </c>
      <c r="G38" s="1" t="s">
        <v>37</v>
      </c>
      <c r="H38" s="1" t="s">
        <v>242</v>
      </c>
      <c r="I38" s="1" t="s">
        <v>253</v>
      </c>
      <c r="J38" s="1" t="s">
        <v>254</v>
      </c>
      <c r="K38" s="1" t="s">
        <v>255</v>
      </c>
      <c r="L38" s="1" t="s">
        <v>43</v>
      </c>
      <c r="M38" s="1" t="s">
        <v>100</v>
      </c>
      <c r="N38" s="1">
        <v>4180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26180</v>
      </c>
      <c r="AE38" s="1" t="s">
        <v>45</v>
      </c>
      <c r="AF38" s="1" t="s">
        <v>46</v>
      </c>
    </row>
    <row r="39" spans="1:32" hidden="1" x14ac:dyDescent="0.2">
      <c r="A39" s="1" t="s">
        <v>32</v>
      </c>
      <c r="B39" s="1" t="s">
        <v>256</v>
      </c>
      <c r="C39" s="1" t="s">
        <v>257</v>
      </c>
      <c r="D39" s="1" t="s">
        <v>188</v>
      </c>
      <c r="E39" s="1" t="s">
        <v>36</v>
      </c>
      <c r="F39" s="1" t="s">
        <v>37</v>
      </c>
      <c r="G39" s="1" t="s">
        <v>65</v>
      </c>
      <c r="H39" s="1" t="s">
        <v>258</v>
      </c>
      <c r="I39" s="1" t="s">
        <v>259</v>
      </c>
      <c r="J39" s="1" t="s">
        <v>190</v>
      </c>
      <c r="K39" s="1" t="s">
        <v>191</v>
      </c>
      <c r="L39" s="1" t="s">
        <v>43</v>
      </c>
      <c r="M39" s="1" t="s">
        <v>44</v>
      </c>
      <c r="N39" s="1">
        <v>37446.04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234530.42300000001</v>
      </c>
      <c r="AE39" s="1" t="s">
        <v>45</v>
      </c>
      <c r="AF39" s="1" t="s">
        <v>46</v>
      </c>
    </row>
    <row r="40" spans="1:32" hidden="1" x14ac:dyDescent="0.2">
      <c r="A40" s="1" t="s">
        <v>32</v>
      </c>
      <c r="B40" s="1" t="s">
        <v>260</v>
      </c>
      <c r="C40" s="1" t="s">
        <v>261</v>
      </c>
      <c r="D40" s="1" t="s">
        <v>175</v>
      </c>
      <c r="E40" s="1" t="s">
        <v>36</v>
      </c>
      <c r="F40" s="1" t="s">
        <v>73</v>
      </c>
      <c r="G40" s="1" t="s">
        <v>176</v>
      </c>
      <c r="H40" s="1" t="s">
        <v>262</v>
      </c>
      <c r="I40" s="1" t="s">
        <v>263</v>
      </c>
      <c r="J40" s="1" t="s">
        <v>67</v>
      </c>
      <c r="K40" s="1" t="s">
        <v>68</v>
      </c>
      <c r="L40" s="1" t="s">
        <v>43</v>
      </c>
      <c r="M40" s="1" t="s">
        <v>69</v>
      </c>
      <c r="N40" s="1">
        <v>17563.03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110000</v>
      </c>
      <c r="AE40" s="1" t="s">
        <v>45</v>
      </c>
      <c r="AF40" s="1" t="s">
        <v>46</v>
      </c>
    </row>
    <row r="41" spans="1:32" hidden="1" x14ac:dyDescent="0.2">
      <c r="A41" s="1" t="s">
        <v>32</v>
      </c>
      <c r="B41" s="1" t="s">
        <v>264</v>
      </c>
      <c r="C41" s="1" t="s">
        <v>265</v>
      </c>
      <c r="D41" s="1" t="s">
        <v>200</v>
      </c>
      <c r="E41" s="1" t="s">
        <v>36</v>
      </c>
      <c r="F41" s="1" t="s">
        <v>37</v>
      </c>
      <c r="G41" s="1" t="s">
        <v>73</v>
      </c>
      <c r="H41" s="1" t="s">
        <v>262</v>
      </c>
      <c r="I41" s="1" t="s">
        <v>266</v>
      </c>
      <c r="J41" s="1" t="s">
        <v>98</v>
      </c>
      <c r="K41" s="1" t="s">
        <v>99</v>
      </c>
      <c r="L41" s="1" t="s">
        <v>43</v>
      </c>
      <c r="M41" s="1" t="s">
        <v>100</v>
      </c>
      <c r="N41" s="1">
        <v>185178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1159800</v>
      </c>
      <c r="AE41" s="1" t="s">
        <v>45</v>
      </c>
      <c r="AF41" s="1" t="s">
        <v>46</v>
      </c>
    </row>
    <row r="42" spans="1:32" hidden="1" x14ac:dyDescent="0.2">
      <c r="A42" s="1" t="s">
        <v>32</v>
      </c>
      <c r="B42" s="1" t="s">
        <v>267</v>
      </c>
      <c r="C42" s="1" t="s">
        <v>268</v>
      </c>
      <c r="D42" s="1" t="s">
        <v>200</v>
      </c>
      <c r="E42" s="1" t="s">
        <v>36</v>
      </c>
      <c r="F42" s="1" t="s">
        <v>37</v>
      </c>
      <c r="G42" s="1" t="s">
        <v>73</v>
      </c>
      <c r="H42" s="1" t="s">
        <v>262</v>
      </c>
      <c r="I42" s="1" t="s">
        <v>269</v>
      </c>
      <c r="J42" s="1" t="s">
        <v>98</v>
      </c>
      <c r="K42" s="1" t="s">
        <v>99</v>
      </c>
      <c r="L42" s="1" t="s">
        <v>43</v>
      </c>
      <c r="M42" s="1" t="s">
        <v>100</v>
      </c>
      <c r="N42" s="1">
        <v>19112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687422</v>
      </c>
      <c r="AE42" s="1" t="s">
        <v>45</v>
      </c>
      <c r="AF42" s="1" t="s">
        <v>46</v>
      </c>
    </row>
    <row r="43" spans="1:32" hidden="1" x14ac:dyDescent="0.2">
      <c r="A43" s="1" t="s">
        <v>32</v>
      </c>
      <c r="B43" s="1" t="s">
        <v>270</v>
      </c>
      <c r="C43" s="1" t="s">
        <v>271</v>
      </c>
      <c r="D43" s="1" t="s">
        <v>272</v>
      </c>
      <c r="E43" s="1" t="s">
        <v>36</v>
      </c>
      <c r="F43" s="1" t="s">
        <v>37</v>
      </c>
      <c r="G43" s="1" t="s">
        <v>38</v>
      </c>
      <c r="H43" s="1" t="s">
        <v>273</v>
      </c>
      <c r="I43" s="1" t="s">
        <v>274</v>
      </c>
      <c r="J43" s="1" t="s">
        <v>275</v>
      </c>
      <c r="K43" s="1" t="s">
        <v>276</v>
      </c>
      <c r="L43" s="1" t="s">
        <v>43</v>
      </c>
      <c r="M43" s="1" t="s">
        <v>277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176330</v>
      </c>
      <c r="AE43" s="1" t="s">
        <v>45</v>
      </c>
      <c r="AF43" s="1" t="s">
        <v>46</v>
      </c>
    </row>
    <row r="44" spans="1:32" hidden="1" x14ac:dyDescent="0.2">
      <c r="A44" s="1" t="s">
        <v>32</v>
      </c>
      <c r="B44" s="1" t="s">
        <v>278</v>
      </c>
      <c r="C44" s="1" t="s">
        <v>279</v>
      </c>
      <c r="D44" s="1" t="s">
        <v>200</v>
      </c>
      <c r="E44" s="1" t="s">
        <v>36</v>
      </c>
      <c r="F44" s="1" t="s">
        <v>37</v>
      </c>
      <c r="G44" s="1" t="s">
        <v>73</v>
      </c>
      <c r="H44" s="1" t="s">
        <v>280</v>
      </c>
      <c r="I44" s="1" t="s">
        <v>281</v>
      </c>
      <c r="J44" s="1" t="s">
        <v>98</v>
      </c>
      <c r="K44" s="1" t="s">
        <v>99</v>
      </c>
      <c r="L44" s="1" t="s">
        <v>43</v>
      </c>
      <c r="M44" s="1" t="s">
        <v>100</v>
      </c>
      <c r="N44" s="1">
        <v>185178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1159800</v>
      </c>
      <c r="AE44" s="1" t="s">
        <v>45</v>
      </c>
      <c r="AF44" s="1" t="s">
        <v>46</v>
      </c>
    </row>
    <row r="45" spans="1:32" hidden="1" x14ac:dyDescent="0.2">
      <c r="A45" s="1" t="s">
        <v>32</v>
      </c>
      <c r="B45" s="1" t="s">
        <v>282</v>
      </c>
      <c r="C45" s="1" t="s">
        <v>283</v>
      </c>
      <c r="D45" s="1" t="s">
        <v>87</v>
      </c>
      <c r="E45" s="1" t="s">
        <v>36</v>
      </c>
      <c r="F45" s="1" t="s">
        <v>37</v>
      </c>
      <c r="G45" s="1" t="s">
        <v>88</v>
      </c>
      <c r="H45" s="1" t="s">
        <v>280</v>
      </c>
      <c r="I45" s="1" t="s">
        <v>284</v>
      </c>
      <c r="J45" s="1" t="s">
        <v>90</v>
      </c>
      <c r="K45" s="1" t="s">
        <v>91</v>
      </c>
      <c r="L45" s="1" t="s">
        <v>43</v>
      </c>
      <c r="M45" s="1" t="s">
        <v>92</v>
      </c>
      <c r="N45" s="1">
        <v>33158.19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207675</v>
      </c>
      <c r="AE45" s="1" t="s">
        <v>45</v>
      </c>
      <c r="AF45" s="1" t="s">
        <v>46</v>
      </c>
    </row>
    <row r="46" spans="1:32" hidden="1" x14ac:dyDescent="0.2">
      <c r="A46" s="1" t="s">
        <v>32</v>
      </c>
      <c r="B46" s="1" t="s">
        <v>285</v>
      </c>
      <c r="C46" s="1" t="s">
        <v>286</v>
      </c>
      <c r="D46" s="1" t="s">
        <v>287</v>
      </c>
      <c r="E46" s="1" t="s">
        <v>36</v>
      </c>
      <c r="F46" s="1" t="s">
        <v>73</v>
      </c>
      <c r="G46" s="1" t="s">
        <v>65</v>
      </c>
      <c r="H46" s="1" t="s">
        <v>280</v>
      </c>
      <c r="I46" s="1" t="s">
        <v>288</v>
      </c>
      <c r="J46" s="1" t="s">
        <v>289</v>
      </c>
      <c r="K46" s="1" t="s">
        <v>290</v>
      </c>
      <c r="L46" s="1" t="s">
        <v>43</v>
      </c>
      <c r="M46" s="1" t="s">
        <v>100</v>
      </c>
      <c r="N46" s="1">
        <v>77508.81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485450.33</v>
      </c>
      <c r="AE46" s="1" t="s">
        <v>45</v>
      </c>
      <c r="AF46" s="1" t="s">
        <v>46</v>
      </c>
    </row>
    <row r="47" spans="1:32" hidden="1" x14ac:dyDescent="0.2">
      <c r="A47" s="1" t="s">
        <v>32</v>
      </c>
      <c r="B47" s="1" t="s">
        <v>291</v>
      </c>
      <c r="C47" s="1" t="s">
        <v>292</v>
      </c>
      <c r="D47" s="1" t="s">
        <v>293</v>
      </c>
      <c r="E47" s="1" t="s">
        <v>36</v>
      </c>
      <c r="F47" s="1" t="s">
        <v>37</v>
      </c>
      <c r="G47" s="1" t="s">
        <v>38</v>
      </c>
      <c r="H47" s="1" t="s">
        <v>294</v>
      </c>
      <c r="I47" s="1" t="s">
        <v>295</v>
      </c>
      <c r="J47" s="1" t="s">
        <v>296</v>
      </c>
      <c r="K47" s="1" t="s">
        <v>297</v>
      </c>
      <c r="L47" s="1" t="s">
        <v>43</v>
      </c>
      <c r="M47" s="1" t="s">
        <v>69</v>
      </c>
      <c r="N47" s="1">
        <v>0</v>
      </c>
      <c r="O47" s="1">
        <v>0</v>
      </c>
      <c r="P47" s="1">
        <v>0</v>
      </c>
      <c r="Q47" s="1">
        <v>18000.03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250000</v>
      </c>
      <c r="AE47" s="1" t="s">
        <v>45</v>
      </c>
      <c r="AF47" s="1" t="s">
        <v>46</v>
      </c>
    </row>
    <row r="48" spans="1:32" hidden="1" x14ac:dyDescent="0.2">
      <c r="A48" s="1" t="s">
        <v>32</v>
      </c>
      <c r="B48" s="1" t="s">
        <v>298</v>
      </c>
      <c r="C48" s="1" t="s">
        <v>299</v>
      </c>
      <c r="D48" s="1" t="s">
        <v>175</v>
      </c>
      <c r="E48" s="1" t="s">
        <v>36</v>
      </c>
      <c r="F48" s="1" t="s">
        <v>73</v>
      </c>
      <c r="G48" s="1" t="s">
        <v>176</v>
      </c>
      <c r="H48" s="1" t="s">
        <v>300</v>
      </c>
      <c r="I48" s="1" t="s">
        <v>301</v>
      </c>
      <c r="J48" s="1" t="s">
        <v>67</v>
      </c>
      <c r="K48" s="1" t="s">
        <v>68</v>
      </c>
      <c r="L48" s="1" t="s">
        <v>43</v>
      </c>
      <c r="M48" s="1" t="s">
        <v>69</v>
      </c>
      <c r="N48" s="1">
        <v>84142.86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527000</v>
      </c>
      <c r="AE48" s="1" t="s">
        <v>45</v>
      </c>
      <c r="AF48" s="1" t="s">
        <v>46</v>
      </c>
    </row>
    <row r="49" spans="1:32" hidden="1" x14ac:dyDescent="0.2">
      <c r="A49" s="1" t="s">
        <v>32</v>
      </c>
      <c r="B49" s="1" t="s">
        <v>302</v>
      </c>
      <c r="C49" s="1" t="s">
        <v>303</v>
      </c>
      <c r="D49" s="1" t="s">
        <v>304</v>
      </c>
      <c r="E49" s="1" t="s">
        <v>36</v>
      </c>
      <c r="F49" s="1" t="s">
        <v>37</v>
      </c>
      <c r="G49" s="1" t="s">
        <v>88</v>
      </c>
      <c r="H49" s="1" t="s">
        <v>305</v>
      </c>
      <c r="I49" s="1" t="s">
        <v>306</v>
      </c>
      <c r="J49" s="1" t="s">
        <v>307</v>
      </c>
      <c r="K49" s="1" t="s">
        <v>308</v>
      </c>
      <c r="L49" s="1" t="s">
        <v>43</v>
      </c>
      <c r="M49" s="1" t="s">
        <v>69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172590</v>
      </c>
      <c r="AE49" s="1" t="s">
        <v>45</v>
      </c>
      <c r="AF49" s="1" t="s">
        <v>46</v>
      </c>
    </row>
    <row r="50" spans="1:32" hidden="1" x14ac:dyDescent="0.2">
      <c r="A50" s="1" t="s">
        <v>32</v>
      </c>
      <c r="B50" s="1" t="s">
        <v>309</v>
      </c>
      <c r="C50" s="1" t="s">
        <v>310</v>
      </c>
      <c r="D50" s="1" t="s">
        <v>287</v>
      </c>
      <c r="E50" s="1" t="s">
        <v>36</v>
      </c>
      <c r="F50" s="1" t="s">
        <v>73</v>
      </c>
      <c r="G50" s="1" t="s">
        <v>65</v>
      </c>
      <c r="H50" s="1" t="s">
        <v>311</v>
      </c>
      <c r="I50" s="1" t="s">
        <v>312</v>
      </c>
      <c r="J50" s="1" t="s">
        <v>289</v>
      </c>
      <c r="K50" s="1" t="s">
        <v>290</v>
      </c>
      <c r="L50" s="1" t="s">
        <v>43</v>
      </c>
      <c r="M50" s="1" t="s">
        <v>100</v>
      </c>
      <c r="N50" s="1">
        <v>1160243.67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7266793.2999999998</v>
      </c>
      <c r="AE50" s="1" t="s">
        <v>45</v>
      </c>
      <c r="AF50" s="1" t="s">
        <v>46</v>
      </c>
    </row>
    <row r="51" spans="1:32" hidden="1" x14ac:dyDescent="0.2">
      <c r="A51" s="1" t="s">
        <v>32</v>
      </c>
      <c r="B51" s="1" t="s">
        <v>313</v>
      </c>
      <c r="C51" s="1" t="s">
        <v>314</v>
      </c>
      <c r="D51" s="1" t="s">
        <v>315</v>
      </c>
      <c r="E51" s="1" t="s">
        <v>36</v>
      </c>
      <c r="F51" s="1" t="s">
        <v>37</v>
      </c>
      <c r="G51" s="1" t="s">
        <v>104</v>
      </c>
      <c r="H51" s="1" t="s">
        <v>316</v>
      </c>
      <c r="I51" s="1" t="s">
        <v>317</v>
      </c>
      <c r="J51" s="1" t="s">
        <v>318</v>
      </c>
      <c r="K51" s="1" t="s">
        <v>319</v>
      </c>
      <c r="L51" s="1" t="s">
        <v>43</v>
      </c>
      <c r="M51" s="1" t="s">
        <v>141</v>
      </c>
      <c r="N51" s="1">
        <v>12294.12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77000</v>
      </c>
      <c r="AE51" s="1" t="s">
        <v>45</v>
      </c>
      <c r="AF51" s="1" t="s">
        <v>46</v>
      </c>
    </row>
    <row r="52" spans="1:32" hidden="1" x14ac:dyDescent="0.2">
      <c r="A52" s="1" t="s">
        <v>32</v>
      </c>
      <c r="B52" s="1" t="s">
        <v>320</v>
      </c>
      <c r="C52" s="1" t="s">
        <v>321</v>
      </c>
      <c r="D52" s="1" t="s">
        <v>287</v>
      </c>
      <c r="E52" s="1" t="s">
        <v>36</v>
      </c>
      <c r="F52" s="1" t="s">
        <v>37</v>
      </c>
      <c r="G52" s="1" t="s">
        <v>38</v>
      </c>
      <c r="H52" s="1" t="s">
        <v>322</v>
      </c>
      <c r="I52" s="1" t="s">
        <v>323</v>
      </c>
      <c r="J52" s="1" t="s">
        <v>289</v>
      </c>
      <c r="K52" s="1" t="s">
        <v>290</v>
      </c>
      <c r="L52" s="1" t="s">
        <v>43</v>
      </c>
      <c r="M52" s="1" t="s">
        <v>100</v>
      </c>
      <c r="N52" s="1">
        <v>7983.19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50000.01</v>
      </c>
      <c r="AE52" s="1" t="s">
        <v>45</v>
      </c>
      <c r="AF52" s="1" t="s">
        <v>46</v>
      </c>
    </row>
    <row r="53" spans="1:32" hidden="1" x14ac:dyDescent="0.2">
      <c r="A53" s="1" t="s">
        <v>32</v>
      </c>
      <c r="B53" s="1" t="s">
        <v>324</v>
      </c>
      <c r="C53" s="1" t="s">
        <v>325</v>
      </c>
      <c r="D53" s="1" t="s">
        <v>326</v>
      </c>
      <c r="E53" s="1" t="s">
        <v>36</v>
      </c>
      <c r="F53" s="1" t="s">
        <v>37</v>
      </c>
      <c r="G53" s="1" t="s">
        <v>88</v>
      </c>
      <c r="H53" s="1" t="s">
        <v>327</v>
      </c>
      <c r="I53" s="1" t="s">
        <v>328</v>
      </c>
      <c r="J53" s="1" t="s">
        <v>329</v>
      </c>
      <c r="K53" s="1" t="s">
        <v>330</v>
      </c>
      <c r="L53" s="1" t="s">
        <v>43</v>
      </c>
      <c r="M53" s="1" t="s">
        <v>331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175450</v>
      </c>
      <c r="AE53" s="1" t="s">
        <v>45</v>
      </c>
      <c r="AF53" s="1" t="s">
        <v>46</v>
      </c>
    </row>
    <row r="54" spans="1:32" hidden="1" x14ac:dyDescent="0.2">
      <c r="A54" s="1" t="s">
        <v>32</v>
      </c>
      <c r="B54" s="1" t="s">
        <v>332</v>
      </c>
      <c r="C54" s="1" t="s">
        <v>333</v>
      </c>
      <c r="D54" s="1" t="s">
        <v>56</v>
      </c>
      <c r="E54" s="1" t="s">
        <v>36</v>
      </c>
      <c r="F54" s="1" t="s">
        <v>37</v>
      </c>
      <c r="G54" s="1" t="s">
        <v>38</v>
      </c>
      <c r="H54" s="1" t="s">
        <v>334</v>
      </c>
      <c r="I54" s="1" t="s">
        <v>335</v>
      </c>
      <c r="J54" s="1" t="s">
        <v>59</v>
      </c>
      <c r="K54" s="1" t="s">
        <v>60</v>
      </c>
      <c r="L54" s="1" t="s">
        <v>43</v>
      </c>
      <c r="M54" s="1" t="s">
        <v>44</v>
      </c>
      <c r="N54" s="1">
        <v>3117.92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19528</v>
      </c>
      <c r="AE54" s="1" t="s">
        <v>45</v>
      </c>
      <c r="AF54" s="1" t="s">
        <v>46</v>
      </c>
    </row>
    <row r="55" spans="1:32" hidden="1" x14ac:dyDescent="0.2">
      <c r="A55" s="1" t="s">
        <v>32</v>
      </c>
      <c r="B55" s="1" t="s">
        <v>336</v>
      </c>
      <c r="C55" s="1" t="s">
        <v>337</v>
      </c>
      <c r="D55" s="1" t="s">
        <v>181</v>
      </c>
      <c r="E55" s="1" t="s">
        <v>36</v>
      </c>
      <c r="F55" s="1" t="s">
        <v>37</v>
      </c>
      <c r="G55" s="1" t="s">
        <v>88</v>
      </c>
      <c r="H55" s="1" t="s">
        <v>334</v>
      </c>
      <c r="I55" s="1" t="s">
        <v>338</v>
      </c>
      <c r="J55" s="1" t="s">
        <v>184</v>
      </c>
      <c r="K55" s="1" t="s">
        <v>185</v>
      </c>
      <c r="L55" s="1" t="s">
        <v>43</v>
      </c>
      <c r="M55" s="1" t="s">
        <v>44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100000</v>
      </c>
      <c r="AE55" s="1" t="s">
        <v>45</v>
      </c>
      <c r="AF55" s="1" t="s">
        <v>46</v>
      </c>
    </row>
    <row r="56" spans="1:32" hidden="1" x14ac:dyDescent="0.2">
      <c r="A56" s="1" t="s">
        <v>32</v>
      </c>
      <c r="B56" s="1" t="s">
        <v>339</v>
      </c>
      <c r="C56" s="1" t="s">
        <v>340</v>
      </c>
      <c r="D56" s="1" t="s">
        <v>341</v>
      </c>
      <c r="E56" s="1" t="s">
        <v>36</v>
      </c>
      <c r="F56" s="1" t="s">
        <v>37</v>
      </c>
      <c r="G56" s="1" t="s">
        <v>65</v>
      </c>
      <c r="H56" s="1" t="s">
        <v>342</v>
      </c>
      <c r="I56" s="1" t="s">
        <v>343</v>
      </c>
      <c r="J56" s="1" t="s">
        <v>344</v>
      </c>
      <c r="K56" s="1" t="s">
        <v>345</v>
      </c>
      <c r="L56" s="1" t="s">
        <v>43</v>
      </c>
      <c r="M56" s="1" t="s">
        <v>69</v>
      </c>
      <c r="N56" s="1">
        <v>2171.42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13600</v>
      </c>
      <c r="AE56" s="1" t="s">
        <v>45</v>
      </c>
      <c r="AF56" s="1" t="s">
        <v>46</v>
      </c>
    </row>
    <row r="57" spans="1:32" hidden="1" x14ac:dyDescent="0.2">
      <c r="A57" s="1" t="s">
        <v>32</v>
      </c>
      <c r="B57" s="1" t="s">
        <v>346</v>
      </c>
      <c r="C57" s="1" t="s">
        <v>347</v>
      </c>
      <c r="D57" s="1" t="s">
        <v>348</v>
      </c>
      <c r="E57" s="1" t="s">
        <v>36</v>
      </c>
      <c r="F57" s="1" t="s">
        <v>37</v>
      </c>
      <c r="G57" s="1" t="s">
        <v>65</v>
      </c>
      <c r="H57" s="1" t="s">
        <v>342</v>
      </c>
      <c r="I57" s="1" t="s">
        <v>349</v>
      </c>
      <c r="J57" s="1" t="s">
        <v>344</v>
      </c>
      <c r="K57" s="1" t="s">
        <v>345</v>
      </c>
      <c r="L57" s="1" t="s">
        <v>43</v>
      </c>
      <c r="M57" s="1" t="s">
        <v>69</v>
      </c>
      <c r="N57" s="1">
        <v>17004.2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106500</v>
      </c>
      <c r="AE57" s="1" t="s">
        <v>45</v>
      </c>
      <c r="AF57" s="1" t="s">
        <v>46</v>
      </c>
    </row>
    <row r="58" spans="1:32" hidden="1" x14ac:dyDescent="0.2">
      <c r="A58" s="1" t="s">
        <v>350</v>
      </c>
      <c r="B58" s="1" t="s">
        <v>351</v>
      </c>
      <c r="C58" s="1" t="s">
        <v>352</v>
      </c>
      <c r="D58" s="1" t="s">
        <v>353</v>
      </c>
      <c r="E58" s="1" t="s">
        <v>36</v>
      </c>
      <c r="F58" s="1" t="s">
        <v>37</v>
      </c>
      <c r="G58" s="1" t="s">
        <v>37</v>
      </c>
      <c r="H58" s="1" t="s">
        <v>342</v>
      </c>
      <c r="I58" s="1" t="s">
        <v>354</v>
      </c>
      <c r="J58" s="1" t="s">
        <v>344</v>
      </c>
      <c r="K58" s="1" t="s">
        <v>345</v>
      </c>
      <c r="L58" s="1" t="s">
        <v>43</v>
      </c>
      <c r="M58" s="1" t="s">
        <v>69</v>
      </c>
      <c r="N58" s="1">
        <v>1596.64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10000</v>
      </c>
      <c r="AE58" s="1" t="s">
        <v>45</v>
      </c>
      <c r="AF58" s="1" t="s">
        <v>46</v>
      </c>
    </row>
    <row r="59" spans="1:32" hidden="1" x14ac:dyDescent="0.2">
      <c r="A59" s="1" t="s">
        <v>350</v>
      </c>
      <c r="B59" s="1" t="s">
        <v>355</v>
      </c>
      <c r="C59" s="1" t="s">
        <v>356</v>
      </c>
      <c r="D59" s="1" t="s">
        <v>353</v>
      </c>
      <c r="E59" s="1" t="s">
        <v>36</v>
      </c>
      <c r="F59" s="1" t="s">
        <v>37</v>
      </c>
      <c r="G59" s="1" t="s">
        <v>37</v>
      </c>
      <c r="H59" s="1" t="s">
        <v>342</v>
      </c>
      <c r="I59" s="1" t="s">
        <v>357</v>
      </c>
      <c r="J59" s="1" t="s">
        <v>344</v>
      </c>
      <c r="K59" s="1" t="s">
        <v>345</v>
      </c>
      <c r="L59" s="1" t="s">
        <v>43</v>
      </c>
      <c r="M59" s="1" t="s">
        <v>69</v>
      </c>
      <c r="N59" s="1">
        <v>16924.37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106000</v>
      </c>
      <c r="AE59" s="1" t="s">
        <v>45</v>
      </c>
      <c r="AF59" s="1" t="s">
        <v>46</v>
      </c>
    </row>
    <row r="60" spans="1:32" hidden="1" x14ac:dyDescent="0.2">
      <c r="A60" s="1" t="s">
        <v>32</v>
      </c>
      <c r="B60" s="1" t="s">
        <v>358</v>
      </c>
      <c r="C60" s="1" t="s">
        <v>359</v>
      </c>
      <c r="D60" s="1" t="s">
        <v>341</v>
      </c>
      <c r="E60" s="1" t="s">
        <v>36</v>
      </c>
      <c r="F60" s="1" t="s">
        <v>37</v>
      </c>
      <c r="G60" s="1" t="s">
        <v>65</v>
      </c>
      <c r="H60" s="1" t="s">
        <v>360</v>
      </c>
      <c r="I60" s="1" t="s">
        <v>361</v>
      </c>
      <c r="J60" s="1" t="s">
        <v>344</v>
      </c>
      <c r="K60" s="1" t="s">
        <v>345</v>
      </c>
      <c r="L60" s="1" t="s">
        <v>43</v>
      </c>
      <c r="M60" s="1" t="s">
        <v>69</v>
      </c>
      <c r="N60" s="1">
        <v>48282.35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302400</v>
      </c>
      <c r="AE60" s="1" t="s">
        <v>45</v>
      </c>
      <c r="AF60" s="1" t="s">
        <v>46</v>
      </c>
    </row>
    <row r="61" spans="1:32" hidden="1" x14ac:dyDescent="0.2">
      <c r="A61" s="1" t="s">
        <v>32</v>
      </c>
      <c r="B61" s="1" t="s">
        <v>362</v>
      </c>
      <c r="C61" s="1" t="s">
        <v>363</v>
      </c>
      <c r="D61" s="1" t="s">
        <v>341</v>
      </c>
      <c r="E61" s="1" t="s">
        <v>36</v>
      </c>
      <c r="F61" s="1" t="s">
        <v>37</v>
      </c>
      <c r="G61" s="1" t="s">
        <v>65</v>
      </c>
      <c r="H61" s="1" t="s">
        <v>364</v>
      </c>
      <c r="I61" s="1" t="s">
        <v>365</v>
      </c>
      <c r="J61" s="1" t="s">
        <v>344</v>
      </c>
      <c r="K61" s="1" t="s">
        <v>345</v>
      </c>
      <c r="L61" s="1" t="s">
        <v>43</v>
      </c>
      <c r="M61" s="1" t="s">
        <v>69</v>
      </c>
      <c r="N61" s="1">
        <v>65925.210000000006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412900</v>
      </c>
      <c r="AE61" s="1" t="s">
        <v>45</v>
      </c>
      <c r="AF61" s="1" t="s">
        <v>46</v>
      </c>
    </row>
    <row r="62" spans="1:32" hidden="1" x14ac:dyDescent="0.2">
      <c r="A62" s="1" t="s">
        <v>32</v>
      </c>
      <c r="B62" s="1" t="s">
        <v>366</v>
      </c>
      <c r="C62" s="1" t="s">
        <v>367</v>
      </c>
      <c r="D62" s="1" t="s">
        <v>348</v>
      </c>
      <c r="E62" s="1" t="s">
        <v>36</v>
      </c>
      <c r="F62" s="1" t="s">
        <v>37</v>
      </c>
      <c r="G62" s="1" t="s">
        <v>65</v>
      </c>
      <c r="H62" s="1" t="s">
        <v>364</v>
      </c>
      <c r="I62" s="1" t="s">
        <v>368</v>
      </c>
      <c r="J62" s="1" t="s">
        <v>344</v>
      </c>
      <c r="K62" s="1" t="s">
        <v>345</v>
      </c>
      <c r="L62" s="1" t="s">
        <v>43</v>
      </c>
      <c r="M62" s="1" t="s">
        <v>69</v>
      </c>
      <c r="N62" s="1">
        <v>2315.13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14500</v>
      </c>
      <c r="AE62" s="1" t="s">
        <v>45</v>
      </c>
      <c r="AF62" s="1" t="s">
        <v>46</v>
      </c>
    </row>
    <row r="63" spans="1:32" hidden="1" x14ac:dyDescent="0.2">
      <c r="A63" s="1" t="s">
        <v>32</v>
      </c>
      <c r="B63" s="1" t="s">
        <v>369</v>
      </c>
      <c r="C63" s="1" t="s">
        <v>370</v>
      </c>
      <c r="D63" s="1" t="s">
        <v>348</v>
      </c>
      <c r="E63" s="1" t="s">
        <v>36</v>
      </c>
      <c r="F63" s="1" t="s">
        <v>37</v>
      </c>
      <c r="G63" s="1" t="s">
        <v>65</v>
      </c>
      <c r="H63" s="1" t="s">
        <v>364</v>
      </c>
      <c r="I63" s="1" t="s">
        <v>371</v>
      </c>
      <c r="J63" s="1" t="s">
        <v>344</v>
      </c>
      <c r="K63" s="1" t="s">
        <v>345</v>
      </c>
      <c r="L63" s="1" t="s">
        <v>43</v>
      </c>
      <c r="M63" s="1" t="s">
        <v>69</v>
      </c>
      <c r="N63" s="1">
        <v>32156.32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201400</v>
      </c>
      <c r="AE63" s="1" t="s">
        <v>45</v>
      </c>
      <c r="AF63" s="1" t="s">
        <v>46</v>
      </c>
    </row>
    <row r="64" spans="1:32" hidden="1" x14ac:dyDescent="0.2">
      <c r="A64" s="1" t="s">
        <v>32</v>
      </c>
      <c r="B64" s="1" t="s">
        <v>372</v>
      </c>
      <c r="C64" s="1" t="s">
        <v>373</v>
      </c>
      <c r="D64" s="1" t="s">
        <v>188</v>
      </c>
      <c r="E64" s="1" t="s">
        <v>36</v>
      </c>
      <c r="F64" s="1" t="s">
        <v>37</v>
      </c>
      <c r="G64" s="1" t="s">
        <v>38</v>
      </c>
      <c r="H64" s="1" t="s">
        <v>374</v>
      </c>
      <c r="I64" s="1" t="s">
        <v>375</v>
      </c>
      <c r="J64" s="1" t="s">
        <v>190</v>
      </c>
      <c r="K64" s="1" t="s">
        <v>191</v>
      </c>
      <c r="L64" s="1" t="s">
        <v>43</v>
      </c>
      <c r="M64" s="1" t="s">
        <v>44</v>
      </c>
      <c r="N64" s="1">
        <v>608.98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3814.12</v>
      </c>
      <c r="AE64" s="1" t="s">
        <v>45</v>
      </c>
      <c r="AF64" s="1" t="s">
        <v>46</v>
      </c>
    </row>
    <row r="65" spans="1:32" hidden="1" x14ac:dyDescent="0.2">
      <c r="A65" s="1" t="s">
        <v>32</v>
      </c>
      <c r="B65" s="1" t="s">
        <v>376</v>
      </c>
      <c r="C65" s="1" t="s">
        <v>377</v>
      </c>
      <c r="D65" s="1" t="s">
        <v>181</v>
      </c>
      <c r="E65" s="1" t="s">
        <v>36</v>
      </c>
      <c r="F65" s="1" t="s">
        <v>37</v>
      </c>
      <c r="G65" s="1" t="s">
        <v>88</v>
      </c>
      <c r="H65" s="1" t="s">
        <v>374</v>
      </c>
      <c r="I65" s="1" t="s">
        <v>378</v>
      </c>
      <c r="J65" s="1" t="s">
        <v>184</v>
      </c>
      <c r="K65" s="1" t="s">
        <v>185</v>
      </c>
      <c r="L65" s="1" t="s">
        <v>43</v>
      </c>
      <c r="M65" s="1" t="s">
        <v>44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100000</v>
      </c>
      <c r="AE65" s="1" t="s">
        <v>45</v>
      </c>
      <c r="AF65" s="1" t="s">
        <v>46</v>
      </c>
    </row>
    <row r="66" spans="1:32" hidden="1" x14ac:dyDescent="0.2">
      <c r="A66" s="1" t="s">
        <v>32</v>
      </c>
      <c r="B66" s="1" t="s">
        <v>379</v>
      </c>
      <c r="C66" s="1" t="s">
        <v>380</v>
      </c>
      <c r="D66" s="1" t="s">
        <v>87</v>
      </c>
      <c r="E66" s="1" t="s">
        <v>36</v>
      </c>
      <c r="F66" s="1" t="s">
        <v>37</v>
      </c>
      <c r="G66" s="1" t="s">
        <v>65</v>
      </c>
      <c r="H66" s="1" t="s">
        <v>381</v>
      </c>
      <c r="I66" s="1" t="s">
        <v>382</v>
      </c>
      <c r="J66" s="1" t="s">
        <v>90</v>
      </c>
      <c r="K66" s="1" t="s">
        <v>91</v>
      </c>
      <c r="L66" s="1" t="s">
        <v>43</v>
      </c>
      <c r="M66" s="1" t="s">
        <v>92</v>
      </c>
      <c r="N66" s="1">
        <v>61438.66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384800</v>
      </c>
      <c r="AE66" s="1" t="s">
        <v>45</v>
      </c>
      <c r="AF66" s="1" t="s">
        <v>46</v>
      </c>
    </row>
    <row r="67" spans="1:32" hidden="1" x14ac:dyDescent="0.2">
      <c r="A67" s="1" t="s">
        <v>32</v>
      </c>
      <c r="B67" s="1" t="s">
        <v>383</v>
      </c>
      <c r="C67" s="1" t="s">
        <v>384</v>
      </c>
      <c r="D67" s="1" t="s">
        <v>111</v>
      </c>
      <c r="E67" s="1" t="s">
        <v>36</v>
      </c>
      <c r="F67" s="1" t="s">
        <v>37</v>
      </c>
      <c r="G67" s="1" t="s">
        <v>104</v>
      </c>
      <c r="H67" s="1" t="s">
        <v>385</v>
      </c>
      <c r="I67" s="1" t="s">
        <v>386</v>
      </c>
      <c r="J67" s="1" t="s">
        <v>113</v>
      </c>
      <c r="K67" s="1" t="s">
        <v>114</v>
      </c>
      <c r="L67" s="1" t="s">
        <v>43</v>
      </c>
      <c r="M67" s="1" t="s">
        <v>115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100000</v>
      </c>
      <c r="AE67" s="1" t="s">
        <v>45</v>
      </c>
      <c r="AF67" s="1" t="s">
        <v>46</v>
      </c>
    </row>
    <row r="68" spans="1:32" hidden="1" x14ac:dyDescent="0.2">
      <c r="A68" s="1" t="s">
        <v>32</v>
      </c>
      <c r="B68" s="1" t="s">
        <v>387</v>
      </c>
      <c r="C68" s="1" t="s">
        <v>388</v>
      </c>
      <c r="D68" s="1" t="s">
        <v>389</v>
      </c>
      <c r="E68" s="1" t="s">
        <v>36</v>
      </c>
      <c r="F68" s="1" t="s">
        <v>37</v>
      </c>
      <c r="G68" s="1" t="s">
        <v>38</v>
      </c>
      <c r="H68" s="1" t="s">
        <v>385</v>
      </c>
      <c r="I68" s="1" t="s">
        <v>390</v>
      </c>
      <c r="J68" s="1" t="s">
        <v>391</v>
      </c>
      <c r="K68" s="1" t="s">
        <v>392</v>
      </c>
      <c r="L68" s="1" t="s">
        <v>43</v>
      </c>
      <c r="M68" s="1" t="s">
        <v>44</v>
      </c>
      <c r="N68" s="1">
        <v>0</v>
      </c>
      <c r="O68" s="1">
        <v>0</v>
      </c>
      <c r="P68" s="1">
        <v>0</v>
      </c>
      <c r="Q68" s="1">
        <v>8785.19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129000</v>
      </c>
      <c r="AE68" s="1" t="s">
        <v>45</v>
      </c>
      <c r="AF68" s="1" t="s">
        <v>46</v>
      </c>
    </row>
    <row r="69" spans="1:32" hidden="1" x14ac:dyDescent="0.2">
      <c r="A69" s="1" t="s">
        <v>32</v>
      </c>
      <c r="B69" s="1" t="s">
        <v>393</v>
      </c>
      <c r="C69" s="1" t="s">
        <v>394</v>
      </c>
      <c r="D69" s="1" t="s">
        <v>395</v>
      </c>
      <c r="E69" s="1" t="s">
        <v>36</v>
      </c>
      <c r="F69" s="1" t="s">
        <v>37</v>
      </c>
      <c r="G69" s="1" t="s">
        <v>37</v>
      </c>
      <c r="H69" s="1" t="s">
        <v>385</v>
      </c>
      <c r="I69" s="1" t="s">
        <v>396</v>
      </c>
      <c r="J69" s="1" t="s">
        <v>397</v>
      </c>
      <c r="K69" s="1" t="s">
        <v>398</v>
      </c>
      <c r="L69" s="1" t="s">
        <v>43</v>
      </c>
      <c r="M69" s="1" t="s">
        <v>44</v>
      </c>
      <c r="N69" s="1">
        <v>39915.97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250000</v>
      </c>
      <c r="AE69" s="1" t="s">
        <v>45</v>
      </c>
      <c r="AF69" s="1" t="s">
        <v>46</v>
      </c>
    </row>
    <row r="70" spans="1:32" hidden="1" x14ac:dyDescent="0.2">
      <c r="A70" s="1" t="s">
        <v>32</v>
      </c>
      <c r="B70" s="1" t="s">
        <v>399</v>
      </c>
      <c r="C70" s="1" t="s">
        <v>400</v>
      </c>
      <c r="D70" s="1" t="s">
        <v>188</v>
      </c>
      <c r="E70" s="1" t="s">
        <v>36</v>
      </c>
      <c r="F70" s="1" t="s">
        <v>37</v>
      </c>
      <c r="G70" s="1" t="s">
        <v>38</v>
      </c>
      <c r="H70" s="1" t="s">
        <v>401</v>
      </c>
      <c r="I70" s="1" t="s">
        <v>402</v>
      </c>
      <c r="J70" s="1" t="s">
        <v>190</v>
      </c>
      <c r="K70" s="1" t="s">
        <v>191</v>
      </c>
      <c r="L70" s="1" t="s">
        <v>43</v>
      </c>
      <c r="M70" s="1" t="s">
        <v>44</v>
      </c>
      <c r="N70" s="1">
        <v>438.42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2745.8760000000002</v>
      </c>
      <c r="AE70" s="1" t="s">
        <v>45</v>
      </c>
      <c r="AF70" s="1" t="s">
        <v>46</v>
      </c>
    </row>
    <row r="71" spans="1:32" hidden="1" x14ac:dyDescent="0.2">
      <c r="A71" s="1" t="s">
        <v>32</v>
      </c>
      <c r="B71" s="1" t="s">
        <v>403</v>
      </c>
      <c r="C71" s="1" t="s">
        <v>404</v>
      </c>
      <c r="D71" s="1" t="s">
        <v>130</v>
      </c>
      <c r="E71" s="1" t="s">
        <v>36</v>
      </c>
      <c r="F71" s="1" t="s">
        <v>37</v>
      </c>
      <c r="G71" s="1" t="s">
        <v>88</v>
      </c>
      <c r="H71" s="1" t="s">
        <v>401</v>
      </c>
      <c r="I71" s="1" t="s">
        <v>405</v>
      </c>
      <c r="J71" s="1" t="s">
        <v>132</v>
      </c>
      <c r="K71" s="1" t="s">
        <v>133</v>
      </c>
      <c r="L71" s="1" t="s">
        <v>43</v>
      </c>
      <c r="M71" s="1" t="s">
        <v>44</v>
      </c>
      <c r="N71" s="1">
        <v>3911.77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24500</v>
      </c>
      <c r="AE71" s="1" t="s">
        <v>45</v>
      </c>
      <c r="AF71" s="1" t="s">
        <v>46</v>
      </c>
    </row>
    <row r="72" spans="1:32" hidden="1" x14ac:dyDescent="0.2">
      <c r="A72" s="1" t="s">
        <v>32</v>
      </c>
      <c r="B72" s="1" t="s">
        <v>406</v>
      </c>
      <c r="C72" s="1" t="s">
        <v>407</v>
      </c>
      <c r="D72" s="1" t="s">
        <v>103</v>
      </c>
      <c r="E72" s="1" t="s">
        <v>36</v>
      </c>
      <c r="F72" s="1" t="s">
        <v>37</v>
      </c>
      <c r="G72" s="1" t="s">
        <v>88</v>
      </c>
      <c r="H72" s="1" t="s">
        <v>408</v>
      </c>
      <c r="I72" s="1" t="s">
        <v>409</v>
      </c>
      <c r="J72" s="1" t="s">
        <v>106</v>
      </c>
      <c r="K72" s="1" t="s">
        <v>107</v>
      </c>
      <c r="L72" s="1" t="s">
        <v>43</v>
      </c>
      <c r="M72" s="1" t="s">
        <v>108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177980</v>
      </c>
      <c r="AE72" s="1" t="s">
        <v>45</v>
      </c>
      <c r="AF72" s="1" t="s">
        <v>46</v>
      </c>
    </row>
    <row r="73" spans="1:32" hidden="1" x14ac:dyDescent="0.2">
      <c r="A73" s="1" t="s">
        <v>32</v>
      </c>
      <c r="B73" s="1" t="s">
        <v>410</v>
      </c>
      <c r="C73" s="1" t="s">
        <v>411</v>
      </c>
      <c r="D73" s="1" t="s">
        <v>389</v>
      </c>
      <c r="E73" s="1" t="s">
        <v>36</v>
      </c>
      <c r="F73" s="1" t="s">
        <v>37</v>
      </c>
      <c r="G73" s="1" t="s">
        <v>38</v>
      </c>
      <c r="H73" s="1" t="s">
        <v>412</v>
      </c>
      <c r="I73" s="1" t="s">
        <v>413</v>
      </c>
      <c r="J73" s="1" t="s">
        <v>391</v>
      </c>
      <c r="K73" s="1" t="s">
        <v>392</v>
      </c>
      <c r="L73" s="1" t="s">
        <v>43</v>
      </c>
      <c r="M73" s="1" t="s">
        <v>44</v>
      </c>
      <c r="N73" s="1">
        <v>0</v>
      </c>
      <c r="O73" s="1">
        <v>0</v>
      </c>
      <c r="P73" s="1">
        <v>0</v>
      </c>
      <c r="Q73" s="1">
        <v>7503.7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110600</v>
      </c>
      <c r="AE73" s="1" t="s">
        <v>45</v>
      </c>
      <c r="AF73" s="1" t="s">
        <v>46</v>
      </c>
    </row>
    <row r="74" spans="1:32" hidden="1" x14ac:dyDescent="0.2">
      <c r="A74" s="1" t="s">
        <v>32</v>
      </c>
      <c r="B74" s="1" t="s">
        <v>414</v>
      </c>
      <c r="C74" s="1" t="s">
        <v>415</v>
      </c>
      <c r="D74" s="1" t="s">
        <v>416</v>
      </c>
      <c r="E74" s="1" t="s">
        <v>36</v>
      </c>
      <c r="F74" s="1" t="s">
        <v>37</v>
      </c>
      <c r="G74" s="1" t="s">
        <v>37</v>
      </c>
      <c r="H74" s="1" t="s">
        <v>417</v>
      </c>
      <c r="I74" s="1" t="s">
        <v>418</v>
      </c>
      <c r="J74" s="1" t="s">
        <v>419</v>
      </c>
      <c r="K74" s="1" t="s">
        <v>420</v>
      </c>
      <c r="L74" s="1" t="s">
        <v>43</v>
      </c>
      <c r="M74" s="1" t="s">
        <v>100</v>
      </c>
      <c r="N74" s="1">
        <v>140983.20000000001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883000</v>
      </c>
      <c r="AE74" s="1" t="s">
        <v>45</v>
      </c>
      <c r="AF74" s="1" t="s">
        <v>46</v>
      </c>
    </row>
    <row r="75" spans="1:32" hidden="1" x14ac:dyDescent="0.2">
      <c r="A75" s="1" t="s">
        <v>32</v>
      </c>
      <c r="B75" s="1" t="s">
        <v>421</v>
      </c>
      <c r="C75" s="1" t="s">
        <v>422</v>
      </c>
      <c r="D75" s="1" t="s">
        <v>423</v>
      </c>
      <c r="E75" s="1" t="s">
        <v>36</v>
      </c>
      <c r="F75" s="1" t="s">
        <v>37</v>
      </c>
      <c r="G75" s="1" t="s">
        <v>88</v>
      </c>
      <c r="H75" s="1" t="s">
        <v>424</v>
      </c>
      <c r="I75" s="1" t="s">
        <v>425</v>
      </c>
      <c r="J75" s="1" t="s">
        <v>426</v>
      </c>
      <c r="K75" s="1" t="s">
        <v>427</v>
      </c>
      <c r="L75" s="1" t="s">
        <v>43</v>
      </c>
      <c r="M75" s="1" t="s">
        <v>44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168499</v>
      </c>
      <c r="AE75" s="1" t="s">
        <v>45</v>
      </c>
      <c r="AF75" s="1" t="s">
        <v>46</v>
      </c>
    </row>
    <row r="76" spans="1:32" hidden="1" x14ac:dyDescent="0.2">
      <c r="A76" s="1" t="s">
        <v>32</v>
      </c>
      <c r="B76" s="1" t="s">
        <v>428</v>
      </c>
      <c r="C76" s="1" t="s">
        <v>429</v>
      </c>
      <c r="D76" s="1" t="s">
        <v>430</v>
      </c>
      <c r="E76" s="1" t="s">
        <v>36</v>
      </c>
      <c r="F76" s="1" t="s">
        <v>73</v>
      </c>
      <c r="G76" s="1" t="s">
        <v>176</v>
      </c>
      <c r="H76" s="1" t="s">
        <v>431</v>
      </c>
      <c r="I76" s="1" t="s">
        <v>432</v>
      </c>
      <c r="J76" s="1" t="s">
        <v>433</v>
      </c>
      <c r="K76" s="1" t="s">
        <v>434</v>
      </c>
      <c r="L76" s="1" t="s">
        <v>43</v>
      </c>
      <c r="M76" s="1" t="s">
        <v>69</v>
      </c>
      <c r="N76" s="1">
        <v>77915.97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488000</v>
      </c>
      <c r="AE76" s="1" t="s">
        <v>45</v>
      </c>
      <c r="AF76" s="1" t="s">
        <v>46</v>
      </c>
    </row>
    <row r="77" spans="1:32" hidden="1" x14ac:dyDescent="0.2">
      <c r="A77" s="1" t="s">
        <v>32</v>
      </c>
      <c r="B77" s="1" t="s">
        <v>435</v>
      </c>
      <c r="C77" s="1" t="s">
        <v>436</v>
      </c>
      <c r="D77" s="1" t="s">
        <v>437</v>
      </c>
      <c r="E77" s="1" t="s">
        <v>36</v>
      </c>
      <c r="F77" s="1" t="s">
        <v>37</v>
      </c>
      <c r="G77" s="1" t="s">
        <v>37</v>
      </c>
      <c r="H77" s="1" t="s">
        <v>438</v>
      </c>
      <c r="I77" s="1" t="s">
        <v>439</v>
      </c>
      <c r="J77" s="1" t="s">
        <v>440</v>
      </c>
      <c r="K77" s="1" t="s">
        <v>441</v>
      </c>
      <c r="L77" s="1" t="s">
        <v>43</v>
      </c>
      <c r="M77" s="1" t="s">
        <v>43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100007.55</v>
      </c>
      <c r="AE77" s="1" t="s">
        <v>45</v>
      </c>
      <c r="AF77" s="1" t="s">
        <v>46</v>
      </c>
    </row>
    <row r="78" spans="1:32" hidden="1" x14ac:dyDescent="0.2">
      <c r="A78" s="1" t="s">
        <v>350</v>
      </c>
      <c r="B78" s="1" t="s">
        <v>442</v>
      </c>
      <c r="C78" s="1" t="s">
        <v>443</v>
      </c>
      <c r="D78" s="1" t="s">
        <v>444</v>
      </c>
      <c r="E78" s="1" t="s">
        <v>36</v>
      </c>
      <c r="F78" s="1" t="s">
        <v>37</v>
      </c>
      <c r="G78" s="1" t="s">
        <v>38</v>
      </c>
      <c r="H78" s="1" t="s">
        <v>445</v>
      </c>
      <c r="I78" s="1" t="s">
        <v>446</v>
      </c>
      <c r="J78" s="1" t="s">
        <v>156</v>
      </c>
      <c r="K78" s="1" t="s">
        <v>157</v>
      </c>
      <c r="L78" s="1" t="s">
        <v>43</v>
      </c>
      <c r="M78" s="1" t="s">
        <v>158</v>
      </c>
      <c r="N78" s="1">
        <v>9084.8700000000008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56900</v>
      </c>
      <c r="AE78" s="1" t="s">
        <v>45</v>
      </c>
      <c r="AF78" s="1" t="s">
        <v>46</v>
      </c>
    </row>
    <row r="79" spans="1:32" hidden="1" x14ac:dyDescent="0.2">
      <c r="A79" s="1" t="s">
        <v>32</v>
      </c>
      <c r="B79" s="1" t="s">
        <v>447</v>
      </c>
      <c r="C79" s="1" t="s">
        <v>448</v>
      </c>
      <c r="D79" s="1" t="s">
        <v>449</v>
      </c>
      <c r="E79" s="1" t="s">
        <v>36</v>
      </c>
      <c r="F79" s="1" t="s">
        <v>37</v>
      </c>
      <c r="G79" s="1" t="s">
        <v>38</v>
      </c>
      <c r="H79" s="1" t="s">
        <v>450</v>
      </c>
      <c r="I79" s="1" t="s">
        <v>451</v>
      </c>
      <c r="J79" s="1" t="s">
        <v>156</v>
      </c>
      <c r="K79" s="1" t="s">
        <v>157</v>
      </c>
      <c r="L79" s="1" t="s">
        <v>43</v>
      </c>
      <c r="M79" s="1" t="s">
        <v>158</v>
      </c>
      <c r="N79" s="1">
        <v>46318.49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290100</v>
      </c>
      <c r="AE79" s="1" t="s">
        <v>45</v>
      </c>
      <c r="AF79" s="1" t="s">
        <v>46</v>
      </c>
    </row>
    <row r="80" spans="1:32" hidden="1" x14ac:dyDescent="0.2">
      <c r="A80" s="1" t="s">
        <v>32</v>
      </c>
      <c r="B80" s="1" t="s">
        <v>452</v>
      </c>
      <c r="C80" s="1" t="s">
        <v>453</v>
      </c>
      <c r="D80" s="1" t="s">
        <v>454</v>
      </c>
      <c r="E80" s="1" t="s">
        <v>36</v>
      </c>
      <c r="F80" s="1" t="s">
        <v>37</v>
      </c>
      <c r="G80" s="1" t="s">
        <v>104</v>
      </c>
      <c r="H80" s="1" t="s">
        <v>445</v>
      </c>
      <c r="I80" s="1" t="s">
        <v>455</v>
      </c>
      <c r="J80" s="1" t="s">
        <v>156</v>
      </c>
      <c r="K80" s="1" t="s">
        <v>157</v>
      </c>
      <c r="L80" s="1" t="s">
        <v>43</v>
      </c>
      <c r="M80" s="1" t="s">
        <v>158</v>
      </c>
      <c r="N80" s="1">
        <v>19399.16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121500</v>
      </c>
      <c r="AE80" s="1" t="s">
        <v>45</v>
      </c>
      <c r="AF80" s="1" t="s">
        <v>46</v>
      </c>
    </row>
    <row r="81" spans="1:32" hidden="1" x14ac:dyDescent="0.2">
      <c r="A81" s="1" t="s">
        <v>32</v>
      </c>
      <c r="B81" s="1" t="s">
        <v>456</v>
      </c>
      <c r="C81" s="1" t="s">
        <v>457</v>
      </c>
      <c r="D81" s="1" t="s">
        <v>458</v>
      </c>
      <c r="E81" s="1" t="s">
        <v>36</v>
      </c>
      <c r="F81" s="1" t="s">
        <v>37</v>
      </c>
      <c r="G81" s="1" t="s">
        <v>88</v>
      </c>
      <c r="H81" s="1" t="s">
        <v>459</v>
      </c>
      <c r="I81" s="1" t="s">
        <v>460</v>
      </c>
      <c r="J81" s="1" t="s">
        <v>132</v>
      </c>
      <c r="K81" s="1" t="s">
        <v>461</v>
      </c>
      <c r="L81" s="1" t="s">
        <v>43</v>
      </c>
      <c r="M81" s="1" t="s">
        <v>44</v>
      </c>
      <c r="N81" s="1">
        <v>10218.49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64000</v>
      </c>
      <c r="AE81" s="1" t="s">
        <v>45</v>
      </c>
      <c r="AF81" s="1" t="s">
        <v>46</v>
      </c>
    </row>
    <row r="82" spans="1:32" hidden="1" x14ac:dyDescent="0.2">
      <c r="A82" s="1" t="s">
        <v>32</v>
      </c>
      <c r="B82" s="1" t="s">
        <v>462</v>
      </c>
      <c r="C82" s="1" t="s">
        <v>463</v>
      </c>
      <c r="D82" s="1" t="s">
        <v>464</v>
      </c>
      <c r="E82" s="1" t="s">
        <v>36</v>
      </c>
      <c r="F82" s="1" t="s">
        <v>37</v>
      </c>
      <c r="G82" s="1" t="s">
        <v>38</v>
      </c>
      <c r="H82" s="1" t="s">
        <v>465</v>
      </c>
      <c r="I82" s="1" t="s">
        <v>466</v>
      </c>
      <c r="J82" s="1" t="s">
        <v>467</v>
      </c>
      <c r="K82" s="1" t="s">
        <v>468</v>
      </c>
      <c r="L82" s="1" t="s">
        <v>43</v>
      </c>
      <c r="M82" s="1" t="s">
        <v>69</v>
      </c>
      <c r="N82" s="1">
        <v>17136.439999999999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129629.99</v>
      </c>
      <c r="AE82" s="1" t="s">
        <v>45</v>
      </c>
      <c r="AF82" s="1" t="s">
        <v>46</v>
      </c>
    </row>
    <row r="83" spans="1:32" hidden="1" x14ac:dyDescent="0.2">
      <c r="A83" s="1" t="s">
        <v>32</v>
      </c>
      <c r="B83" s="1" t="s">
        <v>469</v>
      </c>
      <c r="C83" s="1" t="s">
        <v>470</v>
      </c>
      <c r="D83" s="1" t="s">
        <v>471</v>
      </c>
      <c r="E83" s="1" t="s">
        <v>36</v>
      </c>
      <c r="F83" s="1" t="s">
        <v>73</v>
      </c>
      <c r="G83" s="1" t="s">
        <v>37</v>
      </c>
      <c r="H83" s="1" t="s">
        <v>472</v>
      </c>
      <c r="I83" s="1" t="s">
        <v>473</v>
      </c>
      <c r="J83" s="1" t="s">
        <v>474</v>
      </c>
      <c r="K83" s="1" t="s">
        <v>475</v>
      </c>
      <c r="L83" s="1" t="s">
        <v>43</v>
      </c>
      <c r="M83" s="1" t="s">
        <v>69</v>
      </c>
      <c r="N83" s="1">
        <v>9356.2999999999993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58600</v>
      </c>
      <c r="AE83" s="1" t="s">
        <v>45</v>
      </c>
      <c r="AF83" s="1" t="s">
        <v>46</v>
      </c>
    </row>
    <row r="84" spans="1:32" hidden="1" x14ac:dyDescent="0.2">
      <c r="A84" s="1" t="s">
        <v>32</v>
      </c>
      <c r="B84" s="1" t="s">
        <v>476</v>
      </c>
      <c r="C84" s="1" t="s">
        <v>477</v>
      </c>
      <c r="D84" s="1" t="s">
        <v>471</v>
      </c>
      <c r="E84" s="1" t="s">
        <v>36</v>
      </c>
      <c r="F84" s="1" t="s">
        <v>73</v>
      </c>
      <c r="G84" s="1" t="s">
        <v>37</v>
      </c>
      <c r="H84" s="1" t="s">
        <v>478</v>
      </c>
      <c r="I84" s="1" t="s">
        <v>479</v>
      </c>
      <c r="J84" s="1" t="s">
        <v>474</v>
      </c>
      <c r="K84" s="1" t="s">
        <v>475</v>
      </c>
      <c r="L84" s="1" t="s">
        <v>43</v>
      </c>
      <c r="M84" s="1" t="s">
        <v>69</v>
      </c>
      <c r="N84" s="1">
        <v>7759.66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48600</v>
      </c>
      <c r="AE84" s="1" t="s">
        <v>45</v>
      </c>
      <c r="AF84" s="1" t="s">
        <v>46</v>
      </c>
    </row>
    <row r="85" spans="1:32" hidden="1" x14ac:dyDescent="0.2">
      <c r="A85" s="1" t="s">
        <v>32</v>
      </c>
      <c r="B85" s="1" t="s">
        <v>480</v>
      </c>
      <c r="C85" s="1" t="s">
        <v>481</v>
      </c>
      <c r="D85" s="1" t="s">
        <v>430</v>
      </c>
      <c r="E85" s="1" t="s">
        <v>36</v>
      </c>
      <c r="F85" s="1" t="s">
        <v>37</v>
      </c>
      <c r="G85" s="1" t="s">
        <v>65</v>
      </c>
      <c r="H85" s="1" t="s">
        <v>482</v>
      </c>
      <c r="I85" s="1" t="s">
        <v>483</v>
      </c>
      <c r="J85" s="1" t="s">
        <v>433</v>
      </c>
      <c r="K85" s="1" t="s">
        <v>434</v>
      </c>
      <c r="L85" s="1" t="s">
        <v>43</v>
      </c>
      <c r="M85" s="1" t="s">
        <v>69</v>
      </c>
      <c r="N85" s="1">
        <v>28739.5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180000</v>
      </c>
      <c r="AE85" s="1" t="s">
        <v>45</v>
      </c>
      <c r="AF85" s="1" t="s">
        <v>46</v>
      </c>
    </row>
    <row r="86" spans="1:32" hidden="1" x14ac:dyDescent="0.2">
      <c r="A86" s="1" t="s">
        <v>32</v>
      </c>
      <c r="B86" s="1" t="s">
        <v>484</v>
      </c>
      <c r="C86" s="1" t="s">
        <v>485</v>
      </c>
      <c r="D86" s="1" t="s">
        <v>181</v>
      </c>
      <c r="E86" s="1" t="s">
        <v>36</v>
      </c>
      <c r="F86" s="1" t="s">
        <v>37</v>
      </c>
      <c r="G86" s="1" t="s">
        <v>88</v>
      </c>
      <c r="H86" s="1" t="s">
        <v>486</v>
      </c>
      <c r="I86" s="1" t="s">
        <v>487</v>
      </c>
      <c r="J86" s="1" t="s">
        <v>184</v>
      </c>
      <c r="K86" s="1" t="s">
        <v>185</v>
      </c>
      <c r="L86" s="1" t="s">
        <v>43</v>
      </c>
      <c r="M86" s="1" t="s">
        <v>44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100000</v>
      </c>
      <c r="AE86" s="1" t="s">
        <v>45</v>
      </c>
      <c r="AF86" s="1" t="s">
        <v>46</v>
      </c>
    </row>
    <row r="87" spans="1:32" hidden="1" x14ac:dyDescent="0.2">
      <c r="A87" s="1" t="s">
        <v>32</v>
      </c>
      <c r="B87" s="1" t="s">
        <v>488</v>
      </c>
      <c r="C87" s="1" t="s">
        <v>489</v>
      </c>
      <c r="D87" s="1" t="s">
        <v>430</v>
      </c>
      <c r="E87" s="1" t="s">
        <v>36</v>
      </c>
      <c r="F87" s="1" t="s">
        <v>37</v>
      </c>
      <c r="G87" s="1" t="s">
        <v>65</v>
      </c>
      <c r="H87" s="1" t="s">
        <v>490</v>
      </c>
      <c r="I87" s="1" t="s">
        <v>491</v>
      </c>
      <c r="J87" s="1" t="s">
        <v>433</v>
      </c>
      <c r="K87" s="1" t="s">
        <v>434</v>
      </c>
      <c r="L87" s="1" t="s">
        <v>43</v>
      </c>
      <c r="M87" s="1" t="s">
        <v>69</v>
      </c>
      <c r="N87" s="1">
        <v>70571.429999999993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442000</v>
      </c>
      <c r="AE87" s="1" t="s">
        <v>45</v>
      </c>
      <c r="AF87" s="1" t="s">
        <v>46</v>
      </c>
    </row>
    <row r="88" spans="1:32" hidden="1" x14ac:dyDescent="0.2">
      <c r="A88" s="1" t="s">
        <v>32</v>
      </c>
      <c r="B88" s="1" t="s">
        <v>492</v>
      </c>
      <c r="C88" s="1" t="s">
        <v>493</v>
      </c>
      <c r="D88" s="1" t="s">
        <v>494</v>
      </c>
      <c r="E88" s="1" t="s">
        <v>36</v>
      </c>
      <c r="F88" s="1" t="s">
        <v>37</v>
      </c>
      <c r="G88" s="1" t="s">
        <v>38</v>
      </c>
      <c r="H88" s="1" t="s">
        <v>490</v>
      </c>
      <c r="I88" s="1" t="s">
        <v>495</v>
      </c>
      <c r="J88" s="1" t="s">
        <v>426</v>
      </c>
      <c r="K88" s="1" t="s">
        <v>427</v>
      </c>
      <c r="L88" s="1" t="s">
        <v>43</v>
      </c>
      <c r="M88" s="1" t="s">
        <v>44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168314</v>
      </c>
      <c r="AE88" s="1" t="s">
        <v>45</v>
      </c>
      <c r="AF88" s="1" t="s">
        <v>46</v>
      </c>
    </row>
    <row r="89" spans="1:32" hidden="1" x14ac:dyDescent="0.2">
      <c r="A89" s="1" t="s">
        <v>32</v>
      </c>
      <c r="B89" s="1" t="s">
        <v>496</v>
      </c>
      <c r="C89" s="1" t="s">
        <v>497</v>
      </c>
      <c r="D89" s="1" t="s">
        <v>498</v>
      </c>
      <c r="E89" s="1" t="s">
        <v>36</v>
      </c>
      <c r="F89" s="1" t="s">
        <v>37</v>
      </c>
      <c r="G89" s="1" t="s">
        <v>104</v>
      </c>
      <c r="H89" s="1" t="s">
        <v>499</v>
      </c>
      <c r="I89" s="1" t="s">
        <v>500</v>
      </c>
      <c r="J89" s="1" t="s">
        <v>156</v>
      </c>
      <c r="K89" s="1" t="s">
        <v>157</v>
      </c>
      <c r="L89" s="1" t="s">
        <v>43</v>
      </c>
      <c r="M89" s="1" t="s">
        <v>158</v>
      </c>
      <c r="N89" s="1">
        <v>15950.42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99900</v>
      </c>
      <c r="AE89" s="1" t="s">
        <v>45</v>
      </c>
      <c r="AF89" s="1" t="s">
        <v>46</v>
      </c>
    </row>
    <row r="90" spans="1:32" hidden="1" x14ac:dyDescent="0.2">
      <c r="A90" s="1" t="s">
        <v>32</v>
      </c>
      <c r="B90" s="1" t="s">
        <v>501</v>
      </c>
      <c r="C90" s="1" t="s">
        <v>502</v>
      </c>
      <c r="D90" s="1" t="s">
        <v>498</v>
      </c>
      <c r="E90" s="1" t="s">
        <v>36</v>
      </c>
      <c r="F90" s="1" t="s">
        <v>37</v>
      </c>
      <c r="G90" s="1" t="s">
        <v>104</v>
      </c>
      <c r="H90" s="1" t="s">
        <v>499</v>
      </c>
      <c r="I90" s="1" t="s">
        <v>503</v>
      </c>
      <c r="J90" s="1" t="s">
        <v>156</v>
      </c>
      <c r="K90" s="1" t="s">
        <v>157</v>
      </c>
      <c r="L90" s="1" t="s">
        <v>43</v>
      </c>
      <c r="M90" s="1" t="s">
        <v>158</v>
      </c>
      <c r="N90" s="1">
        <v>13379.83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83800</v>
      </c>
      <c r="AE90" s="1" t="s">
        <v>45</v>
      </c>
      <c r="AF90" s="1" t="s">
        <v>46</v>
      </c>
    </row>
    <row r="91" spans="1:32" hidden="1" x14ac:dyDescent="0.2">
      <c r="A91" s="1" t="s">
        <v>32</v>
      </c>
      <c r="B91" s="1" t="s">
        <v>504</v>
      </c>
      <c r="C91" s="1" t="s">
        <v>505</v>
      </c>
      <c r="D91" s="1" t="s">
        <v>188</v>
      </c>
      <c r="E91" s="1" t="s">
        <v>36</v>
      </c>
      <c r="F91" s="1" t="s">
        <v>37</v>
      </c>
      <c r="G91" s="1" t="s">
        <v>506</v>
      </c>
      <c r="H91" s="1" t="s">
        <v>507</v>
      </c>
      <c r="I91" s="1" t="s">
        <v>508</v>
      </c>
      <c r="J91" s="1" t="s">
        <v>190</v>
      </c>
      <c r="K91" s="1" t="s">
        <v>191</v>
      </c>
      <c r="L91" s="1" t="s">
        <v>43</v>
      </c>
      <c r="M91" s="1" t="s">
        <v>44</v>
      </c>
      <c r="N91" s="1">
        <v>9468.4500000000007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59302.4355</v>
      </c>
      <c r="AE91" s="1" t="s">
        <v>45</v>
      </c>
      <c r="AF91" s="1" t="s">
        <v>46</v>
      </c>
    </row>
    <row r="92" spans="1:32" hidden="1" x14ac:dyDescent="0.2">
      <c r="A92" s="1" t="s">
        <v>350</v>
      </c>
      <c r="B92" s="1" t="s">
        <v>509</v>
      </c>
      <c r="C92" s="1" t="s">
        <v>510</v>
      </c>
      <c r="D92" s="1" t="s">
        <v>252</v>
      </c>
      <c r="E92" s="1" t="s">
        <v>36</v>
      </c>
      <c r="F92" s="1" t="s">
        <v>37</v>
      </c>
      <c r="G92" s="1" t="s">
        <v>74</v>
      </c>
      <c r="H92" s="1" t="s">
        <v>507</v>
      </c>
      <c r="I92" s="1" t="s">
        <v>511</v>
      </c>
      <c r="J92" s="1" t="s">
        <v>190</v>
      </c>
      <c r="K92" s="1" t="s">
        <v>191</v>
      </c>
      <c r="L92" s="1" t="s">
        <v>43</v>
      </c>
      <c r="M92" s="1" t="s">
        <v>44</v>
      </c>
      <c r="N92" s="1">
        <v>7356.51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46074.99</v>
      </c>
      <c r="AE92" s="1" t="s">
        <v>45</v>
      </c>
      <c r="AF92" s="1" t="s">
        <v>46</v>
      </c>
    </row>
    <row r="93" spans="1:32" hidden="1" x14ac:dyDescent="0.2">
      <c r="A93" s="1" t="s">
        <v>32</v>
      </c>
      <c r="B93" s="1" t="s">
        <v>512</v>
      </c>
      <c r="C93" s="1" t="s">
        <v>513</v>
      </c>
      <c r="D93" s="1" t="s">
        <v>188</v>
      </c>
      <c r="E93" s="1" t="s">
        <v>36</v>
      </c>
      <c r="F93" s="1" t="s">
        <v>37</v>
      </c>
      <c r="G93" s="1" t="s">
        <v>38</v>
      </c>
      <c r="H93" s="1" t="s">
        <v>514</v>
      </c>
      <c r="I93" s="1" t="s">
        <v>515</v>
      </c>
      <c r="J93" s="1" t="s">
        <v>190</v>
      </c>
      <c r="K93" s="1" t="s">
        <v>191</v>
      </c>
      <c r="L93" s="1" t="s">
        <v>43</v>
      </c>
      <c r="M93" s="1" t="s">
        <v>44</v>
      </c>
      <c r="N93" s="1">
        <v>36897.93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231097.595</v>
      </c>
      <c r="AE93" s="1" t="s">
        <v>45</v>
      </c>
      <c r="AF93" s="1" t="s">
        <v>46</v>
      </c>
    </row>
    <row r="94" spans="1:32" hidden="1" x14ac:dyDescent="0.2">
      <c r="A94" s="1" t="s">
        <v>350</v>
      </c>
      <c r="B94" s="1" t="s">
        <v>516</v>
      </c>
      <c r="C94" s="1" t="s">
        <v>517</v>
      </c>
      <c r="D94" s="1" t="s">
        <v>252</v>
      </c>
      <c r="E94" s="1" t="s">
        <v>36</v>
      </c>
      <c r="F94" s="1" t="s">
        <v>37</v>
      </c>
      <c r="G94" s="1" t="s">
        <v>74</v>
      </c>
      <c r="H94" s="1" t="s">
        <v>507</v>
      </c>
      <c r="I94" s="1" t="s">
        <v>518</v>
      </c>
      <c r="J94" s="1" t="s">
        <v>190</v>
      </c>
      <c r="K94" s="1" t="s">
        <v>191</v>
      </c>
      <c r="L94" s="1" t="s">
        <v>43</v>
      </c>
      <c r="M94" s="1" t="s">
        <v>44</v>
      </c>
      <c r="N94" s="1">
        <v>3238.02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20280.25</v>
      </c>
      <c r="AE94" s="1" t="s">
        <v>45</v>
      </c>
      <c r="AF94" s="1" t="s">
        <v>46</v>
      </c>
    </row>
    <row r="95" spans="1:32" hidden="1" x14ac:dyDescent="0.2">
      <c r="A95" s="1" t="s">
        <v>32</v>
      </c>
      <c r="B95" s="1" t="s">
        <v>519</v>
      </c>
      <c r="C95" s="1" t="s">
        <v>520</v>
      </c>
      <c r="D95" s="1" t="s">
        <v>188</v>
      </c>
      <c r="E95" s="1" t="s">
        <v>36</v>
      </c>
      <c r="F95" s="1" t="s">
        <v>37</v>
      </c>
      <c r="G95" s="1" t="s">
        <v>65</v>
      </c>
      <c r="H95" s="1" t="s">
        <v>521</v>
      </c>
      <c r="I95" s="1" t="s">
        <v>522</v>
      </c>
      <c r="J95" s="1" t="s">
        <v>190</v>
      </c>
      <c r="K95" s="1" t="s">
        <v>191</v>
      </c>
      <c r="L95" s="1" t="s">
        <v>43</v>
      </c>
      <c r="M95" s="1" t="s">
        <v>44</v>
      </c>
      <c r="N95" s="1">
        <v>77977.960000000006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488388.33799999999</v>
      </c>
      <c r="AE95" s="1" t="s">
        <v>45</v>
      </c>
      <c r="AF95" s="1" t="s">
        <v>46</v>
      </c>
    </row>
    <row r="96" spans="1:32" hidden="1" x14ac:dyDescent="0.2">
      <c r="A96" s="1" t="s">
        <v>32</v>
      </c>
      <c r="B96" s="1" t="s">
        <v>523</v>
      </c>
      <c r="C96" s="1" t="s">
        <v>524</v>
      </c>
      <c r="D96" s="1" t="s">
        <v>525</v>
      </c>
      <c r="E96" s="1" t="s">
        <v>36</v>
      </c>
      <c r="F96" s="1" t="s">
        <v>37</v>
      </c>
      <c r="G96" s="1" t="s">
        <v>65</v>
      </c>
      <c r="H96" s="1" t="s">
        <v>507</v>
      </c>
      <c r="I96" s="1" t="s">
        <v>526</v>
      </c>
      <c r="J96" s="1" t="s">
        <v>527</v>
      </c>
      <c r="K96" s="1" t="s">
        <v>528</v>
      </c>
      <c r="L96" s="1" t="s">
        <v>43</v>
      </c>
      <c r="M96" s="1" t="s">
        <v>69</v>
      </c>
      <c r="N96" s="1">
        <v>59714.28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373999.96</v>
      </c>
      <c r="AE96" s="1" t="s">
        <v>45</v>
      </c>
      <c r="AF96" s="1" t="s">
        <v>46</v>
      </c>
    </row>
    <row r="97" spans="1:32" hidden="1" x14ac:dyDescent="0.2">
      <c r="A97" s="1" t="s">
        <v>32</v>
      </c>
      <c r="B97" s="1" t="s">
        <v>529</v>
      </c>
      <c r="C97" s="1" t="s">
        <v>530</v>
      </c>
      <c r="D97" s="1" t="s">
        <v>188</v>
      </c>
      <c r="E97" s="1" t="s">
        <v>36</v>
      </c>
      <c r="F97" s="1" t="s">
        <v>37</v>
      </c>
      <c r="G97" s="1" t="s">
        <v>38</v>
      </c>
      <c r="H97" s="1" t="s">
        <v>531</v>
      </c>
      <c r="I97" s="1" t="s">
        <v>532</v>
      </c>
      <c r="J97" s="1" t="s">
        <v>190</v>
      </c>
      <c r="K97" s="1" t="s">
        <v>191</v>
      </c>
      <c r="L97" s="1" t="s">
        <v>43</v>
      </c>
      <c r="M97" s="1" t="s">
        <v>44</v>
      </c>
      <c r="N97" s="1">
        <v>6598.11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41324.999000000003</v>
      </c>
      <c r="AE97" s="1" t="s">
        <v>45</v>
      </c>
      <c r="AF97" s="1" t="s">
        <v>46</v>
      </c>
    </row>
    <row r="98" spans="1:32" hidden="1" x14ac:dyDescent="0.2">
      <c r="A98" s="1" t="s">
        <v>32</v>
      </c>
      <c r="B98" s="1" t="s">
        <v>533</v>
      </c>
      <c r="C98" s="1" t="s">
        <v>534</v>
      </c>
      <c r="D98" s="1" t="s">
        <v>72</v>
      </c>
      <c r="E98" s="1" t="s">
        <v>36</v>
      </c>
      <c r="F98" s="1" t="s">
        <v>37</v>
      </c>
      <c r="G98" s="1" t="s">
        <v>88</v>
      </c>
      <c r="H98" s="1" t="s">
        <v>514</v>
      </c>
      <c r="I98" s="1" t="s">
        <v>535</v>
      </c>
      <c r="J98" s="1" t="s">
        <v>217</v>
      </c>
      <c r="K98" s="1" t="s">
        <v>218</v>
      </c>
      <c r="L98" s="1" t="s">
        <v>43</v>
      </c>
      <c r="M98" s="1" t="s">
        <v>219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176047</v>
      </c>
      <c r="AE98" s="1" t="s">
        <v>45</v>
      </c>
      <c r="AF98" s="1" t="s">
        <v>46</v>
      </c>
    </row>
    <row r="99" spans="1:32" hidden="1" x14ac:dyDescent="0.2">
      <c r="A99" s="1" t="s">
        <v>32</v>
      </c>
      <c r="B99" s="1" t="s">
        <v>536</v>
      </c>
      <c r="C99" s="1" t="s">
        <v>537</v>
      </c>
      <c r="D99" s="1" t="s">
        <v>538</v>
      </c>
      <c r="E99" s="1" t="s">
        <v>36</v>
      </c>
      <c r="F99" s="1" t="s">
        <v>37</v>
      </c>
      <c r="G99" s="1" t="s">
        <v>38</v>
      </c>
      <c r="H99" s="1" t="s">
        <v>539</v>
      </c>
      <c r="I99" s="1" t="s">
        <v>540</v>
      </c>
      <c r="J99" s="1" t="s">
        <v>541</v>
      </c>
      <c r="K99" s="1" t="s">
        <v>542</v>
      </c>
      <c r="L99" s="1" t="s">
        <v>43</v>
      </c>
      <c r="M99" s="1" t="s">
        <v>44</v>
      </c>
      <c r="N99" s="1">
        <v>148192.01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944050</v>
      </c>
      <c r="AE99" s="1" t="s">
        <v>45</v>
      </c>
      <c r="AF99" s="1" t="s">
        <v>46</v>
      </c>
    </row>
    <row r="100" spans="1:32" hidden="1" x14ac:dyDescent="0.2">
      <c r="A100" s="1" t="s">
        <v>32</v>
      </c>
      <c r="B100" s="1" t="s">
        <v>543</v>
      </c>
      <c r="C100" s="1" t="s">
        <v>544</v>
      </c>
      <c r="D100" s="1" t="s">
        <v>423</v>
      </c>
      <c r="E100" s="1" t="s">
        <v>36</v>
      </c>
      <c r="F100" s="1" t="s">
        <v>37</v>
      </c>
      <c r="G100" s="1" t="s">
        <v>88</v>
      </c>
      <c r="H100" s="1" t="s">
        <v>539</v>
      </c>
      <c r="I100" s="1" t="s">
        <v>545</v>
      </c>
      <c r="J100" s="1" t="s">
        <v>426</v>
      </c>
      <c r="K100" s="1" t="s">
        <v>427</v>
      </c>
      <c r="L100" s="1" t="s">
        <v>43</v>
      </c>
      <c r="M100" s="1" t="s">
        <v>44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48240</v>
      </c>
      <c r="AE100" s="1" t="s">
        <v>45</v>
      </c>
      <c r="AF100" s="1" t="s">
        <v>46</v>
      </c>
    </row>
    <row r="101" spans="1:32" hidden="1" x14ac:dyDescent="0.2">
      <c r="A101" s="1" t="s">
        <v>32</v>
      </c>
      <c r="B101" s="1" t="s">
        <v>546</v>
      </c>
      <c r="C101" s="1" t="s">
        <v>547</v>
      </c>
      <c r="D101" s="1" t="s">
        <v>548</v>
      </c>
      <c r="E101" s="1" t="s">
        <v>36</v>
      </c>
      <c r="F101" s="1" t="s">
        <v>37</v>
      </c>
      <c r="G101" s="1" t="s">
        <v>104</v>
      </c>
      <c r="H101" s="1" t="s">
        <v>549</v>
      </c>
      <c r="I101" s="1" t="s">
        <v>550</v>
      </c>
      <c r="J101" s="1" t="s">
        <v>156</v>
      </c>
      <c r="K101" s="1" t="s">
        <v>157</v>
      </c>
      <c r="L101" s="1" t="s">
        <v>43</v>
      </c>
      <c r="M101" s="1" t="s">
        <v>158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19900</v>
      </c>
      <c r="AE101" s="1" t="s">
        <v>45</v>
      </c>
      <c r="AF101" s="1" t="s">
        <v>46</v>
      </c>
    </row>
    <row r="102" spans="1:32" hidden="1" x14ac:dyDescent="0.2">
      <c r="A102" s="1" t="s">
        <v>32</v>
      </c>
      <c r="B102" s="1" t="s">
        <v>551</v>
      </c>
      <c r="C102" s="1" t="s">
        <v>552</v>
      </c>
      <c r="D102" s="1" t="s">
        <v>130</v>
      </c>
      <c r="E102" s="1" t="s">
        <v>36</v>
      </c>
      <c r="F102" s="1" t="s">
        <v>37</v>
      </c>
      <c r="G102" s="1" t="s">
        <v>88</v>
      </c>
      <c r="H102" s="1" t="s">
        <v>553</v>
      </c>
      <c r="I102" s="1" t="s">
        <v>554</v>
      </c>
      <c r="J102" s="1" t="s">
        <v>132</v>
      </c>
      <c r="K102" s="1" t="s">
        <v>133</v>
      </c>
      <c r="L102" s="1" t="s">
        <v>43</v>
      </c>
      <c r="M102" s="1" t="s">
        <v>44</v>
      </c>
      <c r="N102" s="1">
        <v>2394.96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15000</v>
      </c>
      <c r="AE102" s="1" t="s">
        <v>45</v>
      </c>
      <c r="AF102" s="1" t="s">
        <v>46</v>
      </c>
    </row>
    <row r="103" spans="1:32" hidden="1" x14ac:dyDescent="0.2">
      <c r="A103" s="1" t="s">
        <v>32</v>
      </c>
      <c r="B103" s="1" t="s">
        <v>555</v>
      </c>
      <c r="C103" s="1" t="s">
        <v>556</v>
      </c>
      <c r="D103" s="1" t="s">
        <v>130</v>
      </c>
      <c r="E103" s="1" t="s">
        <v>36</v>
      </c>
      <c r="F103" s="1" t="s">
        <v>37</v>
      </c>
      <c r="G103" s="1" t="s">
        <v>88</v>
      </c>
      <c r="H103" s="1" t="s">
        <v>553</v>
      </c>
      <c r="I103" s="1" t="s">
        <v>557</v>
      </c>
      <c r="J103" s="1" t="s">
        <v>132</v>
      </c>
      <c r="K103" s="1" t="s">
        <v>133</v>
      </c>
      <c r="L103" s="1" t="s">
        <v>43</v>
      </c>
      <c r="M103" s="1" t="s">
        <v>44</v>
      </c>
      <c r="N103" s="1">
        <v>6274.79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42300</v>
      </c>
      <c r="AE103" s="1" t="s">
        <v>45</v>
      </c>
      <c r="AF103" s="1" t="s">
        <v>46</v>
      </c>
    </row>
    <row r="104" spans="1:32" hidden="1" x14ac:dyDescent="0.2">
      <c r="A104" s="1" t="s">
        <v>32</v>
      </c>
      <c r="B104" s="1" t="s">
        <v>558</v>
      </c>
      <c r="C104" s="1" t="s">
        <v>559</v>
      </c>
      <c r="D104" s="1" t="s">
        <v>560</v>
      </c>
      <c r="E104" s="1" t="s">
        <v>36</v>
      </c>
      <c r="F104" s="1" t="s">
        <v>37</v>
      </c>
      <c r="G104" s="1" t="s">
        <v>88</v>
      </c>
      <c r="H104" s="1" t="s">
        <v>561</v>
      </c>
      <c r="I104" s="1" t="s">
        <v>562</v>
      </c>
      <c r="J104" s="1" t="s">
        <v>563</v>
      </c>
      <c r="K104" s="1" t="s">
        <v>564</v>
      </c>
      <c r="L104" s="1" t="s">
        <v>43</v>
      </c>
      <c r="M104" s="1" t="s">
        <v>100</v>
      </c>
      <c r="N104" s="1">
        <v>5268.91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44400</v>
      </c>
      <c r="AE104" s="1" t="s">
        <v>45</v>
      </c>
      <c r="AF104" s="1" t="s">
        <v>46</v>
      </c>
    </row>
    <row r="105" spans="1:32" hidden="1" x14ac:dyDescent="0.2">
      <c r="A105" s="1" t="s">
        <v>32</v>
      </c>
      <c r="B105" s="1" t="s">
        <v>565</v>
      </c>
      <c r="C105" s="1" t="s">
        <v>566</v>
      </c>
      <c r="D105" s="1" t="s">
        <v>567</v>
      </c>
      <c r="E105" s="1" t="s">
        <v>36</v>
      </c>
      <c r="F105" s="1" t="s">
        <v>37</v>
      </c>
      <c r="G105" s="1" t="s">
        <v>104</v>
      </c>
      <c r="H105" s="1" t="s">
        <v>568</v>
      </c>
      <c r="I105" s="1" t="s">
        <v>569</v>
      </c>
      <c r="J105" s="1" t="s">
        <v>156</v>
      </c>
      <c r="K105" s="1" t="s">
        <v>157</v>
      </c>
      <c r="L105" s="1" t="s">
        <v>43</v>
      </c>
      <c r="M105" s="1" t="s">
        <v>158</v>
      </c>
      <c r="N105" s="1">
        <v>16071.13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100656</v>
      </c>
      <c r="AE105" s="1" t="s">
        <v>45</v>
      </c>
      <c r="AF105" s="1" t="s">
        <v>46</v>
      </c>
    </row>
    <row r="106" spans="1:32" hidden="1" x14ac:dyDescent="0.2">
      <c r="A106" s="1" t="s">
        <v>32</v>
      </c>
      <c r="B106" s="1" t="s">
        <v>570</v>
      </c>
      <c r="C106" s="1" t="s">
        <v>571</v>
      </c>
      <c r="D106" s="1" t="s">
        <v>567</v>
      </c>
      <c r="E106" s="1" t="s">
        <v>36</v>
      </c>
      <c r="F106" s="1" t="s">
        <v>37</v>
      </c>
      <c r="G106" s="1" t="s">
        <v>104</v>
      </c>
      <c r="H106" s="1" t="s">
        <v>568</v>
      </c>
      <c r="I106" s="1" t="s">
        <v>572</v>
      </c>
      <c r="J106" s="1" t="s">
        <v>156</v>
      </c>
      <c r="K106" s="1" t="s">
        <v>157</v>
      </c>
      <c r="L106" s="1" t="s">
        <v>43</v>
      </c>
      <c r="M106" s="1" t="s">
        <v>158</v>
      </c>
      <c r="N106" s="1">
        <v>65550.009999999995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410550</v>
      </c>
      <c r="AE106" s="1" t="s">
        <v>45</v>
      </c>
      <c r="AF106" s="1" t="s">
        <v>46</v>
      </c>
    </row>
    <row r="107" spans="1:32" hidden="1" x14ac:dyDescent="0.2">
      <c r="A107" s="1" t="s">
        <v>32</v>
      </c>
      <c r="B107" s="1" t="s">
        <v>573</v>
      </c>
      <c r="C107" s="1" t="s">
        <v>574</v>
      </c>
      <c r="D107" s="1" t="s">
        <v>575</v>
      </c>
      <c r="E107" s="1" t="s">
        <v>36</v>
      </c>
      <c r="F107" s="1" t="s">
        <v>37</v>
      </c>
      <c r="G107" s="1" t="s">
        <v>88</v>
      </c>
      <c r="H107" s="1" t="s">
        <v>568</v>
      </c>
      <c r="I107" s="1" t="s">
        <v>576</v>
      </c>
      <c r="J107" s="1" t="s">
        <v>577</v>
      </c>
      <c r="K107" s="1" t="s">
        <v>578</v>
      </c>
      <c r="L107" s="1" t="s">
        <v>43</v>
      </c>
      <c r="M107" s="1" t="s">
        <v>44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166898</v>
      </c>
      <c r="AE107" s="1" t="s">
        <v>45</v>
      </c>
      <c r="AF107" s="1" t="s">
        <v>46</v>
      </c>
    </row>
    <row r="108" spans="1:32" hidden="1" x14ac:dyDescent="0.2">
      <c r="A108" s="1" t="s">
        <v>32</v>
      </c>
      <c r="B108" s="1" t="s">
        <v>579</v>
      </c>
      <c r="C108" s="1" t="s">
        <v>580</v>
      </c>
      <c r="D108" s="1" t="s">
        <v>188</v>
      </c>
      <c r="E108" s="1" t="s">
        <v>36</v>
      </c>
      <c r="F108" s="1" t="s">
        <v>37</v>
      </c>
      <c r="G108" s="1" t="s">
        <v>38</v>
      </c>
      <c r="H108" s="1" t="s">
        <v>581</v>
      </c>
      <c r="I108" s="1" t="s">
        <v>582</v>
      </c>
      <c r="J108" s="1" t="s">
        <v>190</v>
      </c>
      <c r="K108" s="1" t="s">
        <v>191</v>
      </c>
      <c r="L108" s="1" t="s">
        <v>43</v>
      </c>
      <c r="M108" s="1" t="s">
        <v>44</v>
      </c>
      <c r="N108" s="1">
        <v>11535.57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72249.119999999995</v>
      </c>
      <c r="AE108" s="1" t="s">
        <v>45</v>
      </c>
      <c r="AF108" s="1" t="s">
        <v>46</v>
      </c>
    </row>
    <row r="109" spans="1:32" hidden="1" x14ac:dyDescent="0.2">
      <c r="A109" s="1" t="s">
        <v>32</v>
      </c>
      <c r="B109" s="1" t="s">
        <v>583</v>
      </c>
      <c r="C109" s="1" t="s">
        <v>584</v>
      </c>
      <c r="D109" s="1" t="s">
        <v>585</v>
      </c>
      <c r="E109" s="1" t="s">
        <v>36</v>
      </c>
      <c r="F109" s="1" t="s">
        <v>37</v>
      </c>
      <c r="G109" s="1" t="s">
        <v>104</v>
      </c>
      <c r="H109" s="1" t="s">
        <v>586</v>
      </c>
      <c r="I109" s="1" t="s">
        <v>587</v>
      </c>
      <c r="J109" s="1" t="s">
        <v>156</v>
      </c>
      <c r="K109" s="1" t="s">
        <v>157</v>
      </c>
      <c r="L109" s="1" t="s">
        <v>43</v>
      </c>
      <c r="M109" s="1" t="s">
        <v>158</v>
      </c>
      <c r="N109" s="1">
        <v>10968.91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68700</v>
      </c>
      <c r="AE109" s="1" t="s">
        <v>45</v>
      </c>
      <c r="AF109" s="1" t="s">
        <v>46</v>
      </c>
    </row>
    <row r="110" spans="1:32" hidden="1" x14ac:dyDescent="0.2">
      <c r="A110" s="1" t="s">
        <v>32</v>
      </c>
      <c r="B110" s="1" t="s">
        <v>588</v>
      </c>
      <c r="C110" s="1" t="s">
        <v>589</v>
      </c>
      <c r="D110" s="1" t="s">
        <v>590</v>
      </c>
      <c r="E110" s="1" t="s">
        <v>36</v>
      </c>
      <c r="F110" s="1" t="s">
        <v>37</v>
      </c>
      <c r="G110" s="1" t="s">
        <v>591</v>
      </c>
      <c r="H110" s="1" t="s">
        <v>521</v>
      </c>
      <c r="I110" s="1" t="s">
        <v>592</v>
      </c>
      <c r="J110" s="1" t="s">
        <v>593</v>
      </c>
      <c r="K110" s="1" t="s">
        <v>594</v>
      </c>
      <c r="L110" s="1" t="s">
        <v>43</v>
      </c>
      <c r="M110" s="1" t="s">
        <v>100</v>
      </c>
      <c r="N110" s="1">
        <v>2315.13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206500</v>
      </c>
      <c r="AE110" s="1" t="s">
        <v>45</v>
      </c>
      <c r="AF110" s="1" t="s">
        <v>46</v>
      </c>
    </row>
    <row r="111" spans="1:32" hidden="1" x14ac:dyDescent="0.2">
      <c r="A111" s="1" t="s">
        <v>32</v>
      </c>
      <c r="B111" s="1" t="s">
        <v>595</v>
      </c>
      <c r="C111" s="1" t="s">
        <v>596</v>
      </c>
      <c r="D111" s="1" t="s">
        <v>423</v>
      </c>
      <c r="E111" s="1" t="s">
        <v>36</v>
      </c>
      <c r="F111" s="1" t="s">
        <v>37</v>
      </c>
      <c r="G111" s="1" t="s">
        <v>88</v>
      </c>
      <c r="H111" s="1" t="s">
        <v>597</v>
      </c>
      <c r="I111" s="1" t="s">
        <v>598</v>
      </c>
      <c r="J111" s="1" t="s">
        <v>426</v>
      </c>
      <c r="K111" s="1" t="s">
        <v>427</v>
      </c>
      <c r="L111" s="1" t="s">
        <v>43</v>
      </c>
      <c r="M111" s="1" t="s">
        <v>44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162015</v>
      </c>
      <c r="AE111" s="1" t="s">
        <v>45</v>
      </c>
      <c r="AF111" s="1" t="s">
        <v>46</v>
      </c>
    </row>
    <row r="112" spans="1:32" hidden="1" x14ac:dyDescent="0.2">
      <c r="A112" s="1" t="s">
        <v>32</v>
      </c>
      <c r="B112" s="1" t="s">
        <v>599</v>
      </c>
      <c r="C112" s="1" t="s">
        <v>600</v>
      </c>
      <c r="D112" s="1" t="s">
        <v>601</v>
      </c>
      <c r="E112" s="1" t="s">
        <v>36</v>
      </c>
      <c r="F112" s="1" t="s">
        <v>37</v>
      </c>
      <c r="G112" s="1" t="s">
        <v>38</v>
      </c>
      <c r="H112" s="1" t="s">
        <v>602</v>
      </c>
      <c r="I112" s="1" t="s">
        <v>603</v>
      </c>
      <c r="J112" s="1" t="s">
        <v>604</v>
      </c>
      <c r="K112" s="1" t="s">
        <v>605</v>
      </c>
      <c r="L112" s="1" t="s">
        <v>43</v>
      </c>
      <c r="M112" s="1" t="s">
        <v>141</v>
      </c>
      <c r="N112" s="1">
        <v>38692.910000000003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242340</v>
      </c>
      <c r="AE112" s="1" t="s">
        <v>45</v>
      </c>
      <c r="AF112" s="1" t="s">
        <v>46</v>
      </c>
    </row>
    <row r="113" spans="1:32" hidden="1" x14ac:dyDescent="0.2">
      <c r="A113" s="1" t="s">
        <v>32</v>
      </c>
      <c r="B113" s="1" t="s">
        <v>606</v>
      </c>
      <c r="C113" s="1" t="s">
        <v>607</v>
      </c>
      <c r="D113" s="1" t="s">
        <v>153</v>
      </c>
      <c r="E113" s="1" t="s">
        <v>36</v>
      </c>
      <c r="F113" s="1" t="s">
        <v>37</v>
      </c>
      <c r="G113" s="1" t="s">
        <v>104</v>
      </c>
      <c r="H113" s="1" t="s">
        <v>608</v>
      </c>
      <c r="I113" s="1" t="s">
        <v>609</v>
      </c>
      <c r="J113" s="1" t="s">
        <v>156</v>
      </c>
      <c r="K113" s="1" t="s">
        <v>157</v>
      </c>
      <c r="L113" s="1" t="s">
        <v>43</v>
      </c>
      <c r="M113" s="1" t="s">
        <v>158</v>
      </c>
      <c r="N113" s="1">
        <v>9068.91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56800</v>
      </c>
      <c r="AE113" s="1" t="s">
        <v>45</v>
      </c>
      <c r="AF113" s="1" t="s">
        <v>46</v>
      </c>
    </row>
    <row r="114" spans="1:32" hidden="1" x14ac:dyDescent="0.2">
      <c r="A114" s="1" t="s">
        <v>32</v>
      </c>
      <c r="B114" s="1" t="s">
        <v>610</v>
      </c>
      <c r="C114" s="1" t="s">
        <v>611</v>
      </c>
      <c r="D114" s="1" t="s">
        <v>175</v>
      </c>
      <c r="E114" s="1" t="s">
        <v>36</v>
      </c>
      <c r="F114" s="1" t="s">
        <v>37</v>
      </c>
      <c r="G114" s="1" t="s">
        <v>506</v>
      </c>
      <c r="H114" s="1" t="s">
        <v>608</v>
      </c>
      <c r="I114" s="1" t="s">
        <v>612</v>
      </c>
      <c r="J114" s="1" t="s">
        <v>613</v>
      </c>
      <c r="K114" s="1" t="s">
        <v>614</v>
      </c>
      <c r="L114" s="1" t="s">
        <v>43</v>
      </c>
      <c r="M114" s="1" t="s">
        <v>69</v>
      </c>
      <c r="N114" s="1">
        <v>22294.12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139631.62</v>
      </c>
      <c r="AE114" s="1" t="s">
        <v>45</v>
      </c>
      <c r="AF114" s="1" t="s">
        <v>46</v>
      </c>
    </row>
    <row r="115" spans="1:32" hidden="1" x14ac:dyDescent="0.2">
      <c r="A115" s="1" t="s">
        <v>32</v>
      </c>
      <c r="B115" s="1" t="s">
        <v>615</v>
      </c>
      <c r="C115" s="1" t="s">
        <v>616</v>
      </c>
      <c r="D115" s="1" t="s">
        <v>229</v>
      </c>
      <c r="E115" s="1" t="s">
        <v>36</v>
      </c>
      <c r="F115" s="1" t="s">
        <v>37</v>
      </c>
      <c r="G115" s="1" t="s">
        <v>104</v>
      </c>
      <c r="H115" s="1" t="s">
        <v>617</v>
      </c>
      <c r="I115" s="1" t="s">
        <v>618</v>
      </c>
      <c r="J115" s="1" t="s">
        <v>156</v>
      </c>
      <c r="K115" s="1" t="s">
        <v>157</v>
      </c>
      <c r="L115" s="1" t="s">
        <v>43</v>
      </c>
      <c r="M115" s="1" t="s">
        <v>158</v>
      </c>
      <c r="N115" s="1">
        <v>36323.53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227500</v>
      </c>
      <c r="AE115" s="1" t="s">
        <v>45</v>
      </c>
      <c r="AF115" s="1" t="s">
        <v>46</v>
      </c>
    </row>
    <row r="116" spans="1:32" hidden="1" x14ac:dyDescent="0.2">
      <c r="A116" s="1" t="s">
        <v>32</v>
      </c>
      <c r="B116" s="1" t="s">
        <v>619</v>
      </c>
      <c r="C116" s="1" t="s">
        <v>620</v>
      </c>
      <c r="D116" s="1" t="s">
        <v>181</v>
      </c>
      <c r="E116" s="1" t="s">
        <v>36</v>
      </c>
      <c r="F116" s="1" t="s">
        <v>37</v>
      </c>
      <c r="G116" s="1" t="s">
        <v>88</v>
      </c>
      <c r="H116" s="1" t="s">
        <v>621</v>
      </c>
      <c r="I116" s="1" t="s">
        <v>622</v>
      </c>
      <c r="J116" s="1" t="s">
        <v>184</v>
      </c>
      <c r="K116" s="1" t="s">
        <v>185</v>
      </c>
      <c r="L116" s="1" t="s">
        <v>43</v>
      </c>
      <c r="M116" s="1" t="s">
        <v>44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175043</v>
      </c>
      <c r="AE116" s="1" t="s">
        <v>45</v>
      </c>
      <c r="AF116" s="1" t="s">
        <v>46</v>
      </c>
    </row>
    <row r="117" spans="1:32" hidden="1" x14ac:dyDescent="0.2">
      <c r="A117" s="1" t="s">
        <v>32</v>
      </c>
      <c r="B117" s="1" t="s">
        <v>623</v>
      </c>
      <c r="C117" s="1" t="s">
        <v>624</v>
      </c>
      <c r="D117" s="1" t="s">
        <v>175</v>
      </c>
      <c r="E117" s="1" t="s">
        <v>36</v>
      </c>
      <c r="F117" s="1" t="s">
        <v>37</v>
      </c>
      <c r="G117" s="1" t="s">
        <v>38</v>
      </c>
      <c r="H117" s="1" t="s">
        <v>621</v>
      </c>
      <c r="I117" s="1" t="s">
        <v>625</v>
      </c>
      <c r="J117" s="1" t="s">
        <v>613</v>
      </c>
      <c r="K117" s="1" t="s">
        <v>614</v>
      </c>
      <c r="L117" s="1" t="s">
        <v>43</v>
      </c>
      <c r="M117" s="1" t="s">
        <v>69</v>
      </c>
      <c r="N117" s="1">
        <v>7184.87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45000</v>
      </c>
      <c r="AE117" s="1" t="s">
        <v>45</v>
      </c>
      <c r="AF117" s="1" t="s">
        <v>46</v>
      </c>
    </row>
    <row r="118" spans="1:32" hidden="1" x14ac:dyDescent="0.2">
      <c r="A118" s="1" t="s">
        <v>32</v>
      </c>
      <c r="B118" s="1" t="s">
        <v>626</v>
      </c>
      <c r="C118" s="1" t="s">
        <v>627</v>
      </c>
      <c r="D118" s="1" t="s">
        <v>628</v>
      </c>
      <c r="E118" s="1" t="s">
        <v>36</v>
      </c>
      <c r="F118" s="1" t="s">
        <v>37</v>
      </c>
      <c r="G118" s="1" t="s">
        <v>38</v>
      </c>
      <c r="H118" s="1" t="s">
        <v>629</v>
      </c>
      <c r="I118" s="1" t="s">
        <v>630</v>
      </c>
      <c r="J118" s="1" t="s">
        <v>541</v>
      </c>
      <c r="K118" s="1" t="s">
        <v>542</v>
      </c>
      <c r="L118" s="1" t="s">
        <v>43</v>
      </c>
      <c r="M118" s="1" t="s">
        <v>44</v>
      </c>
      <c r="N118" s="1">
        <v>88230.25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552600</v>
      </c>
      <c r="AE118" s="1" t="s">
        <v>45</v>
      </c>
      <c r="AF118" s="1" t="s">
        <v>46</v>
      </c>
    </row>
    <row r="119" spans="1:32" hidden="1" x14ac:dyDescent="0.2">
      <c r="A119" s="1" t="s">
        <v>32</v>
      </c>
      <c r="B119" s="1" t="s">
        <v>631</v>
      </c>
      <c r="C119" s="1" t="s">
        <v>632</v>
      </c>
      <c r="D119" s="1" t="s">
        <v>181</v>
      </c>
      <c r="E119" s="1" t="s">
        <v>36</v>
      </c>
      <c r="F119" s="1" t="s">
        <v>37</v>
      </c>
      <c r="G119" s="1" t="s">
        <v>88</v>
      </c>
      <c r="H119" s="1" t="s">
        <v>633</v>
      </c>
      <c r="I119" s="1" t="s">
        <v>634</v>
      </c>
      <c r="J119" s="1" t="s">
        <v>184</v>
      </c>
      <c r="K119" s="1" t="s">
        <v>185</v>
      </c>
      <c r="L119" s="1" t="s">
        <v>43</v>
      </c>
      <c r="M119" s="1" t="s">
        <v>44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175890</v>
      </c>
      <c r="AE119" s="1" t="s">
        <v>45</v>
      </c>
      <c r="AF119" s="1" t="s">
        <v>46</v>
      </c>
    </row>
    <row r="120" spans="1:32" hidden="1" x14ac:dyDescent="0.2">
      <c r="A120" s="1" t="s">
        <v>32</v>
      </c>
      <c r="B120" s="1" t="s">
        <v>635</v>
      </c>
      <c r="C120" s="1" t="s">
        <v>636</v>
      </c>
      <c r="D120" s="1" t="s">
        <v>494</v>
      </c>
      <c r="E120" s="1" t="s">
        <v>36</v>
      </c>
      <c r="F120" s="1" t="s">
        <v>37</v>
      </c>
      <c r="G120" s="1" t="s">
        <v>88</v>
      </c>
      <c r="H120" s="1" t="s">
        <v>637</v>
      </c>
      <c r="I120" s="1" t="s">
        <v>638</v>
      </c>
      <c r="J120" s="1" t="s">
        <v>426</v>
      </c>
      <c r="K120" s="1" t="s">
        <v>427</v>
      </c>
      <c r="L120" s="1" t="s">
        <v>43</v>
      </c>
      <c r="M120" s="1" t="s">
        <v>44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121767</v>
      </c>
      <c r="AE120" s="1" t="s">
        <v>45</v>
      </c>
      <c r="AF120" s="1" t="s">
        <v>46</v>
      </c>
    </row>
    <row r="121" spans="1:32" hidden="1" x14ac:dyDescent="0.2">
      <c r="A121" s="1" t="s">
        <v>32</v>
      </c>
      <c r="B121" s="1" t="s">
        <v>639</v>
      </c>
      <c r="C121" s="1" t="s">
        <v>640</v>
      </c>
      <c r="D121" s="1" t="s">
        <v>471</v>
      </c>
      <c r="E121" s="1" t="s">
        <v>36</v>
      </c>
      <c r="F121" s="1" t="s">
        <v>37</v>
      </c>
      <c r="G121" s="1" t="s">
        <v>506</v>
      </c>
      <c r="H121" s="1" t="s">
        <v>637</v>
      </c>
      <c r="I121" s="1" t="s">
        <v>641</v>
      </c>
      <c r="J121" s="1" t="s">
        <v>474</v>
      </c>
      <c r="K121" s="1" t="s">
        <v>475</v>
      </c>
      <c r="L121" s="1" t="s">
        <v>43</v>
      </c>
      <c r="M121" s="1" t="s">
        <v>69</v>
      </c>
      <c r="N121" s="1">
        <v>9579.83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60000</v>
      </c>
      <c r="AE121" s="1" t="s">
        <v>45</v>
      </c>
      <c r="AF121" s="1" t="s">
        <v>46</v>
      </c>
    </row>
    <row r="122" spans="1:32" hidden="1" x14ac:dyDescent="0.2">
      <c r="A122" s="1" t="s">
        <v>32</v>
      </c>
      <c r="B122" s="1" t="s">
        <v>642</v>
      </c>
      <c r="C122" s="1" t="s">
        <v>643</v>
      </c>
      <c r="D122" s="1" t="s">
        <v>458</v>
      </c>
      <c r="E122" s="1" t="s">
        <v>36</v>
      </c>
      <c r="F122" s="1" t="s">
        <v>37</v>
      </c>
      <c r="G122" s="1" t="s">
        <v>88</v>
      </c>
      <c r="H122" s="1" t="s">
        <v>644</v>
      </c>
      <c r="I122" s="1" t="s">
        <v>645</v>
      </c>
      <c r="J122" s="1" t="s">
        <v>132</v>
      </c>
      <c r="K122" s="1" t="s">
        <v>461</v>
      </c>
      <c r="L122" s="1" t="s">
        <v>43</v>
      </c>
      <c r="M122" s="1" t="s">
        <v>44</v>
      </c>
      <c r="N122" s="1">
        <v>4135.29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29900</v>
      </c>
      <c r="AE122" s="1" t="s">
        <v>45</v>
      </c>
      <c r="AF122" s="1" t="s">
        <v>46</v>
      </c>
    </row>
    <row r="123" spans="1:32" hidden="1" x14ac:dyDescent="0.2">
      <c r="A123" s="1" t="s">
        <v>32</v>
      </c>
      <c r="B123" s="1" t="s">
        <v>646</v>
      </c>
      <c r="C123" s="1" t="s">
        <v>647</v>
      </c>
      <c r="D123" s="1" t="s">
        <v>229</v>
      </c>
      <c r="E123" s="1" t="s">
        <v>36</v>
      </c>
      <c r="F123" s="1" t="s">
        <v>37</v>
      </c>
      <c r="G123" s="1" t="s">
        <v>104</v>
      </c>
      <c r="H123" s="1" t="s">
        <v>648</v>
      </c>
      <c r="I123" s="1" t="s">
        <v>649</v>
      </c>
      <c r="J123" s="1" t="s">
        <v>156</v>
      </c>
      <c r="K123" s="1" t="s">
        <v>157</v>
      </c>
      <c r="L123" s="1" t="s">
        <v>43</v>
      </c>
      <c r="M123" s="1" t="s">
        <v>158</v>
      </c>
      <c r="N123" s="1">
        <v>1221.43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7650</v>
      </c>
      <c r="AE123" s="1" t="s">
        <v>45</v>
      </c>
      <c r="AF123" s="1" t="s">
        <v>46</v>
      </c>
    </row>
    <row r="124" spans="1:32" hidden="1" x14ac:dyDescent="0.2">
      <c r="A124" s="1" t="s">
        <v>32</v>
      </c>
      <c r="B124" s="1" t="s">
        <v>650</v>
      </c>
      <c r="C124" s="1" t="s">
        <v>651</v>
      </c>
      <c r="D124" s="1" t="s">
        <v>567</v>
      </c>
      <c r="E124" s="1" t="s">
        <v>36</v>
      </c>
      <c r="F124" s="1" t="s">
        <v>37</v>
      </c>
      <c r="G124" s="1" t="s">
        <v>38</v>
      </c>
      <c r="H124" s="1" t="s">
        <v>648</v>
      </c>
      <c r="I124" s="1" t="s">
        <v>652</v>
      </c>
      <c r="J124" s="1" t="s">
        <v>156</v>
      </c>
      <c r="K124" s="1" t="s">
        <v>157</v>
      </c>
      <c r="L124" s="1" t="s">
        <v>43</v>
      </c>
      <c r="M124" s="1" t="s">
        <v>158</v>
      </c>
      <c r="N124" s="1">
        <v>16062.19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100600</v>
      </c>
      <c r="AE124" s="1" t="s">
        <v>45</v>
      </c>
      <c r="AF124" s="1" t="s">
        <v>46</v>
      </c>
    </row>
    <row r="125" spans="1:32" hidden="1" x14ac:dyDescent="0.2">
      <c r="A125" s="1" t="s">
        <v>32</v>
      </c>
      <c r="B125" s="1" t="s">
        <v>653</v>
      </c>
      <c r="C125" s="1" t="s">
        <v>654</v>
      </c>
      <c r="D125" s="1" t="s">
        <v>655</v>
      </c>
      <c r="E125" s="1" t="s">
        <v>36</v>
      </c>
      <c r="F125" s="1" t="s">
        <v>37</v>
      </c>
      <c r="G125" s="1" t="s">
        <v>176</v>
      </c>
      <c r="H125" s="1" t="s">
        <v>648</v>
      </c>
      <c r="I125" s="1" t="s">
        <v>656</v>
      </c>
      <c r="J125" s="1" t="s">
        <v>657</v>
      </c>
      <c r="K125" s="1" t="s">
        <v>658</v>
      </c>
      <c r="L125" s="1" t="s">
        <v>43</v>
      </c>
      <c r="M125" s="1" t="s">
        <v>69</v>
      </c>
      <c r="N125" s="1">
        <v>11950.81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74849.81</v>
      </c>
      <c r="AE125" s="1" t="s">
        <v>45</v>
      </c>
      <c r="AF125" s="1" t="s">
        <v>46</v>
      </c>
    </row>
    <row r="126" spans="1:32" hidden="1" x14ac:dyDescent="0.2">
      <c r="A126" s="1" t="s">
        <v>32</v>
      </c>
      <c r="B126" s="1" t="s">
        <v>659</v>
      </c>
      <c r="C126" s="1" t="s">
        <v>660</v>
      </c>
      <c r="D126" s="1" t="s">
        <v>560</v>
      </c>
      <c r="E126" s="1" t="s">
        <v>36</v>
      </c>
      <c r="F126" s="1" t="s">
        <v>37</v>
      </c>
      <c r="G126" s="1" t="s">
        <v>88</v>
      </c>
      <c r="H126" s="1" t="s">
        <v>648</v>
      </c>
      <c r="I126" s="1" t="s">
        <v>661</v>
      </c>
      <c r="J126" s="1" t="s">
        <v>662</v>
      </c>
      <c r="K126" s="1" t="s">
        <v>663</v>
      </c>
      <c r="L126" s="1" t="s">
        <v>43</v>
      </c>
      <c r="M126" s="1" t="s">
        <v>100</v>
      </c>
      <c r="N126" s="1">
        <v>67537.81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423000</v>
      </c>
      <c r="AE126" s="1" t="s">
        <v>45</v>
      </c>
      <c r="AF126" s="1" t="s">
        <v>46</v>
      </c>
    </row>
    <row r="127" spans="1:32" hidden="1" x14ac:dyDescent="0.2">
      <c r="A127" s="1" t="s">
        <v>32</v>
      </c>
      <c r="B127" s="1" t="s">
        <v>664</v>
      </c>
      <c r="C127" s="1" t="s">
        <v>665</v>
      </c>
      <c r="D127" s="1" t="s">
        <v>666</v>
      </c>
      <c r="E127" s="1" t="s">
        <v>36</v>
      </c>
      <c r="F127" s="1" t="s">
        <v>37</v>
      </c>
      <c r="G127" s="1" t="s">
        <v>104</v>
      </c>
      <c r="H127" s="1" t="s">
        <v>667</v>
      </c>
      <c r="I127" s="1" t="s">
        <v>668</v>
      </c>
      <c r="J127" s="1" t="s">
        <v>669</v>
      </c>
      <c r="K127" s="1" t="s">
        <v>670</v>
      </c>
      <c r="L127" s="1" t="s">
        <v>43</v>
      </c>
      <c r="M127" s="1" t="s">
        <v>671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155936</v>
      </c>
      <c r="AE127" s="1" t="s">
        <v>45</v>
      </c>
      <c r="AF127" s="1" t="s">
        <v>46</v>
      </c>
    </row>
    <row r="128" spans="1:32" hidden="1" x14ac:dyDescent="0.2">
      <c r="A128" s="1" t="s">
        <v>32</v>
      </c>
      <c r="B128" s="1" t="s">
        <v>672</v>
      </c>
      <c r="C128" s="1" t="s">
        <v>673</v>
      </c>
      <c r="D128" s="1" t="s">
        <v>560</v>
      </c>
      <c r="E128" s="1" t="s">
        <v>36</v>
      </c>
      <c r="F128" s="1" t="s">
        <v>37</v>
      </c>
      <c r="G128" s="1" t="s">
        <v>88</v>
      </c>
      <c r="H128" s="1" t="s">
        <v>667</v>
      </c>
      <c r="I128" s="1" t="s">
        <v>674</v>
      </c>
      <c r="J128" s="1" t="s">
        <v>662</v>
      </c>
      <c r="K128" s="1" t="s">
        <v>663</v>
      </c>
      <c r="L128" s="1" t="s">
        <v>43</v>
      </c>
      <c r="M128" s="1" t="s">
        <v>100</v>
      </c>
      <c r="N128" s="1">
        <v>11815.12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74000</v>
      </c>
      <c r="AE128" s="1" t="s">
        <v>45</v>
      </c>
      <c r="AF128" s="1" t="s">
        <v>46</v>
      </c>
    </row>
    <row r="129" spans="1:32" hidden="1" x14ac:dyDescent="0.2">
      <c r="A129" s="1" t="s">
        <v>32</v>
      </c>
      <c r="B129" s="1" t="s">
        <v>675</v>
      </c>
      <c r="C129" s="1" t="s">
        <v>676</v>
      </c>
      <c r="D129" s="1" t="s">
        <v>560</v>
      </c>
      <c r="E129" s="1" t="s">
        <v>36</v>
      </c>
      <c r="F129" s="1" t="s">
        <v>37</v>
      </c>
      <c r="G129" s="1" t="s">
        <v>37</v>
      </c>
      <c r="H129" s="1" t="s">
        <v>677</v>
      </c>
      <c r="I129" s="1" t="s">
        <v>678</v>
      </c>
      <c r="J129" s="1" t="s">
        <v>563</v>
      </c>
      <c r="K129" s="1" t="s">
        <v>564</v>
      </c>
      <c r="L129" s="1" t="s">
        <v>43</v>
      </c>
      <c r="M129" s="1" t="s">
        <v>100</v>
      </c>
      <c r="N129" s="1">
        <v>2905.88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49700</v>
      </c>
      <c r="AE129" s="1" t="s">
        <v>45</v>
      </c>
      <c r="AF129" s="1" t="s">
        <v>46</v>
      </c>
    </row>
    <row r="130" spans="1:32" hidden="1" x14ac:dyDescent="0.2">
      <c r="A130" s="1" t="s">
        <v>32</v>
      </c>
      <c r="B130" s="1" t="s">
        <v>679</v>
      </c>
      <c r="C130" s="1" t="s">
        <v>680</v>
      </c>
      <c r="D130" s="1" t="s">
        <v>471</v>
      </c>
      <c r="E130" s="1" t="s">
        <v>36</v>
      </c>
      <c r="F130" s="1" t="s">
        <v>37</v>
      </c>
      <c r="G130" s="1" t="s">
        <v>506</v>
      </c>
      <c r="H130" s="1" t="s">
        <v>677</v>
      </c>
      <c r="I130" s="1" t="s">
        <v>681</v>
      </c>
      <c r="J130" s="1" t="s">
        <v>474</v>
      </c>
      <c r="K130" s="1" t="s">
        <v>475</v>
      </c>
      <c r="L130" s="1" t="s">
        <v>43</v>
      </c>
      <c r="M130" s="1" t="s">
        <v>69</v>
      </c>
      <c r="N130" s="1">
        <v>2554.62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16000</v>
      </c>
      <c r="AE130" s="1" t="s">
        <v>45</v>
      </c>
      <c r="AF130" s="1" t="s">
        <v>46</v>
      </c>
    </row>
    <row r="131" spans="1:32" hidden="1" x14ac:dyDescent="0.2">
      <c r="A131" s="1" t="s">
        <v>32</v>
      </c>
      <c r="B131" s="1" t="s">
        <v>682</v>
      </c>
      <c r="C131" s="1" t="s">
        <v>683</v>
      </c>
      <c r="D131" s="1" t="s">
        <v>471</v>
      </c>
      <c r="E131" s="1" t="s">
        <v>36</v>
      </c>
      <c r="F131" s="1" t="s">
        <v>37</v>
      </c>
      <c r="G131" s="1" t="s">
        <v>506</v>
      </c>
      <c r="H131" s="1" t="s">
        <v>677</v>
      </c>
      <c r="I131" s="1" t="s">
        <v>684</v>
      </c>
      <c r="J131" s="1" t="s">
        <v>474</v>
      </c>
      <c r="K131" s="1" t="s">
        <v>475</v>
      </c>
      <c r="L131" s="1" t="s">
        <v>43</v>
      </c>
      <c r="M131" s="1" t="s">
        <v>69</v>
      </c>
      <c r="N131" s="1">
        <v>10218.49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64000</v>
      </c>
      <c r="AE131" s="1" t="s">
        <v>45</v>
      </c>
      <c r="AF131" s="1" t="s">
        <v>46</v>
      </c>
    </row>
    <row r="132" spans="1:32" hidden="1" x14ac:dyDescent="0.2">
      <c r="A132" s="1" t="s">
        <v>32</v>
      </c>
      <c r="B132" s="1" t="s">
        <v>685</v>
      </c>
      <c r="C132" s="1" t="s">
        <v>686</v>
      </c>
      <c r="D132" s="1" t="s">
        <v>687</v>
      </c>
      <c r="E132" s="1" t="s">
        <v>36</v>
      </c>
      <c r="F132" s="1" t="s">
        <v>37</v>
      </c>
      <c r="G132" s="1" t="s">
        <v>38</v>
      </c>
      <c r="H132" s="1" t="s">
        <v>688</v>
      </c>
      <c r="I132" s="1" t="s">
        <v>689</v>
      </c>
      <c r="J132" s="1" t="s">
        <v>541</v>
      </c>
      <c r="K132" s="1" t="s">
        <v>542</v>
      </c>
      <c r="L132" s="1" t="s">
        <v>43</v>
      </c>
      <c r="M132" s="1" t="s">
        <v>44</v>
      </c>
      <c r="N132" s="1">
        <v>163832.69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1038610</v>
      </c>
      <c r="AE132" s="1" t="s">
        <v>45</v>
      </c>
      <c r="AF132" s="1" t="s">
        <v>46</v>
      </c>
    </row>
    <row r="133" spans="1:32" hidden="1" x14ac:dyDescent="0.2">
      <c r="A133" s="1" t="s">
        <v>32</v>
      </c>
      <c r="B133" s="1" t="s">
        <v>690</v>
      </c>
      <c r="C133" s="1" t="s">
        <v>691</v>
      </c>
      <c r="D133" s="1" t="s">
        <v>471</v>
      </c>
      <c r="E133" s="1" t="s">
        <v>36</v>
      </c>
      <c r="F133" s="1" t="s">
        <v>37</v>
      </c>
      <c r="G133" s="1" t="s">
        <v>506</v>
      </c>
      <c r="H133" s="1" t="s">
        <v>688</v>
      </c>
      <c r="I133" s="1" t="s">
        <v>692</v>
      </c>
      <c r="J133" s="1" t="s">
        <v>474</v>
      </c>
      <c r="K133" s="1" t="s">
        <v>475</v>
      </c>
      <c r="L133" s="1" t="s">
        <v>43</v>
      </c>
      <c r="M133" s="1" t="s">
        <v>69</v>
      </c>
      <c r="N133" s="1">
        <v>57670.59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361200</v>
      </c>
      <c r="AE133" s="1" t="s">
        <v>45</v>
      </c>
      <c r="AF133" s="1" t="s">
        <v>46</v>
      </c>
    </row>
    <row r="134" spans="1:32" hidden="1" x14ac:dyDescent="0.2">
      <c r="A134" s="1" t="s">
        <v>32</v>
      </c>
      <c r="B134" s="1" t="s">
        <v>693</v>
      </c>
      <c r="C134" s="1" t="s">
        <v>694</v>
      </c>
      <c r="D134" s="1" t="s">
        <v>423</v>
      </c>
      <c r="E134" s="1" t="s">
        <v>36</v>
      </c>
      <c r="F134" s="1" t="s">
        <v>37</v>
      </c>
      <c r="G134" s="1" t="s">
        <v>88</v>
      </c>
      <c r="H134" s="1" t="s">
        <v>695</v>
      </c>
      <c r="I134" s="1" t="s">
        <v>696</v>
      </c>
      <c r="J134" s="1" t="s">
        <v>426</v>
      </c>
      <c r="K134" s="1" t="s">
        <v>427</v>
      </c>
      <c r="L134" s="1" t="s">
        <v>43</v>
      </c>
      <c r="M134" s="1" t="s">
        <v>44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174278</v>
      </c>
      <c r="AE134" s="1" t="s">
        <v>45</v>
      </c>
      <c r="AF134" s="1" t="s">
        <v>46</v>
      </c>
    </row>
    <row r="135" spans="1:32" hidden="1" x14ac:dyDescent="0.2">
      <c r="A135" s="1" t="s">
        <v>32</v>
      </c>
      <c r="B135" s="1" t="s">
        <v>697</v>
      </c>
      <c r="C135" s="1" t="s">
        <v>698</v>
      </c>
      <c r="D135" s="1" t="s">
        <v>585</v>
      </c>
      <c r="E135" s="1" t="s">
        <v>36</v>
      </c>
      <c r="F135" s="1" t="s">
        <v>37</v>
      </c>
      <c r="G135" s="1" t="s">
        <v>88</v>
      </c>
      <c r="H135" s="1" t="s">
        <v>695</v>
      </c>
      <c r="I135" s="1" t="s">
        <v>699</v>
      </c>
      <c r="J135" s="1" t="s">
        <v>156</v>
      </c>
      <c r="K135" s="1" t="s">
        <v>157</v>
      </c>
      <c r="L135" s="1" t="s">
        <v>43</v>
      </c>
      <c r="M135" s="1" t="s">
        <v>158</v>
      </c>
      <c r="N135" s="1">
        <v>9500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59500</v>
      </c>
      <c r="AE135" s="1" t="s">
        <v>45</v>
      </c>
      <c r="AF135" s="1" t="s">
        <v>46</v>
      </c>
    </row>
    <row r="136" spans="1:32" hidden="1" x14ac:dyDescent="0.2">
      <c r="A136" s="1" t="s">
        <v>32</v>
      </c>
      <c r="B136" s="1" t="s">
        <v>700</v>
      </c>
      <c r="C136" s="1" t="s">
        <v>701</v>
      </c>
      <c r="D136" s="1" t="s">
        <v>560</v>
      </c>
      <c r="E136" s="1" t="s">
        <v>36</v>
      </c>
      <c r="F136" s="1" t="s">
        <v>37</v>
      </c>
      <c r="G136" s="1" t="s">
        <v>88</v>
      </c>
      <c r="H136" s="1" t="s">
        <v>702</v>
      </c>
      <c r="I136" s="1" t="s">
        <v>703</v>
      </c>
      <c r="J136" s="1" t="s">
        <v>662</v>
      </c>
      <c r="K136" s="1" t="s">
        <v>663</v>
      </c>
      <c r="L136" s="1" t="s">
        <v>43</v>
      </c>
      <c r="M136" s="1" t="s">
        <v>100</v>
      </c>
      <c r="N136" s="1">
        <v>13731.1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86000</v>
      </c>
      <c r="AE136" s="1" t="s">
        <v>45</v>
      </c>
      <c r="AF136" s="1" t="s">
        <v>46</v>
      </c>
    </row>
    <row r="137" spans="1:32" hidden="1" x14ac:dyDescent="0.2">
      <c r="A137" s="1" t="s">
        <v>32</v>
      </c>
      <c r="B137" s="1" t="s">
        <v>704</v>
      </c>
      <c r="C137" s="1" t="s">
        <v>705</v>
      </c>
      <c r="D137" s="1" t="s">
        <v>706</v>
      </c>
      <c r="E137" s="1" t="s">
        <v>36</v>
      </c>
      <c r="F137" s="1" t="s">
        <v>37</v>
      </c>
      <c r="G137" s="1" t="s">
        <v>176</v>
      </c>
      <c r="H137" s="1" t="s">
        <v>707</v>
      </c>
      <c r="I137" s="1" t="s">
        <v>708</v>
      </c>
      <c r="J137" s="1" t="s">
        <v>709</v>
      </c>
      <c r="K137" s="1" t="s">
        <v>710</v>
      </c>
      <c r="L137" s="1" t="s">
        <v>43</v>
      </c>
      <c r="M137" s="1" t="s">
        <v>44</v>
      </c>
      <c r="N137" s="1">
        <v>302583.55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1895129</v>
      </c>
      <c r="AE137" s="1" t="s">
        <v>45</v>
      </c>
      <c r="AF137" s="1" t="s">
        <v>46</v>
      </c>
    </row>
    <row r="138" spans="1:32" hidden="1" x14ac:dyDescent="0.2">
      <c r="A138" s="1" t="s">
        <v>32</v>
      </c>
      <c r="B138" s="1" t="s">
        <v>711</v>
      </c>
      <c r="C138" s="1" t="s">
        <v>712</v>
      </c>
      <c r="D138" s="1" t="s">
        <v>175</v>
      </c>
      <c r="E138" s="1" t="s">
        <v>36</v>
      </c>
      <c r="F138" s="1" t="s">
        <v>37</v>
      </c>
      <c r="G138" s="1" t="s">
        <v>38</v>
      </c>
      <c r="H138" s="1" t="s">
        <v>713</v>
      </c>
      <c r="I138" s="1" t="s">
        <v>714</v>
      </c>
      <c r="J138" s="1" t="s">
        <v>715</v>
      </c>
      <c r="K138" s="1" t="s">
        <v>716</v>
      </c>
      <c r="L138" s="1" t="s">
        <v>43</v>
      </c>
      <c r="M138" s="1" t="s">
        <v>717</v>
      </c>
      <c r="N138" s="1">
        <v>0</v>
      </c>
      <c r="O138" s="1">
        <v>0</v>
      </c>
      <c r="P138" s="1">
        <v>0</v>
      </c>
      <c r="Q138" s="1">
        <v>9985.0400000000009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147279.04000000001</v>
      </c>
      <c r="AE138" s="1" t="s">
        <v>45</v>
      </c>
      <c r="AF138" s="1" t="s">
        <v>46</v>
      </c>
    </row>
    <row r="139" spans="1:32" hidden="1" x14ac:dyDescent="0.2">
      <c r="A139" s="1" t="s">
        <v>32</v>
      </c>
      <c r="B139" s="1" t="s">
        <v>718</v>
      </c>
      <c r="C139" s="1" t="s">
        <v>719</v>
      </c>
      <c r="D139" s="1" t="s">
        <v>720</v>
      </c>
      <c r="E139" s="1" t="s">
        <v>36</v>
      </c>
      <c r="F139" s="1" t="s">
        <v>37</v>
      </c>
      <c r="G139" s="1" t="s">
        <v>104</v>
      </c>
      <c r="H139" s="1" t="s">
        <v>721</v>
      </c>
      <c r="I139" s="1" t="s">
        <v>722</v>
      </c>
      <c r="J139" s="1" t="s">
        <v>723</v>
      </c>
      <c r="K139" s="1" t="s">
        <v>724</v>
      </c>
      <c r="L139" s="1" t="s">
        <v>43</v>
      </c>
      <c r="M139" s="1" t="s">
        <v>69</v>
      </c>
      <c r="N139" s="1">
        <v>0</v>
      </c>
      <c r="O139" s="1">
        <v>0</v>
      </c>
      <c r="P139" s="1">
        <v>0</v>
      </c>
      <c r="Q139" s="1">
        <v>4948.32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73000</v>
      </c>
      <c r="AE139" s="1" t="s">
        <v>45</v>
      </c>
      <c r="AF139" s="1" t="s">
        <v>46</v>
      </c>
    </row>
    <row r="140" spans="1:32" hidden="1" x14ac:dyDescent="0.2">
      <c r="A140" s="1" t="s">
        <v>32</v>
      </c>
      <c r="B140" s="1" t="s">
        <v>725</v>
      </c>
      <c r="C140" s="1" t="s">
        <v>726</v>
      </c>
      <c r="D140" s="1" t="s">
        <v>181</v>
      </c>
      <c r="E140" s="1" t="s">
        <v>36</v>
      </c>
      <c r="F140" s="1" t="s">
        <v>37</v>
      </c>
      <c r="G140" s="1" t="s">
        <v>88</v>
      </c>
      <c r="H140" s="1" t="s">
        <v>721</v>
      </c>
      <c r="I140" s="1" t="s">
        <v>727</v>
      </c>
      <c r="J140" s="1" t="s">
        <v>184</v>
      </c>
      <c r="K140" s="1" t="s">
        <v>185</v>
      </c>
      <c r="L140" s="1" t="s">
        <v>43</v>
      </c>
      <c r="M140" s="1" t="s">
        <v>44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175890</v>
      </c>
      <c r="AE140" s="1" t="s">
        <v>45</v>
      </c>
      <c r="AF140" s="1" t="s">
        <v>46</v>
      </c>
    </row>
    <row r="141" spans="1:32" hidden="1" x14ac:dyDescent="0.2">
      <c r="A141" s="1" t="s">
        <v>32</v>
      </c>
      <c r="B141" s="1" t="s">
        <v>728</v>
      </c>
      <c r="C141" s="1" t="s">
        <v>729</v>
      </c>
      <c r="D141" s="1" t="s">
        <v>730</v>
      </c>
      <c r="E141" s="1" t="s">
        <v>36</v>
      </c>
      <c r="F141" s="1" t="s">
        <v>73</v>
      </c>
      <c r="G141" s="1" t="s">
        <v>176</v>
      </c>
      <c r="H141" s="1" t="s">
        <v>721</v>
      </c>
      <c r="I141" s="1" t="s">
        <v>731</v>
      </c>
      <c r="J141" s="1" t="s">
        <v>732</v>
      </c>
      <c r="K141" s="1" t="s">
        <v>733</v>
      </c>
      <c r="L141" s="1" t="s">
        <v>43</v>
      </c>
      <c r="M141" s="1" t="s">
        <v>100</v>
      </c>
      <c r="N141" s="1">
        <v>93004.2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582500</v>
      </c>
      <c r="AE141" s="1" t="s">
        <v>45</v>
      </c>
      <c r="AF141" s="1" t="s">
        <v>46</v>
      </c>
    </row>
    <row r="142" spans="1:32" hidden="1" x14ac:dyDescent="0.2">
      <c r="A142" s="1" t="s">
        <v>32</v>
      </c>
      <c r="B142" s="1" t="s">
        <v>734</v>
      </c>
      <c r="C142" s="1" t="s">
        <v>735</v>
      </c>
      <c r="D142" s="1" t="s">
        <v>560</v>
      </c>
      <c r="E142" s="1" t="s">
        <v>36</v>
      </c>
      <c r="F142" s="1" t="s">
        <v>37</v>
      </c>
      <c r="G142" s="1" t="s">
        <v>88</v>
      </c>
      <c r="H142" s="1" t="s">
        <v>736</v>
      </c>
      <c r="I142" s="1" t="s">
        <v>737</v>
      </c>
      <c r="J142" s="1" t="s">
        <v>662</v>
      </c>
      <c r="K142" s="1" t="s">
        <v>663</v>
      </c>
      <c r="L142" s="1" t="s">
        <v>43</v>
      </c>
      <c r="M142" s="1" t="s">
        <v>100</v>
      </c>
      <c r="N142" s="1">
        <v>8781.52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55000</v>
      </c>
      <c r="AE142" s="1" t="s">
        <v>45</v>
      </c>
      <c r="AF142" s="1" t="s">
        <v>46</v>
      </c>
    </row>
    <row r="143" spans="1:32" hidden="1" x14ac:dyDescent="0.2">
      <c r="A143" s="1" t="s">
        <v>32</v>
      </c>
      <c r="B143" s="1" t="s">
        <v>738</v>
      </c>
      <c r="C143" s="1" t="s">
        <v>739</v>
      </c>
      <c r="D143" s="1" t="s">
        <v>229</v>
      </c>
      <c r="E143" s="1" t="s">
        <v>36</v>
      </c>
      <c r="F143" s="1" t="s">
        <v>37</v>
      </c>
      <c r="G143" s="1" t="s">
        <v>104</v>
      </c>
      <c r="H143" s="1" t="s">
        <v>736</v>
      </c>
      <c r="I143" s="1" t="s">
        <v>740</v>
      </c>
      <c r="J143" s="1" t="s">
        <v>156</v>
      </c>
      <c r="K143" s="1" t="s">
        <v>157</v>
      </c>
      <c r="L143" s="1" t="s">
        <v>43</v>
      </c>
      <c r="M143" s="1" t="s">
        <v>158</v>
      </c>
      <c r="N143" s="1">
        <v>47500.01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297500</v>
      </c>
      <c r="AE143" s="1" t="s">
        <v>45</v>
      </c>
      <c r="AF143" s="1" t="s">
        <v>46</v>
      </c>
    </row>
    <row r="144" spans="1:32" hidden="1" x14ac:dyDescent="0.2">
      <c r="A144" s="1" t="s">
        <v>32</v>
      </c>
      <c r="B144" s="1" t="s">
        <v>741</v>
      </c>
      <c r="C144" s="1" t="s">
        <v>742</v>
      </c>
      <c r="D144" s="1" t="s">
        <v>458</v>
      </c>
      <c r="E144" s="1" t="s">
        <v>36</v>
      </c>
      <c r="F144" s="1" t="s">
        <v>37</v>
      </c>
      <c r="G144" s="1" t="s">
        <v>88</v>
      </c>
      <c r="H144" s="1" t="s">
        <v>736</v>
      </c>
      <c r="I144" s="1" t="s">
        <v>743</v>
      </c>
      <c r="J144" s="1" t="s">
        <v>132</v>
      </c>
      <c r="K144" s="1" t="s">
        <v>461</v>
      </c>
      <c r="L144" s="1" t="s">
        <v>43</v>
      </c>
      <c r="M144" s="1" t="s">
        <v>44</v>
      </c>
      <c r="N144" s="1">
        <v>1197.48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11500</v>
      </c>
      <c r="AE144" s="1" t="s">
        <v>45</v>
      </c>
      <c r="AF144" s="1" t="s">
        <v>46</v>
      </c>
    </row>
    <row r="145" spans="1:32" hidden="1" x14ac:dyDescent="0.2">
      <c r="A145" s="1" t="s">
        <v>32</v>
      </c>
      <c r="B145" s="1" t="s">
        <v>744</v>
      </c>
      <c r="C145" s="1" t="s">
        <v>745</v>
      </c>
      <c r="D145" s="1" t="s">
        <v>458</v>
      </c>
      <c r="E145" s="1" t="s">
        <v>36</v>
      </c>
      <c r="F145" s="1" t="s">
        <v>37</v>
      </c>
      <c r="G145" s="1" t="s">
        <v>88</v>
      </c>
      <c r="H145" s="1" t="s">
        <v>736</v>
      </c>
      <c r="I145" s="1" t="s">
        <v>746</v>
      </c>
      <c r="J145" s="1" t="s">
        <v>132</v>
      </c>
      <c r="K145" s="1" t="s">
        <v>461</v>
      </c>
      <c r="L145" s="1" t="s">
        <v>43</v>
      </c>
      <c r="M145" s="1" t="s">
        <v>44</v>
      </c>
      <c r="N145" s="1">
        <v>3831.93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28000</v>
      </c>
      <c r="AE145" s="1" t="s">
        <v>45</v>
      </c>
      <c r="AF145" s="1" t="s">
        <v>46</v>
      </c>
    </row>
    <row r="146" spans="1:32" hidden="1" x14ac:dyDescent="0.2">
      <c r="A146" s="1" t="s">
        <v>32</v>
      </c>
      <c r="B146" s="1" t="s">
        <v>747</v>
      </c>
      <c r="C146" s="1" t="s">
        <v>748</v>
      </c>
      <c r="D146" s="1" t="s">
        <v>72</v>
      </c>
      <c r="E146" s="1" t="s">
        <v>36</v>
      </c>
      <c r="F146" s="1" t="s">
        <v>73</v>
      </c>
      <c r="G146" s="1" t="s">
        <v>74</v>
      </c>
      <c r="H146" s="1" t="s">
        <v>749</v>
      </c>
      <c r="I146" s="1" t="s">
        <v>750</v>
      </c>
      <c r="J146" s="1" t="s">
        <v>76</v>
      </c>
      <c r="K146" s="1" t="s">
        <v>77</v>
      </c>
      <c r="L146" s="1" t="s">
        <v>43</v>
      </c>
      <c r="M146" s="1" t="s">
        <v>69</v>
      </c>
      <c r="N146" s="1">
        <v>92382.18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578604.18000000005</v>
      </c>
      <c r="AE146" s="1" t="s">
        <v>45</v>
      </c>
      <c r="AF146" s="1" t="s">
        <v>46</v>
      </c>
    </row>
    <row r="147" spans="1:32" hidden="1" x14ac:dyDescent="0.2">
      <c r="A147" s="1" t="s">
        <v>32</v>
      </c>
      <c r="B147" s="1" t="s">
        <v>751</v>
      </c>
      <c r="C147" s="1" t="s">
        <v>752</v>
      </c>
      <c r="D147" s="1" t="s">
        <v>567</v>
      </c>
      <c r="E147" s="1" t="s">
        <v>36</v>
      </c>
      <c r="F147" s="1" t="s">
        <v>37</v>
      </c>
      <c r="G147" s="1" t="s">
        <v>38</v>
      </c>
      <c r="H147" s="1" t="s">
        <v>753</v>
      </c>
      <c r="I147" s="1" t="s">
        <v>754</v>
      </c>
      <c r="J147" s="1" t="s">
        <v>156</v>
      </c>
      <c r="K147" s="1" t="s">
        <v>157</v>
      </c>
      <c r="L147" s="1" t="s">
        <v>43</v>
      </c>
      <c r="M147" s="1" t="s">
        <v>158</v>
      </c>
      <c r="N147" s="1">
        <v>18728.580000000002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117300</v>
      </c>
      <c r="AE147" s="1" t="s">
        <v>45</v>
      </c>
      <c r="AF147" s="1" t="s">
        <v>46</v>
      </c>
    </row>
    <row r="148" spans="1:32" hidden="1" x14ac:dyDescent="0.2">
      <c r="A148" s="1" t="s">
        <v>32</v>
      </c>
      <c r="B148" s="1" t="s">
        <v>755</v>
      </c>
      <c r="C148" s="1" t="s">
        <v>756</v>
      </c>
      <c r="D148" s="1" t="s">
        <v>757</v>
      </c>
      <c r="E148" s="1" t="s">
        <v>36</v>
      </c>
      <c r="F148" s="1" t="s">
        <v>37</v>
      </c>
      <c r="G148" s="1" t="s">
        <v>38</v>
      </c>
      <c r="H148" s="1" t="s">
        <v>758</v>
      </c>
      <c r="I148" s="1" t="s">
        <v>759</v>
      </c>
      <c r="J148" s="1" t="s">
        <v>760</v>
      </c>
      <c r="K148" s="1" t="s">
        <v>761</v>
      </c>
      <c r="L148" s="1" t="s">
        <v>43</v>
      </c>
      <c r="M148" s="1" t="s">
        <v>331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169070</v>
      </c>
      <c r="AE148" s="1" t="s">
        <v>45</v>
      </c>
      <c r="AF148" s="1" t="s">
        <v>46</v>
      </c>
    </row>
    <row r="149" spans="1:32" hidden="1" x14ac:dyDescent="0.2">
      <c r="A149" s="1" t="s">
        <v>32</v>
      </c>
      <c r="B149" s="1" t="s">
        <v>762</v>
      </c>
      <c r="C149" s="1" t="s">
        <v>763</v>
      </c>
      <c r="D149" s="1" t="s">
        <v>458</v>
      </c>
      <c r="E149" s="1" t="s">
        <v>36</v>
      </c>
      <c r="F149" s="1" t="s">
        <v>37</v>
      </c>
      <c r="G149" s="1" t="s">
        <v>88</v>
      </c>
      <c r="H149" s="1" t="s">
        <v>758</v>
      </c>
      <c r="I149" s="1" t="s">
        <v>764</v>
      </c>
      <c r="J149" s="1" t="s">
        <v>132</v>
      </c>
      <c r="K149" s="1" t="s">
        <v>461</v>
      </c>
      <c r="L149" s="1" t="s">
        <v>43</v>
      </c>
      <c r="M149" s="1" t="s">
        <v>44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4000</v>
      </c>
      <c r="AE149" s="1" t="s">
        <v>45</v>
      </c>
      <c r="AF149" s="1" t="s">
        <v>46</v>
      </c>
    </row>
    <row r="150" spans="1:32" hidden="1" x14ac:dyDescent="0.2">
      <c r="A150" s="1" t="s">
        <v>32</v>
      </c>
      <c r="B150" s="1" t="s">
        <v>765</v>
      </c>
      <c r="C150" s="1" t="s">
        <v>766</v>
      </c>
      <c r="D150" s="1" t="s">
        <v>458</v>
      </c>
      <c r="E150" s="1" t="s">
        <v>36</v>
      </c>
      <c r="F150" s="1" t="s">
        <v>37</v>
      </c>
      <c r="G150" s="1" t="s">
        <v>88</v>
      </c>
      <c r="H150" s="1" t="s">
        <v>758</v>
      </c>
      <c r="I150" s="1" t="s">
        <v>767</v>
      </c>
      <c r="J150" s="1" t="s">
        <v>132</v>
      </c>
      <c r="K150" s="1" t="s">
        <v>461</v>
      </c>
      <c r="L150" s="1" t="s">
        <v>43</v>
      </c>
      <c r="M150" s="1" t="s">
        <v>44</v>
      </c>
      <c r="N150" s="1">
        <v>1516.81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9500</v>
      </c>
      <c r="AE150" s="1" t="s">
        <v>45</v>
      </c>
      <c r="AF150" s="1" t="s">
        <v>46</v>
      </c>
    </row>
    <row r="151" spans="1:32" hidden="1" x14ac:dyDescent="0.2">
      <c r="A151" s="1" t="s">
        <v>32</v>
      </c>
      <c r="B151" s="1" t="s">
        <v>768</v>
      </c>
      <c r="C151" s="1" t="s">
        <v>769</v>
      </c>
      <c r="D151" s="1" t="s">
        <v>458</v>
      </c>
      <c r="E151" s="1" t="s">
        <v>36</v>
      </c>
      <c r="F151" s="1" t="s">
        <v>37</v>
      </c>
      <c r="G151" s="1" t="s">
        <v>88</v>
      </c>
      <c r="H151" s="1" t="s">
        <v>770</v>
      </c>
      <c r="I151" s="1" t="s">
        <v>771</v>
      </c>
      <c r="J151" s="1" t="s">
        <v>132</v>
      </c>
      <c r="K151" s="1" t="s">
        <v>461</v>
      </c>
      <c r="L151" s="1" t="s">
        <v>43</v>
      </c>
      <c r="M151" s="1" t="s">
        <v>44</v>
      </c>
      <c r="N151" s="1">
        <v>3512.6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22000</v>
      </c>
      <c r="AE151" s="1" t="s">
        <v>45</v>
      </c>
      <c r="AF151" s="1" t="s">
        <v>46</v>
      </c>
    </row>
    <row r="152" spans="1:32" hidden="1" x14ac:dyDescent="0.2">
      <c r="A152" s="1" t="s">
        <v>32</v>
      </c>
      <c r="B152" s="1" t="s">
        <v>772</v>
      </c>
      <c r="C152" s="1" t="s">
        <v>773</v>
      </c>
      <c r="D152" s="1" t="s">
        <v>416</v>
      </c>
      <c r="E152" s="1" t="s">
        <v>36</v>
      </c>
      <c r="F152" s="1" t="s">
        <v>37</v>
      </c>
      <c r="G152" s="1" t="s">
        <v>88</v>
      </c>
      <c r="H152" s="1" t="s">
        <v>770</v>
      </c>
      <c r="I152" s="1" t="s">
        <v>774</v>
      </c>
      <c r="J152" s="1" t="s">
        <v>419</v>
      </c>
      <c r="K152" s="1" t="s">
        <v>420</v>
      </c>
      <c r="L152" s="1" t="s">
        <v>43</v>
      </c>
      <c r="M152" s="1" t="s">
        <v>100</v>
      </c>
      <c r="N152" s="1">
        <v>56393.279999999999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353200</v>
      </c>
      <c r="AE152" s="1" t="s">
        <v>45</v>
      </c>
      <c r="AF152" s="1" t="s">
        <v>46</v>
      </c>
    </row>
    <row r="153" spans="1:32" hidden="1" x14ac:dyDescent="0.2">
      <c r="A153" s="1" t="s">
        <v>32</v>
      </c>
      <c r="B153" s="1" t="s">
        <v>775</v>
      </c>
      <c r="C153" s="1" t="s">
        <v>776</v>
      </c>
      <c r="D153" s="1" t="s">
        <v>458</v>
      </c>
      <c r="E153" s="1" t="s">
        <v>36</v>
      </c>
      <c r="F153" s="1" t="s">
        <v>37</v>
      </c>
      <c r="G153" s="1" t="s">
        <v>88</v>
      </c>
      <c r="H153" s="1" t="s">
        <v>777</v>
      </c>
      <c r="I153" s="1" t="s">
        <v>778</v>
      </c>
      <c r="J153" s="1" t="s">
        <v>132</v>
      </c>
      <c r="K153" s="1" t="s">
        <v>461</v>
      </c>
      <c r="L153" s="1" t="s">
        <v>43</v>
      </c>
      <c r="M153" s="1" t="s">
        <v>44</v>
      </c>
      <c r="N153" s="1">
        <v>3448.74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27600</v>
      </c>
      <c r="AE153" s="1" t="s">
        <v>45</v>
      </c>
      <c r="AF153" s="1" t="s">
        <v>46</v>
      </c>
    </row>
    <row r="154" spans="1:32" hidden="1" x14ac:dyDescent="0.2">
      <c r="A154" s="1" t="s">
        <v>32</v>
      </c>
      <c r="B154" s="1" t="s">
        <v>779</v>
      </c>
      <c r="C154" s="1" t="s">
        <v>780</v>
      </c>
      <c r="D154" s="1" t="s">
        <v>458</v>
      </c>
      <c r="E154" s="1" t="s">
        <v>36</v>
      </c>
      <c r="F154" s="1" t="s">
        <v>37</v>
      </c>
      <c r="G154" s="1" t="s">
        <v>88</v>
      </c>
      <c r="H154" s="1" t="s">
        <v>781</v>
      </c>
      <c r="I154" s="1" t="s">
        <v>782</v>
      </c>
      <c r="J154" s="1" t="s">
        <v>132</v>
      </c>
      <c r="K154" s="1" t="s">
        <v>461</v>
      </c>
      <c r="L154" s="1" t="s">
        <v>43</v>
      </c>
      <c r="M154" s="1" t="s">
        <v>44</v>
      </c>
      <c r="N154" s="1">
        <v>5763.86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36100</v>
      </c>
      <c r="AE154" s="1" t="s">
        <v>45</v>
      </c>
      <c r="AF154" s="1" t="s">
        <v>46</v>
      </c>
    </row>
    <row r="155" spans="1:32" hidden="1" x14ac:dyDescent="0.2">
      <c r="A155" s="1" t="s">
        <v>350</v>
      </c>
      <c r="B155" s="1" t="s">
        <v>783</v>
      </c>
      <c r="C155" s="1" t="s">
        <v>784</v>
      </c>
      <c r="D155" s="1" t="s">
        <v>785</v>
      </c>
      <c r="E155" s="1" t="s">
        <v>36</v>
      </c>
      <c r="F155" s="1" t="s">
        <v>37</v>
      </c>
      <c r="G155" s="1" t="s">
        <v>88</v>
      </c>
      <c r="H155" s="1" t="s">
        <v>781</v>
      </c>
      <c r="I155" s="1" t="s">
        <v>786</v>
      </c>
      <c r="J155" s="1" t="s">
        <v>132</v>
      </c>
      <c r="K155" s="1" t="s">
        <v>461</v>
      </c>
      <c r="L155" s="1" t="s">
        <v>43</v>
      </c>
      <c r="M155" s="1" t="s">
        <v>44</v>
      </c>
      <c r="N155" s="1">
        <v>14851.93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93020</v>
      </c>
      <c r="AE155" s="1" t="s">
        <v>45</v>
      </c>
      <c r="AF155" s="1" t="s">
        <v>46</v>
      </c>
    </row>
    <row r="156" spans="1:32" hidden="1" x14ac:dyDescent="0.2">
      <c r="A156" s="1" t="s">
        <v>32</v>
      </c>
      <c r="B156" s="1" t="s">
        <v>787</v>
      </c>
      <c r="C156" s="1" t="s">
        <v>788</v>
      </c>
      <c r="D156" s="1" t="s">
        <v>458</v>
      </c>
      <c r="E156" s="1" t="s">
        <v>36</v>
      </c>
      <c r="F156" s="1" t="s">
        <v>37</v>
      </c>
      <c r="G156" s="1" t="s">
        <v>88</v>
      </c>
      <c r="H156" s="1" t="s">
        <v>781</v>
      </c>
      <c r="I156" s="1" t="s">
        <v>789</v>
      </c>
      <c r="J156" s="1" t="s">
        <v>132</v>
      </c>
      <c r="K156" s="1" t="s">
        <v>461</v>
      </c>
      <c r="L156" s="1" t="s">
        <v>43</v>
      </c>
      <c r="M156" s="1" t="s">
        <v>44</v>
      </c>
      <c r="N156" s="1">
        <v>59273.62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384440</v>
      </c>
      <c r="AE156" s="1" t="s">
        <v>45</v>
      </c>
      <c r="AF156" s="1" t="s">
        <v>46</v>
      </c>
    </row>
    <row r="157" spans="1:32" hidden="1" x14ac:dyDescent="0.2">
      <c r="A157" s="1" t="s">
        <v>32</v>
      </c>
      <c r="B157" s="1" t="s">
        <v>790</v>
      </c>
      <c r="C157" s="1" t="s">
        <v>791</v>
      </c>
      <c r="D157" s="1" t="s">
        <v>792</v>
      </c>
      <c r="E157" s="1" t="s">
        <v>36</v>
      </c>
      <c r="F157" s="1" t="s">
        <v>37</v>
      </c>
      <c r="G157" s="1" t="s">
        <v>176</v>
      </c>
      <c r="H157" s="1" t="s">
        <v>781</v>
      </c>
      <c r="I157" s="1" t="s">
        <v>793</v>
      </c>
      <c r="J157" s="1" t="s">
        <v>794</v>
      </c>
      <c r="K157" s="1" t="s">
        <v>795</v>
      </c>
      <c r="L157" s="1" t="s">
        <v>43</v>
      </c>
      <c r="M157" s="1" t="s">
        <v>69</v>
      </c>
      <c r="N157" s="1">
        <v>54455.14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341061.14</v>
      </c>
      <c r="AE157" s="1" t="s">
        <v>45</v>
      </c>
      <c r="AF157" s="1" t="s">
        <v>46</v>
      </c>
    </row>
    <row r="158" spans="1:32" hidden="1" x14ac:dyDescent="0.2">
      <c r="A158" s="1" t="s">
        <v>32</v>
      </c>
      <c r="B158" s="1" t="s">
        <v>796</v>
      </c>
      <c r="C158" s="1" t="s">
        <v>797</v>
      </c>
      <c r="D158" s="1" t="s">
        <v>798</v>
      </c>
      <c r="E158" s="1" t="s">
        <v>36</v>
      </c>
      <c r="F158" s="1" t="s">
        <v>73</v>
      </c>
      <c r="G158" s="1" t="s">
        <v>37</v>
      </c>
      <c r="H158" s="1" t="s">
        <v>781</v>
      </c>
      <c r="I158" s="1" t="s">
        <v>799</v>
      </c>
      <c r="J158" s="1" t="s">
        <v>800</v>
      </c>
      <c r="K158" s="1" t="s">
        <v>801</v>
      </c>
      <c r="L158" s="1" t="s">
        <v>43</v>
      </c>
      <c r="M158" s="1" t="s">
        <v>44</v>
      </c>
      <c r="N158" s="1">
        <v>883290.5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5532187.9000000004</v>
      </c>
      <c r="AE158" s="1" t="s">
        <v>45</v>
      </c>
      <c r="AF158" s="1" t="s">
        <v>46</v>
      </c>
    </row>
    <row r="159" spans="1:32" hidden="1" x14ac:dyDescent="0.2">
      <c r="A159" s="1" t="s">
        <v>32</v>
      </c>
      <c r="B159" s="1" t="s">
        <v>802</v>
      </c>
      <c r="C159" s="1" t="s">
        <v>803</v>
      </c>
      <c r="D159" s="1" t="s">
        <v>72</v>
      </c>
      <c r="E159" s="1" t="s">
        <v>36</v>
      </c>
      <c r="F159" s="1" t="s">
        <v>73</v>
      </c>
      <c r="G159" s="1" t="s">
        <v>74</v>
      </c>
      <c r="H159" s="1" t="s">
        <v>781</v>
      </c>
      <c r="I159" s="1" t="s">
        <v>804</v>
      </c>
      <c r="J159" s="1" t="s">
        <v>76</v>
      </c>
      <c r="K159" s="1" t="s">
        <v>77</v>
      </c>
      <c r="L159" s="1" t="s">
        <v>43</v>
      </c>
      <c r="M159" s="1" t="s">
        <v>69</v>
      </c>
      <c r="N159" s="1">
        <v>117842.18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738064.18</v>
      </c>
      <c r="AE159" s="1" t="s">
        <v>45</v>
      </c>
      <c r="AF159" s="1" t="s">
        <v>46</v>
      </c>
    </row>
    <row r="160" spans="1:32" hidden="1" x14ac:dyDescent="0.2">
      <c r="A160" s="1" t="s">
        <v>32</v>
      </c>
      <c r="B160" s="1" t="s">
        <v>805</v>
      </c>
      <c r="C160" s="1" t="s">
        <v>806</v>
      </c>
      <c r="D160" s="1" t="s">
        <v>807</v>
      </c>
      <c r="E160" s="1" t="s">
        <v>36</v>
      </c>
      <c r="F160" s="1" t="s">
        <v>37</v>
      </c>
      <c r="G160" s="1" t="s">
        <v>38</v>
      </c>
      <c r="H160" s="1" t="s">
        <v>808</v>
      </c>
      <c r="I160" s="1" t="s">
        <v>809</v>
      </c>
      <c r="J160" s="1" t="s">
        <v>810</v>
      </c>
      <c r="K160" s="1" t="s">
        <v>811</v>
      </c>
      <c r="L160" s="1" t="s">
        <v>43</v>
      </c>
      <c r="M160" s="1" t="s">
        <v>100</v>
      </c>
      <c r="N160" s="1">
        <v>30336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190000</v>
      </c>
      <c r="AE160" s="1" t="s">
        <v>45</v>
      </c>
      <c r="AF160" s="1" t="s">
        <v>46</v>
      </c>
    </row>
    <row r="161" spans="1:32" hidden="1" x14ac:dyDescent="0.2">
      <c r="A161" s="1" t="s">
        <v>32</v>
      </c>
      <c r="B161" s="1" t="s">
        <v>812</v>
      </c>
      <c r="C161" s="1" t="s">
        <v>813</v>
      </c>
      <c r="D161" s="1" t="s">
        <v>458</v>
      </c>
      <c r="E161" s="1" t="s">
        <v>36</v>
      </c>
      <c r="F161" s="1" t="s">
        <v>37</v>
      </c>
      <c r="G161" s="1" t="s">
        <v>88</v>
      </c>
      <c r="H161" s="1" t="s">
        <v>814</v>
      </c>
      <c r="I161" s="1" t="s">
        <v>815</v>
      </c>
      <c r="J161" s="1" t="s">
        <v>132</v>
      </c>
      <c r="K161" s="1" t="s">
        <v>461</v>
      </c>
      <c r="L161" s="1" t="s">
        <v>43</v>
      </c>
      <c r="M161" s="1" t="s">
        <v>44</v>
      </c>
      <c r="N161" s="1">
        <v>638.65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8000</v>
      </c>
      <c r="AE161" s="1" t="s">
        <v>45</v>
      </c>
      <c r="AF161" s="1" t="s">
        <v>46</v>
      </c>
    </row>
    <row r="162" spans="1:32" hidden="1" x14ac:dyDescent="0.2">
      <c r="A162" s="1" t="s">
        <v>32</v>
      </c>
      <c r="B162" s="1" t="s">
        <v>816</v>
      </c>
      <c r="C162" s="1" t="s">
        <v>817</v>
      </c>
      <c r="D162" s="1" t="s">
        <v>130</v>
      </c>
      <c r="E162" s="1" t="s">
        <v>36</v>
      </c>
      <c r="F162" s="1" t="s">
        <v>37</v>
      </c>
      <c r="G162" s="1" t="s">
        <v>88</v>
      </c>
      <c r="H162" s="1" t="s">
        <v>814</v>
      </c>
      <c r="I162" s="1" t="s">
        <v>818</v>
      </c>
      <c r="J162" s="1" t="s">
        <v>132</v>
      </c>
      <c r="K162" s="1" t="s">
        <v>133</v>
      </c>
      <c r="L162" s="1" t="s">
        <v>43</v>
      </c>
      <c r="M162" s="1" t="s">
        <v>44</v>
      </c>
      <c r="N162" s="1">
        <v>10170.59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63700</v>
      </c>
      <c r="AE162" s="1" t="s">
        <v>45</v>
      </c>
      <c r="AF162" s="1" t="s">
        <v>46</v>
      </c>
    </row>
    <row r="163" spans="1:32" hidden="1" x14ac:dyDescent="0.2">
      <c r="A163" s="1" t="s">
        <v>32</v>
      </c>
      <c r="B163" s="1" t="s">
        <v>819</v>
      </c>
      <c r="C163" s="1" t="s">
        <v>820</v>
      </c>
      <c r="D163" s="1" t="s">
        <v>821</v>
      </c>
      <c r="E163" s="1" t="s">
        <v>36</v>
      </c>
      <c r="F163" s="1" t="s">
        <v>37</v>
      </c>
      <c r="G163" s="1" t="s">
        <v>104</v>
      </c>
      <c r="H163" s="1" t="s">
        <v>814</v>
      </c>
      <c r="I163" s="1" t="s">
        <v>822</v>
      </c>
      <c r="J163" s="1" t="s">
        <v>823</v>
      </c>
      <c r="K163" s="1" t="s">
        <v>824</v>
      </c>
      <c r="L163" s="1" t="s">
        <v>43</v>
      </c>
      <c r="M163" s="1" t="s">
        <v>44</v>
      </c>
      <c r="N163" s="1">
        <v>10601.68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66400</v>
      </c>
      <c r="AE163" s="1" t="s">
        <v>45</v>
      </c>
      <c r="AF163" s="1" t="s">
        <v>46</v>
      </c>
    </row>
    <row r="164" spans="1:32" hidden="1" x14ac:dyDescent="0.2">
      <c r="A164" s="1" t="s">
        <v>32</v>
      </c>
      <c r="B164" s="1" t="s">
        <v>825</v>
      </c>
      <c r="C164" s="1" t="s">
        <v>826</v>
      </c>
      <c r="D164" s="1" t="s">
        <v>827</v>
      </c>
      <c r="E164" s="1" t="s">
        <v>36</v>
      </c>
      <c r="F164" s="1" t="s">
        <v>37</v>
      </c>
      <c r="G164" s="1" t="s">
        <v>38</v>
      </c>
      <c r="H164" s="1" t="s">
        <v>814</v>
      </c>
      <c r="I164" s="1" t="s">
        <v>828</v>
      </c>
      <c r="J164" s="1" t="s">
        <v>467</v>
      </c>
      <c r="K164" s="1" t="s">
        <v>468</v>
      </c>
      <c r="L164" s="1" t="s">
        <v>43</v>
      </c>
      <c r="M164" s="1" t="s">
        <v>69</v>
      </c>
      <c r="N164" s="1">
        <v>7825.13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49010</v>
      </c>
      <c r="AE164" s="1" t="s">
        <v>45</v>
      </c>
      <c r="AF164" s="1" t="s">
        <v>46</v>
      </c>
    </row>
    <row r="165" spans="1:32" hidden="1" x14ac:dyDescent="0.2">
      <c r="A165" s="1" t="s">
        <v>32</v>
      </c>
      <c r="B165" s="1" t="s">
        <v>829</v>
      </c>
      <c r="C165" s="1" t="s">
        <v>830</v>
      </c>
      <c r="D165" s="1" t="s">
        <v>831</v>
      </c>
      <c r="E165" s="1" t="s">
        <v>36</v>
      </c>
      <c r="F165" s="1" t="s">
        <v>37</v>
      </c>
      <c r="G165" s="1" t="s">
        <v>38</v>
      </c>
      <c r="H165" s="1" t="s">
        <v>832</v>
      </c>
      <c r="I165" s="1" t="s">
        <v>833</v>
      </c>
      <c r="J165" s="1" t="s">
        <v>834</v>
      </c>
      <c r="K165" s="1" t="s">
        <v>835</v>
      </c>
      <c r="L165" s="1" t="s">
        <v>43</v>
      </c>
      <c r="M165" s="1" t="s">
        <v>836</v>
      </c>
      <c r="N165" s="1">
        <v>11176.47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70000</v>
      </c>
      <c r="AE165" s="1" t="s">
        <v>45</v>
      </c>
      <c r="AF165" s="1" t="s">
        <v>46</v>
      </c>
    </row>
    <row r="166" spans="1:32" hidden="1" x14ac:dyDescent="0.2">
      <c r="A166" s="1" t="s">
        <v>32</v>
      </c>
      <c r="B166" s="1" t="s">
        <v>837</v>
      </c>
      <c r="C166" s="1" t="s">
        <v>838</v>
      </c>
      <c r="D166" s="1" t="s">
        <v>430</v>
      </c>
      <c r="E166" s="1" t="s">
        <v>36</v>
      </c>
      <c r="F166" s="1" t="s">
        <v>37</v>
      </c>
      <c r="G166" s="1" t="s">
        <v>65</v>
      </c>
      <c r="H166" s="1" t="s">
        <v>839</v>
      </c>
      <c r="I166" s="1" t="s">
        <v>840</v>
      </c>
      <c r="J166" s="1" t="s">
        <v>433</v>
      </c>
      <c r="K166" s="1" t="s">
        <v>434</v>
      </c>
      <c r="L166" s="1" t="s">
        <v>43</v>
      </c>
      <c r="M166" s="1" t="s">
        <v>69</v>
      </c>
      <c r="N166" s="1">
        <v>40714.29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255000</v>
      </c>
      <c r="AE166" s="1" t="s">
        <v>45</v>
      </c>
      <c r="AF166" s="1" t="s">
        <v>46</v>
      </c>
    </row>
    <row r="167" spans="1:32" hidden="1" x14ac:dyDescent="0.2">
      <c r="A167" s="1" t="s">
        <v>32</v>
      </c>
      <c r="B167" s="1" t="s">
        <v>841</v>
      </c>
      <c r="C167" s="1" t="s">
        <v>842</v>
      </c>
      <c r="D167" s="1" t="s">
        <v>730</v>
      </c>
      <c r="E167" s="1" t="s">
        <v>36</v>
      </c>
      <c r="F167" s="1" t="s">
        <v>73</v>
      </c>
      <c r="G167" s="1" t="s">
        <v>176</v>
      </c>
      <c r="H167" s="1" t="s">
        <v>839</v>
      </c>
      <c r="I167" s="1" t="s">
        <v>843</v>
      </c>
      <c r="J167" s="1" t="s">
        <v>732</v>
      </c>
      <c r="K167" s="1" t="s">
        <v>733</v>
      </c>
      <c r="L167" s="1" t="s">
        <v>43</v>
      </c>
      <c r="M167" s="1" t="s">
        <v>100</v>
      </c>
      <c r="N167" s="1">
        <v>199899.16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1252000</v>
      </c>
      <c r="AE167" s="1" t="s">
        <v>45</v>
      </c>
      <c r="AF167" s="1" t="s">
        <v>46</v>
      </c>
    </row>
    <row r="168" spans="1:32" hidden="1" x14ac:dyDescent="0.2">
      <c r="A168" s="1" t="s">
        <v>32</v>
      </c>
      <c r="B168" s="1" t="s">
        <v>844</v>
      </c>
      <c r="C168" s="1" t="s">
        <v>845</v>
      </c>
      <c r="D168" s="1" t="s">
        <v>846</v>
      </c>
      <c r="E168" s="1" t="s">
        <v>36</v>
      </c>
      <c r="F168" s="1" t="s">
        <v>37</v>
      </c>
      <c r="G168" s="1" t="s">
        <v>38</v>
      </c>
      <c r="H168" s="1" t="s">
        <v>847</v>
      </c>
      <c r="I168" s="1" t="s">
        <v>848</v>
      </c>
      <c r="J168" s="1" t="s">
        <v>849</v>
      </c>
      <c r="K168" s="1" t="s">
        <v>850</v>
      </c>
      <c r="L168" s="1" t="s">
        <v>43</v>
      </c>
      <c r="M168" s="1" t="s">
        <v>44</v>
      </c>
      <c r="N168" s="1">
        <v>0</v>
      </c>
      <c r="O168" s="1">
        <v>0</v>
      </c>
      <c r="P168" s="1">
        <v>0</v>
      </c>
      <c r="Q168" s="1">
        <v>7221.46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106516.72</v>
      </c>
      <c r="AE168" s="1" t="s">
        <v>45</v>
      </c>
      <c r="AF168" s="1" t="s">
        <v>46</v>
      </c>
    </row>
    <row r="169" spans="1:32" hidden="1" x14ac:dyDescent="0.2">
      <c r="A169" s="1" t="s">
        <v>32</v>
      </c>
      <c r="B169" s="1" t="s">
        <v>851</v>
      </c>
      <c r="C169" s="1" t="s">
        <v>852</v>
      </c>
      <c r="D169" s="1" t="s">
        <v>72</v>
      </c>
      <c r="E169" s="1" t="s">
        <v>36</v>
      </c>
      <c r="F169" s="1" t="s">
        <v>73</v>
      </c>
      <c r="G169" s="1" t="s">
        <v>74</v>
      </c>
      <c r="H169" s="1" t="s">
        <v>847</v>
      </c>
      <c r="I169" s="1" t="s">
        <v>853</v>
      </c>
      <c r="J169" s="1" t="s">
        <v>76</v>
      </c>
      <c r="K169" s="1" t="s">
        <v>77</v>
      </c>
      <c r="L169" s="1" t="s">
        <v>43</v>
      </c>
      <c r="M169" s="1" t="s">
        <v>69</v>
      </c>
      <c r="N169" s="1">
        <v>82686.48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517878.48</v>
      </c>
      <c r="AE169" s="1" t="s">
        <v>45</v>
      </c>
      <c r="AF169" s="1" t="s">
        <v>46</v>
      </c>
    </row>
    <row r="170" spans="1:32" hidden="1" x14ac:dyDescent="0.2">
      <c r="A170" s="1" t="s">
        <v>32</v>
      </c>
      <c r="B170" s="1" t="s">
        <v>854</v>
      </c>
      <c r="C170" s="1" t="s">
        <v>855</v>
      </c>
      <c r="D170" s="1" t="s">
        <v>458</v>
      </c>
      <c r="E170" s="1" t="s">
        <v>36</v>
      </c>
      <c r="F170" s="1" t="s">
        <v>37</v>
      </c>
      <c r="G170" s="1" t="s">
        <v>88</v>
      </c>
      <c r="H170" s="1" t="s">
        <v>847</v>
      </c>
      <c r="I170" s="1" t="s">
        <v>856</v>
      </c>
      <c r="J170" s="1" t="s">
        <v>132</v>
      </c>
      <c r="K170" s="1" t="s">
        <v>461</v>
      </c>
      <c r="L170" s="1" t="s">
        <v>43</v>
      </c>
      <c r="M170" s="1" t="s">
        <v>44</v>
      </c>
      <c r="N170" s="1">
        <v>7791.59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48800</v>
      </c>
      <c r="AE170" s="1" t="s">
        <v>45</v>
      </c>
      <c r="AF170" s="1" t="s">
        <v>46</v>
      </c>
    </row>
    <row r="171" spans="1:32" hidden="1" x14ac:dyDescent="0.2">
      <c r="A171" s="1" t="s">
        <v>32</v>
      </c>
      <c r="B171" s="1" t="s">
        <v>857</v>
      </c>
      <c r="C171" s="1" t="s">
        <v>858</v>
      </c>
      <c r="D171" s="1" t="s">
        <v>72</v>
      </c>
      <c r="E171" s="1" t="s">
        <v>36</v>
      </c>
      <c r="F171" s="1" t="s">
        <v>73</v>
      </c>
      <c r="G171" s="1" t="s">
        <v>74</v>
      </c>
      <c r="H171" s="1" t="s">
        <v>847</v>
      </c>
      <c r="I171" s="1" t="s">
        <v>859</v>
      </c>
      <c r="J171" s="1" t="s">
        <v>76</v>
      </c>
      <c r="K171" s="1" t="s">
        <v>77</v>
      </c>
      <c r="L171" s="1" t="s">
        <v>43</v>
      </c>
      <c r="M171" s="1" t="s">
        <v>69</v>
      </c>
      <c r="N171" s="1">
        <v>95933.09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600844.09</v>
      </c>
      <c r="AE171" s="1" t="s">
        <v>45</v>
      </c>
      <c r="AF171" s="1" t="s">
        <v>46</v>
      </c>
    </row>
    <row r="172" spans="1:32" hidden="1" x14ac:dyDescent="0.2">
      <c r="A172" s="1" t="s">
        <v>32</v>
      </c>
      <c r="B172" s="1" t="s">
        <v>860</v>
      </c>
      <c r="C172" s="1" t="s">
        <v>861</v>
      </c>
      <c r="D172" s="1" t="s">
        <v>72</v>
      </c>
      <c r="E172" s="1" t="s">
        <v>36</v>
      </c>
      <c r="F172" s="1" t="s">
        <v>73</v>
      </c>
      <c r="G172" s="1" t="s">
        <v>74</v>
      </c>
      <c r="H172" s="1" t="s">
        <v>862</v>
      </c>
      <c r="I172" s="1" t="s">
        <v>863</v>
      </c>
      <c r="J172" s="1" t="s">
        <v>76</v>
      </c>
      <c r="K172" s="1" t="s">
        <v>77</v>
      </c>
      <c r="L172" s="1" t="s">
        <v>43</v>
      </c>
      <c r="M172" s="1" t="s">
        <v>69</v>
      </c>
      <c r="N172" s="1">
        <v>37097.879999999997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232349.88</v>
      </c>
      <c r="AE172" s="1" t="s">
        <v>45</v>
      </c>
      <c r="AF172" s="1" t="s">
        <v>46</v>
      </c>
    </row>
    <row r="173" spans="1:32" hidden="1" x14ac:dyDescent="0.2">
      <c r="A173" s="1" t="s">
        <v>32</v>
      </c>
      <c r="B173" s="1" t="s">
        <v>864</v>
      </c>
      <c r="C173" s="1" t="s">
        <v>865</v>
      </c>
      <c r="D173" s="1" t="s">
        <v>72</v>
      </c>
      <c r="E173" s="1" t="s">
        <v>36</v>
      </c>
      <c r="F173" s="1" t="s">
        <v>73</v>
      </c>
      <c r="G173" s="1" t="s">
        <v>74</v>
      </c>
      <c r="H173" s="1" t="s">
        <v>862</v>
      </c>
      <c r="I173" s="1" t="s">
        <v>866</v>
      </c>
      <c r="J173" s="1" t="s">
        <v>76</v>
      </c>
      <c r="K173" s="1" t="s">
        <v>77</v>
      </c>
      <c r="L173" s="1" t="s">
        <v>43</v>
      </c>
      <c r="M173" s="1" t="s">
        <v>69</v>
      </c>
      <c r="N173" s="1">
        <v>51296.959999999999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321280.96000000002</v>
      </c>
      <c r="AE173" s="1" t="s">
        <v>45</v>
      </c>
      <c r="AF173" s="1" t="s">
        <v>46</v>
      </c>
    </row>
    <row r="174" spans="1:32" hidden="1" x14ac:dyDescent="0.2">
      <c r="A174" s="1" t="s">
        <v>32</v>
      </c>
      <c r="B174" s="1" t="s">
        <v>867</v>
      </c>
      <c r="C174" s="1" t="s">
        <v>868</v>
      </c>
      <c r="D174" s="1" t="s">
        <v>72</v>
      </c>
      <c r="E174" s="1" t="s">
        <v>36</v>
      </c>
      <c r="F174" s="1" t="s">
        <v>73</v>
      </c>
      <c r="G174" s="1" t="s">
        <v>74</v>
      </c>
      <c r="H174" s="1" t="s">
        <v>862</v>
      </c>
      <c r="I174" s="1" t="s">
        <v>869</v>
      </c>
      <c r="J174" s="1" t="s">
        <v>76</v>
      </c>
      <c r="K174" s="1" t="s">
        <v>77</v>
      </c>
      <c r="L174" s="1" t="s">
        <v>43</v>
      </c>
      <c r="M174" s="1" t="s">
        <v>69</v>
      </c>
      <c r="N174" s="1">
        <v>70787.16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443351.16</v>
      </c>
      <c r="AE174" s="1" t="s">
        <v>45</v>
      </c>
      <c r="AF174" s="1" t="s">
        <v>46</v>
      </c>
    </row>
    <row r="175" spans="1:32" hidden="1" x14ac:dyDescent="0.2">
      <c r="A175" s="1" t="s">
        <v>32</v>
      </c>
      <c r="B175" s="1" t="s">
        <v>870</v>
      </c>
      <c r="C175" s="1" t="s">
        <v>871</v>
      </c>
      <c r="D175" s="1" t="s">
        <v>872</v>
      </c>
      <c r="E175" s="1" t="s">
        <v>36</v>
      </c>
      <c r="F175" s="1" t="s">
        <v>37</v>
      </c>
      <c r="G175" s="1" t="s">
        <v>873</v>
      </c>
      <c r="H175" s="1" t="s">
        <v>874</v>
      </c>
      <c r="I175" s="1" t="s">
        <v>875</v>
      </c>
      <c r="J175" s="1" t="s">
        <v>876</v>
      </c>
      <c r="K175" s="1" t="s">
        <v>877</v>
      </c>
      <c r="L175" s="1" t="s">
        <v>43</v>
      </c>
      <c r="M175" s="1" t="s">
        <v>878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11600</v>
      </c>
      <c r="AE175" s="1" t="s">
        <v>45</v>
      </c>
      <c r="AF175" s="1" t="s">
        <v>46</v>
      </c>
    </row>
    <row r="176" spans="1:32" hidden="1" x14ac:dyDescent="0.2">
      <c r="A176" s="1" t="s">
        <v>350</v>
      </c>
      <c r="B176" s="1" t="s">
        <v>879</v>
      </c>
      <c r="C176" s="1" t="s">
        <v>880</v>
      </c>
      <c r="D176" s="1" t="s">
        <v>785</v>
      </c>
      <c r="E176" s="1" t="s">
        <v>36</v>
      </c>
      <c r="F176" s="1" t="s">
        <v>37</v>
      </c>
      <c r="G176" s="1" t="s">
        <v>88</v>
      </c>
      <c r="H176" s="1" t="s">
        <v>874</v>
      </c>
      <c r="I176" s="1" t="s">
        <v>881</v>
      </c>
      <c r="J176" s="1" t="s">
        <v>132</v>
      </c>
      <c r="K176" s="1" t="s">
        <v>882</v>
      </c>
      <c r="L176" s="1" t="s">
        <v>43</v>
      </c>
      <c r="M176" s="1" t="s">
        <v>44</v>
      </c>
      <c r="N176" s="1">
        <v>2554.62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20000</v>
      </c>
      <c r="AE176" s="1" t="s">
        <v>45</v>
      </c>
      <c r="AF176" s="1" t="s">
        <v>46</v>
      </c>
    </row>
    <row r="177" spans="1:32" hidden="1" x14ac:dyDescent="0.2">
      <c r="A177" s="1" t="s">
        <v>32</v>
      </c>
      <c r="B177" s="1" t="s">
        <v>883</v>
      </c>
      <c r="C177" s="1" t="s">
        <v>884</v>
      </c>
      <c r="D177" s="1" t="s">
        <v>194</v>
      </c>
      <c r="E177" s="1" t="s">
        <v>36</v>
      </c>
      <c r="F177" s="1" t="s">
        <v>37</v>
      </c>
      <c r="G177" s="1" t="s">
        <v>88</v>
      </c>
      <c r="H177" s="1" t="s">
        <v>874</v>
      </c>
      <c r="I177" s="1" t="s">
        <v>885</v>
      </c>
      <c r="J177" s="1" t="s">
        <v>132</v>
      </c>
      <c r="K177" s="1" t="s">
        <v>882</v>
      </c>
      <c r="L177" s="1" t="s">
        <v>43</v>
      </c>
      <c r="M177" s="1" t="s">
        <v>44</v>
      </c>
      <c r="N177" s="1">
        <v>2554.62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20000</v>
      </c>
      <c r="AE177" s="1" t="s">
        <v>45</v>
      </c>
      <c r="AF177" s="1" t="s">
        <v>46</v>
      </c>
    </row>
    <row r="178" spans="1:32" hidden="1" x14ac:dyDescent="0.2">
      <c r="A178" s="1" t="s">
        <v>32</v>
      </c>
      <c r="B178" s="1" t="s">
        <v>886</v>
      </c>
      <c r="C178" s="1" t="s">
        <v>887</v>
      </c>
      <c r="D178" s="1" t="s">
        <v>458</v>
      </c>
      <c r="E178" s="1" t="s">
        <v>36</v>
      </c>
      <c r="F178" s="1" t="s">
        <v>37</v>
      </c>
      <c r="G178" s="1" t="s">
        <v>88</v>
      </c>
      <c r="H178" s="1" t="s">
        <v>874</v>
      </c>
      <c r="I178" s="1" t="s">
        <v>888</v>
      </c>
      <c r="J178" s="1" t="s">
        <v>132</v>
      </c>
      <c r="K178" s="1" t="s">
        <v>461</v>
      </c>
      <c r="L178" s="1" t="s">
        <v>43</v>
      </c>
      <c r="M178" s="1" t="s">
        <v>44</v>
      </c>
      <c r="N178" s="1">
        <v>2554.62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20000</v>
      </c>
      <c r="AE178" s="1" t="s">
        <v>45</v>
      </c>
      <c r="AF178" s="1" t="s">
        <v>46</v>
      </c>
    </row>
    <row r="179" spans="1:32" hidden="1" x14ac:dyDescent="0.2">
      <c r="A179" s="1" t="s">
        <v>32</v>
      </c>
      <c r="B179" s="1" t="s">
        <v>889</v>
      </c>
      <c r="C179" s="1" t="s">
        <v>890</v>
      </c>
      <c r="D179" s="1" t="s">
        <v>560</v>
      </c>
      <c r="E179" s="1" t="s">
        <v>36</v>
      </c>
      <c r="F179" s="1" t="s">
        <v>37</v>
      </c>
      <c r="G179" s="1" t="s">
        <v>104</v>
      </c>
      <c r="H179" s="1" t="s">
        <v>891</v>
      </c>
      <c r="I179" s="1" t="s">
        <v>892</v>
      </c>
      <c r="J179" s="1" t="s">
        <v>563</v>
      </c>
      <c r="K179" s="1" t="s">
        <v>564</v>
      </c>
      <c r="L179" s="1" t="s">
        <v>43</v>
      </c>
      <c r="M179" s="1" t="s">
        <v>100</v>
      </c>
      <c r="N179" s="1">
        <v>60672.26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381500</v>
      </c>
      <c r="AE179" s="1" t="s">
        <v>45</v>
      </c>
      <c r="AF179" s="1" t="s">
        <v>46</v>
      </c>
    </row>
    <row r="180" spans="1:32" hidden="1" x14ac:dyDescent="0.2">
      <c r="A180" s="1" t="s">
        <v>32</v>
      </c>
      <c r="B180" s="1" t="s">
        <v>893</v>
      </c>
      <c r="C180" s="1" t="s">
        <v>894</v>
      </c>
      <c r="D180" s="1" t="s">
        <v>895</v>
      </c>
      <c r="E180" s="1" t="s">
        <v>36</v>
      </c>
      <c r="F180" s="1" t="s">
        <v>37</v>
      </c>
      <c r="G180" s="1" t="s">
        <v>176</v>
      </c>
      <c r="H180" s="1" t="s">
        <v>896</v>
      </c>
      <c r="I180" s="1" t="s">
        <v>897</v>
      </c>
      <c r="J180" s="1" t="s">
        <v>794</v>
      </c>
      <c r="K180" s="1" t="s">
        <v>795</v>
      </c>
      <c r="L180" s="1" t="s">
        <v>43</v>
      </c>
      <c r="M180" s="1" t="s">
        <v>69</v>
      </c>
      <c r="N180" s="1">
        <v>57892.81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362591.81</v>
      </c>
      <c r="AE180" s="1" t="s">
        <v>45</v>
      </c>
      <c r="AF180" s="1" t="s">
        <v>46</v>
      </c>
    </row>
    <row r="181" spans="1:32" hidden="1" x14ac:dyDescent="0.2">
      <c r="A181" s="1" t="s">
        <v>32</v>
      </c>
      <c r="B181" s="1" t="s">
        <v>898</v>
      </c>
      <c r="C181" s="1" t="s">
        <v>899</v>
      </c>
      <c r="D181" s="1" t="s">
        <v>560</v>
      </c>
      <c r="E181" s="1" t="s">
        <v>36</v>
      </c>
      <c r="F181" s="1" t="s">
        <v>37</v>
      </c>
      <c r="G181" s="1" t="s">
        <v>104</v>
      </c>
      <c r="H181" s="1" t="s">
        <v>900</v>
      </c>
      <c r="I181" s="1" t="s">
        <v>901</v>
      </c>
      <c r="J181" s="1" t="s">
        <v>563</v>
      </c>
      <c r="K181" s="1" t="s">
        <v>564</v>
      </c>
      <c r="L181" s="1" t="s">
        <v>43</v>
      </c>
      <c r="M181" s="1" t="s">
        <v>100</v>
      </c>
      <c r="N181" s="1">
        <v>3512.6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27600</v>
      </c>
      <c r="AE181" s="1" t="s">
        <v>45</v>
      </c>
      <c r="AF181" s="1" t="s">
        <v>46</v>
      </c>
    </row>
    <row r="182" spans="1:32" hidden="1" x14ac:dyDescent="0.2">
      <c r="A182" s="1" t="s">
        <v>32</v>
      </c>
      <c r="B182" s="1" t="s">
        <v>902</v>
      </c>
      <c r="C182" s="1" t="s">
        <v>903</v>
      </c>
      <c r="D182" s="1" t="s">
        <v>252</v>
      </c>
      <c r="E182" s="1" t="s">
        <v>36</v>
      </c>
      <c r="F182" s="1" t="s">
        <v>37</v>
      </c>
      <c r="G182" s="1" t="s">
        <v>37</v>
      </c>
      <c r="H182" s="1" t="s">
        <v>904</v>
      </c>
      <c r="I182" s="1" t="s">
        <v>905</v>
      </c>
      <c r="J182" s="1" t="s">
        <v>254</v>
      </c>
      <c r="K182" s="1" t="s">
        <v>255</v>
      </c>
      <c r="L182" s="1" t="s">
        <v>43</v>
      </c>
      <c r="M182" s="1" t="s">
        <v>100</v>
      </c>
      <c r="N182" s="1">
        <v>1846.04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11562.04</v>
      </c>
      <c r="AE182" s="1" t="s">
        <v>45</v>
      </c>
      <c r="AF182" s="1" t="s">
        <v>46</v>
      </c>
    </row>
    <row r="183" spans="1:32" hidden="1" x14ac:dyDescent="0.2">
      <c r="A183" s="1" t="s">
        <v>32</v>
      </c>
      <c r="B183" s="1" t="s">
        <v>906</v>
      </c>
      <c r="C183" s="1" t="s">
        <v>907</v>
      </c>
      <c r="D183" s="1" t="s">
        <v>72</v>
      </c>
      <c r="E183" s="1" t="s">
        <v>36</v>
      </c>
      <c r="F183" s="1" t="s">
        <v>73</v>
      </c>
      <c r="G183" s="1" t="s">
        <v>74</v>
      </c>
      <c r="H183" s="1" t="s">
        <v>908</v>
      </c>
      <c r="I183" s="1" t="s">
        <v>909</v>
      </c>
      <c r="J183" s="1" t="s">
        <v>76</v>
      </c>
      <c r="K183" s="1" t="s">
        <v>77</v>
      </c>
      <c r="L183" s="1" t="s">
        <v>43</v>
      </c>
      <c r="M183" s="1" t="s">
        <v>69</v>
      </c>
      <c r="N183" s="1">
        <v>147364.57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922967.57</v>
      </c>
      <c r="AE183" s="1" t="s">
        <v>45</v>
      </c>
      <c r="AF183" s="1" t="s">
        <v>46</v>
      </c>
    </row>
    <row r="184" spans="1:32" hidden="1" x14ac:dyDescent="0.2">
      <c r="A184" s="1" t="s">
        <v>32</v>
      </c>
      <c r="B184" s="1" t="s">
        <v>910</v>
      </c>
      <c r="C184" s="1" t="s">
        <v>911</v>
      </c>
      <c r="D184" s="1" t="s">
        <v>458</v>
      </c>
      <c r="E184" s="1" t="s">
        <v>36</v>
      </c>
      <c r="F184" s="1" t="s">
        <v>37</v>
      </c>
      <c r="G184" s="1" t="s">
        <v>37</v>
      </c>
      <c r="H184" s="1" t="s">
        <v>912</v>
      </c>
      <c r="I184" s="1" t="s">
        <v>913</v>
      </c>
      <c r="J184" s="1" t="s">
        <v>132</v>
      </c>
      <c r="K184" s="1" t="s">
        <v>461</v>
      </c>
      <c r="L184" s="1" t="s">
        <v>43</v>
      </c>
      <c r="M184" s="1" t="s">
        <v>44</v>
      </c>
      <c r="N184" s="1">
        <v>26200.84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168100</v>
      </c>
      <c r="AE184" s="1" t="s">
        <v>45</v>
      </c>
      <c r="AF184" s="1" t="s">
        <v>46</v>
      </c>
    </row>
    <row r="185" spans="1:32" hidden="1" x14ac:dyDescent="0.2">
      <c r="A185" s="1" t="s">
        <v>32</v>
      </c>
      <c r="B185" s="1" t="s">
        <v>914</v>
      </c>
      <c r="C185" s="1" t="s">
        <v>915</v>
      </c>
      <c r="D185" s="1" t="s">
        <v>72</v>
      </c>
      <c r="E185" s="1" t="s">
        <v>36</v>
      </c>
      <c r="F185" s="1" t="s">
        <v>73</v>
      </c>
      <c r="G185" s="1" t="s">
        <v>74</v>
      </c>
      <c r="H185" s="1" t="s">
        <v>916</v>
      </c>
      <c r="I185" s="1" t="s">
        <v>917</v>
      </c>
      <c r="J185" s="1" t="s">
        <v>76</v>
      </c>
      <c r="K185" s="1" t="s">
        <v>77</v>
      </c>
      <c r="L185" s="1" t="s">
        <v>43</v>
      </c>
      <c r="M185" s="1" t="s">
        <v>69</v>
      </c>
      <c r="N185" s="1">
        <v>120698.45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755953.45</v>
      </c>
      <c r="AE185" s="1" t="s">
        <v>45</v>
      </c>
      <c r="AF185" s="1" t="s">
        <v>46</v>
      </c>
    </row>
    <row r="186" spans="1:32" hidden="1" x14ac:dyDescent="0.2">
      <c r="A186" s="1" t="s">
        <v>32</v>
      </c>
      <c r="B186" s="1" t="s">
        <v>918</v>
      </c>
      <c r="C186" s="1" t="s">
        <v>919</v>
      </c>
      <c r="D186" s="1" t="s">
        <v>920</v>
      </c>
      <c r="E186" s="1" t="s">
        <v>36</v>
      </c>
      <c r="F186" s="1" t="s">
        <v>37</v>
      </c>
      <c r="G186" s="1" t="s">
        <v>88</v>
      </c>
      <c r="H186" s="1" t="s">
        <v>921</v>
      </c>
      <c r="I186" s="1" t="s">
        <v>922</v>
      </c>
      <c r="J186" s="1" t="s">
        <v>923</v>
      </c>
      <c r="K186" s="1" t="s">
        <v>924</v>
      </c>
      <c r="L186" s="1" t="s">
        <v>43</v>
      </c>
      <c r="M186" s="1" t="s">
        <v>69</v>
      </c>
      <c r="N186" s="1">
        <v>55882.35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350000</v>
      </c>
      <c r="AE186" s="1" t="s">
        <v>45</v>
      </c>
      <c r="AF186" s="1" t="s">
        <v>46</v>
      </c>
    </row>
    <row r="187" spans="1:32" hidden="1" x14ac:dyDescent="0.2">
      <c r="A187" s="1" t="s">
        <v>32</v>
      </c>
      <c r="B187" s="1" t="s">
        <v>925</v>
      </c>
      <c r="C187" s="1" t="s">
        <v>926</v>
      </c>
      <c r="D187" s="1" t="s">
        <v>927</v>
      </c>
      <c r="E187" s="1" t="s">
        <v>36</v>
      </c>
      <c r="F187" s="1" t="s">
        <v>37</v>
      </c>
      <c r="G187" s="1" t="s">
        <v>38</v>
      </c>
      <c r="H187" s="1" t="s">
        <v>928</v>
      </c>
      <c r="I187" s="1" t="s">
        <v>929</v>
      </c>
      <c r="J187" s="1" t="s">
        <v>156</v>
      </c>
      <c r="K187" s="1" t="s">
        <v>157</v>
      </c>
      <c r="L187" s="1" t="s">
        <v>43</v>
      </c>
      <c r="M187" s="1" t="s">
        <v>158</v>
      </c>
      <c r="N187" s="1">
        <v>13523.53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122600</v>
      </c>
      <c r="AE187" s="1" t="s">
        <v>45</v>
      </c>
      <c r="AF187" s="1" t="s">
        <v>46</v>
      </c>
    </row>
    <row r="188" spans="1:32" hidden="1" x14ac:dyDescent="0.2">
      <c r="A188" s="1" t="s">
        <v>32</v>
      </c>
      <c r="B188" s="1" t="s">
        <v>930</v>
      </c>
      <c r="C188" s="1" t="s">
        <v>931</v>
      </c>
      <c r="D188" s="1" t="s">
        <v>449</v>
      </c>
      <c r="E188" s="1" t="s">
        <v>36</v>
      </c>
      <c r="F188" s="1" t="s">
        <v>37</v>
      </c>
      <c r="G188" s="1" t="s">
        <v>88</v>
      </c>
      <c r="H188" s="1" t="s">
        <v>932</v>
      </c>
      <c r="I188" s="1" t="s">
        <v>933</v>
      </c>
      <c r="J188" s="1" t="s">
        <v>156</v>
      </c>
      <c r="K188" s="1" t="s">
        <v>157</v>
      </c>
      <c r="L188" s="1" t="s">
        <v>43</v>
      </c>
      <c r="M188" s="1" t="s">
        <v>158</v>
      </c>
      <c r="N188" s="1">
        <v>31086.55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194700</v>
      </c>
      <c r="AE188" s="1" t="s">
        <v>45</v>
      </c>
      <c r="AF188" s="1" t="s">
        <v>46</v>
      </c>
    </row>
    <row r="189" spans="1:32" hidden="1" x14ac:dyDescent="0.2">
      <c r="A189" s="1" t="s">
        <v>32</v>
      </c>
      <c r="B189" s="1" t="s">
        <v>934</v>
      </c>
      <c r="C189" s="1" t="s">
        <v>935</v>
      </c>
      <c r="D189" s="1" t="s">
        <v>927</v>
      </c>
      <c r="E189" s="1" t="s">
        <v>36</v>
      </c>
      <c r="F189" s="1" t="s">
        <v>37</v>
      </c>
      <c r="G189" s="1" t="s">
        <v>38</v>
      </c>
      <c r="H189" s="1" t="s">
        <v>936</v>
      </c>
      <c r="I189" s="1" t="s">
        <v>937</v>
      </c>
      <c r="J189" s="1" t="s">
        <v>156</v>
      </c>
      <c r="K189" s="1" t="s">
        <v>157</v>
      </c>
      <c r="L189" s="1" t="s">
        <v>43</v>
      </c>
      <c r="M189" s="1" t="s">
        <v>158</v>
      </c>
      <c r="N189" s="1">
        <v>2059.66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12900</v>
      </c>
      <c r="AE189" s="1" t="s">
        <v>45</v>
      </c>
      <c r="AF189" s="1" t="s">
        <v>46</v>
      </c>
    </row>
    <row r="190" spans="1:32" hidden="1" x14ac:dyDescent="0.2">
      <c r="A190" s="1" t="s">
        <v>32</v>
      </c>
      <c r="B190" s="1" t="s">
        <v>938</v>
      </c>
      <c r="C190" s="1" t="s">
        <v>939</v>
      </c>
      <c r="D190" s="1" t="s">
        <v>181</v>
      </c>
      <c r="E190" s="1" t="s">
        <v>36</v>
      </c>
      <c r="F190" s="1" t="s">
        <v>37</v>
      </c>
      <c r="G190" s="1" t="s">
        <v>38</v>
      </c>
      <c r="H190" s="1" t="s">
        <v>940</v>
      </c>
      <c r="I190" s="1" t="s">
        <v>941</v>
      </c>
      <c r="J190" s="1" t="s">
        <v>184</v>
      </c>
      <c r="K190" s="1" t="s">
        <v>185</v>
      </c>
      <c r="L190" s="1" t="s">
        <v>43</v>
      </c>
      <c r="M190" s="1" t="s">
        <v>44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166527.01</v>
      </c>
      <c r="AE190" s="1" t="s">
        <v>45</v>
      </c>
      <c r="AF190" s="1" t="s">
        <v>46</v>
      </c>
    </row>
    <row r="191" spans="1:32" hidden="1" x14ac:dyDescent="0.2">
      <c r="A191" s="1" t="s">
        <v>32</v>
      </c>
      <c r="B191" s="1" t="s">
        <v>942</v>
      </c>
      <c r="C191" s="1" t="s">
        <v>943</v>
      </c>
      <c r="D191" s="1" t="s">
        <v>872</v>
      </c>
      <c r="E191" s="1" t="s">
        <v>36</v>
      </c>
      <c r="F191" s="1" t="s">
        <v>37</v>
      </c>
      <c r="G191" s="1" t="s">
        <v>873</v>
      </c>
      <c r="H191" s="1" t="s">
        <v>940</v>
      </c>
      <c r="I191" s="1" t="s">
        <v>944</v>
      </c>
      <c r="J191" s="1" t="s">
        <v>876</v>
      </c>
      <c r="K191" s="1" t="s">
        <v>877</v>
      </c>
      <c r="L191" s="1" t="s">
        <v>43</v>
      </c>
      <c r="M191" s="1" t="s">
        <v>69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11600</v>
      </c>
      <c r="AE191" s="1" t="s">
        <v>45</v>
      </c>
      <c r="AF191" s="1" t="s">
        <v>46</v>
      </c>
    </row>
    <row r="192" spans="1:32" hidden="1" x14ac:dyDescent="0.2">
      <c r="A192" s="1" t="s">
        <v>32</v>
      </c>
      <c r="B192" s="1" t="s">
        <v>945</v>
      </c>
      <c r="C192" s="1" t="s">
        <v>946</v>
      </c>
      <c r="D192" s="1" t="s">
        <v>872</v>
      </c>
      <c r="E192" s="1" t="s">
        <v>36</v>
      </c>
      <c r="F192" s="1" t="s">
        <v>37</v>
      </c>
      <c r="G192" s="1" t="s">
        <v>873</v>
      </c>
      <c r="H192" s="1" t="s">
        <v>947</v>
      </c>
      <c r="I192" s="1" t="s">
        <v>948</v>
      </c>
      <c r="J192" s="1" t="s">
        <v>876</v>
      </c>
      <c r="K192" s="1" t="s">
        <v>877</v>
      </c>
      <c r="L192" s="1" t="s">
        <v>43</v>
      </c>
      <c r="M192" s="1" t="s">
        <v>69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72100</v>
      </c>
      <c r="AE192" s="1" t="s">
        <v>45</v>
      </c>
      <c r="AF192" s="1" t="s">
        <v>46</v>
      </c>
    </row>
    <row r="193" spans="1:32" hidden="1" x14ac:dyDescent="0.2">
      <c r="A193" s="1" t="s">
        <v>32</v>
      </c>
      <c r="B193" s="1" t="s">
        <v>949</v>
      </c>
      <c r="C193" s="1" t="s">
        <v>950</v>
      </c>
      <c r="D193" s="1" t="s">
        <v>872</v>
      </c>
      <c r="E193" s="1" t="s">
        <v>36</v>
      </c>
      <c r="F193" s="1" t="s">
        <v>37</v>
      </c>
      <c r="G193" s="1" t="s">
        <v>873</v>
      </c>
      <c r="H193" s="1" t="s">
        <v>947</v>
      </c>
      <c r="I193" s="1" t="s">
        <v>951</v>
      </c>
      <c r="J193" s="1" t="s">
        <v>876</v>
      </c>
      <c r="K193" s="1" t="s">
        <v>877</v>
      </c>
      <c r="L193" s="1" t="s">
        <v>43</v>
      </c>
      <c r="M193" s="1" t="s">
        <v>44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11600</v>
      </c>
      <c r="AE193" s="1" t="s">
        <v>45</v>
      </c>
      <c r="AF193" s="1" t="s">
        <v>46</v>
      </c>
    </row>
    <row r="194" spans="1:32" hidden="1" x14ac:dyDescent="0.2">
      <c r="A194" s="1" t="s">
        <v>32</v>
      </c>
      <c r="B194" s="1" t="s">
        <v>952</v>
      </c>
      <c r="C194" s="1" t="s">
        <v>953</v>
      </c>
      <c r="D194" s="1" t="s">
        <v>494</v>
      </c>
      <c r="E194" s="1" t="s">
        <v>36</v>
      </c>
      <c r="F194" s="1" t="s">
        <v>37</v>
      </c>
      <c r="G194" s="1" t="s">
        <v>38</v>
      </c>
      <c r="H194" s="1" t="s">
        <v>954</v>
      </c>
      <c r="I194" s="1" t="s">
        <v>955</v>
      </c>
      <c r="J194" s="1" t="s">
        <v>426</v>
      </c>
      <c r="K194" s="1" t="s">
        <v>427</v>
      </c>
      <c r="L194" s="1" t="s">
        <v>43</v>
      </c>
      <c r="M194" s="1" t="s">
        <v>44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70000</v>
      </c>
      <c r="AE194" s="1" t="s">
        <v>45</v>
      </c>
      <c r="AF194" s="1" t="s">
        <v>46</v>
      </c>
    </row>
    <row r="195" spans="1:32" hidden="1" x14ac:dyDescent="0.2">
      <c r="A195" s="1" t="s">
        <v>32</v>
      </c>
      <c r="B195" s="1" t="s">
        <v>956</v>
      </c>
      <c r="C195" s="1" t="s">
        <v>957</v>
      </c>
      <c r="D195" s="1" t="s">
        <v>181</v>
      </c>
      <c r="E195" s="1" t="s">
        <v>36</v>
      </c>
      <c r="F195" s="1" t="s">
        <v>37</v>
      </c>
      <c r="G195" s="1" t="s">
        <v>88</v>
      </c>
      <c r="H195" s="1" t="s">
        <v>958</v>
      </c>
      <c r="I195" s="1" t="s">
        <v>959</v>
      </c>
      <c r="J195" s="1" t="s">
        <v>184</v>
      </c>
      <c r="K195" s="1" t="s">
        <v>185</v>
      </c>
      <c r="L195" s="1" t="s">
        <v>43</v>
      </c>
      <c r="M195" s="1" t="s">
        <v>44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100000</v>
      </c>
      <c r="AE195" s="1" t="s">
        <v>45</v>
      </c>
      <c r="AF195" s="1" t="s">
        <v>46</v>
      </c>
    </row>
    <row r="196" spans="1:32" hidden="1" x14ac:dyDescent="0.2">
      <c r="A196" s="1" t="s">
        <v>32</v>
      </c>
      <c r="B196" s="1" t="s">
        <v>960</v>
      </c>
      <c r="C196" s="1" t="s">
        <v>961</v>
      </c>
      <c r="D196" s="1" t="s">
        <v>962</v>
      </c>
      <c r="E196" s="1" t="s">
        <v>36</v>
      </c>
      <c r="F196" s="1" t="s">
        <v>37</v>
      </c>
      <c r="G196" s="1" t="s">
        <v>104</v>
      </c>
      <c r="H196" s="1" t="s">
        <v>958</v>
      </c>
      <c r="I196" s="1" t="s">
        <v>963</v>
      </c>
      <c r="J196" s="1" t="s">
        <v>964</v>
      </c>
      <c r="K196" s="1" t="s">
        <v>965</v>
      </c>
      <c r="L196" s="1" t="s">
        <v>43</v>
      </c>
      <c r="M196" s="1" t="s">
        <v>44</v>
      </c>
      <c r="N196" s="1">
        <v>0</v>
      </c>
      <c r="O196" s="1">
        <v>0</v>
      </c>
      <c r="P196" s="1">
        <v>0</v>
      </c>
      <c r="Q196" s="1">
        <v>4444.4399999999996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60000</v>
      </c>
      <c r="AE196" s="1" t="s">
        <v>45</v>
      </c>
      <c r="AF196" s="1" t="s">
        <v>46</v>
      </c>
    </row>
    <row r="197" spans="1:32" hidden="1" x14ac:dyDescent="0.2">
      <c r="A197" s="1" t="s">
        <v>32</v>
      </c>
      <c r="B197" s="1" t="s">
        <v>966</v>
      </c>
      <c r="C197" s="1" t="s">
        <v>967</v>
      </c>
      <c r="D197" s="1" t="s">
        <v>494</v>
      </c>
      <c r="E197" s="1" t="s">
        <v>36</v>
      </c>
      <c r="F197" s="1" t="s">
        <v>37</v>
      </c>
      <c r="G197" s="1" t="s">
        <v>88</v>
      </c>
      <c r="H197" s="1" t="s">
        <v>968</v>
      </c>
      <c r="I197" s="1" t="s">
        <v>969</v>
      </c>
      <c r="J197" s="1" t="s">
        <v>426</v>
      </c>
      <c r="K197" s="1" t="s">
        <v>427</v>
      </c>
      <c r="L197" s="1" t="s">
        <v>43</v>
      </c>
      <c r="M197" s="1" t="s">
        <v>44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70000</v>
      </c>
      <c r="AE197" s="1" t="s">
        <v>45</v>
      </c>
      <c r="AF197" s="1" t="s">
        <v>46</v>
      </c>
    </row>
    <row r="198" spans="1:32" hidden="1" x14ac:dyDescent="0.2">
      <c r="A198" s="1" t="s">
        <v>32</v>
      </c>
      <c r="B198" s="1" t="s">
        <v>970</v>
      </c>
      <c r="C198" s="1" t="s">
        <v>971</v>
      </c>
      <c r="D198" s="1" t="s">
        <v>181</v>
      </c>
      <c r="E198" s="1" t="s">
        <v>36</v>
      </c>
      <c r="F198" s="1" t="s">
        <v>37</v>
      </c>
      <c r="G198" s="1" t="s">
        <v>38</v>
      </c>
      <c r="H198" s="1" t="s">
        <v>972</v>
      </c>
      <c r="I198" s="1" t="s">
        <v>973</v>
      </c>
      <c r="J198" s="1" t="s">
        <v>184</v>
      </c>
      <c r="K198" s="1" t="s">
        <v>185</v>
      </c>
      <c r="L198" s="1" t="s">
        <v>43</v>
      </c>
      <c r="M198" s="1" t="s">
        <v>44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100000</v>
      </c>
      <c r="AE198" s="1" t="s">
        <v>45</v>
      </c>
      <c r="AF198" s="1" t="s">
        <v>46</v>
      </c>
    </row>
    <row r="199" spans="1:32" hidden="1" x14ac:dyDescent="0.2">
      <c r="A199" s="1" t="s">
        <v>32</v>
      </c>
      <c r="B199" s="1" t="s">
        <v>974</v>
      </c>
      <c r="C199" s="1" t="s">
        <v>975</v>
      </c>
      <c r="D199" s="1" t="s">
        <v>494</v>
      </c>
      <c r="E199" s="1" t="s">
        <v>36</v>
      </c>
      <c r="F199" s="1" t="s">
        <v>37</v>
      </c>
      <c r="G199" s="1" t="s">
        <v>88</v>
      </c>
      <c r="H199" s="1" t="s">
        <v>976</v>
      </c>
      <c r="I199" s="1" t="s">
        <v>977</v>
      </c>
      <c r="J199" s="1" t="s">
        <v>426</v>
      </c>
      <c r="K199" s="1" t="s">
        <v>427</v>
      </c>
      <c r="L199" s="1" t="s">
        <v>43</v>
      </c>
      <c r="M199" s="1" t="s">
        <v>44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100000</v>
      </c>
      <c r="AE199" s="1" t="s">
        <v>45</v>
      </c>
      <c r="AF199" s="1" t="s">
        <v>46</v>
      </c>
    </row>
    <row r="200" spans="1:32" hidden="1" x14ac:dyDescent="0.2">
      <c r="A200" s="1" t="s">
        <v>32</v>
      </c>
      <c r="B200" s="1" t="s">
        <v>978</v>
      </c>
      <c r="C200" s="1" t="s">
        <v>979</v>
      </c>
      <c r="D200" s="1" t="s">
        <v>980</v>
      </c>
      <c r="E200" s="1" t="s">
        <v>36</v>
      </c>
      <c r="F200" s="1" t="s">
        <v>37</v>
      </c>
      <c r="G200" s="1" t="s">
        <v>88</v>
      </c>
      <c r="H200" s="1" t="s">
        <v>981</v>
      </c>
      <c r="I200" s="1" t="s">
        <v>982</v>
      </c>
      <c r="J200" s="1" t="s">
        <v>983</v>
      </c>
      <c r="K200" s="1" t="s">
        <v>984</v>
      </c>
      <c r="L200" s="1" t="s">
        <v>43</v>
      </c>
      <c r="M200" s="1" t="s">
        <v>44</v>
      </c>
      <c r="N200" s="1">
        <v>41512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260000</v>
      </c>
      <c r="AE200" s="1" t="s">
        <v>45</v>
      </c>
      <c r="AF200" s="1" t="s">
        <v>46</v>
      </c>
    </row>
    <row r="201" spans="1:32" hidden="1" x14ac:dyDescent="0.2">
      <c r="A201" s="1" t="s">
        <v>32</v>
      </c>
      <c r="B201" s="1" t="s">
        <v>985</v>
      </c>
      <c r="C201" s="1" t="s">
        <v>986</v>
      </c>
      <c r="D201" s="1" t="s">
        <v>181</v>
      </c>
      <c r="E201" s="1" t="s">
        <v>36</v>
      </c>
      <c r="F201" s="1" t="s">
        <v>252</v>
      </c>
      <c r="G201" s="1" t="s">
        <v>252</v>
      </c>
      <c r="H201" s="1" t="s">
        <v>987</v>
      </c>
      <c r="I201" s="1" t="s">
        <v>988</v>
      </c>
      <c r="J201" s="1" t="s">
        <v>184</v>
      </c>
      <c r="K201" s="1" t="s">
        <v>185</v>
      </c>
      <c r="L201" s="1" t="s">
        <v>43</v>
      </c>
      <c r="M201" s="1" t="s">
        <v>44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170970</v>
      </c>
      <c r="AE201" s="1" t="s">
        <v>45</v>
      </c>
      <c r="AF201" s="1" t="s">
        <v>46</v>
      </c>
    </row>
    <row r="202" spans="1:32" hidden="1" x14ac:dyDescent="0.2">
      <c r="A202" s="1" t="s">
        <v>32</v>
      </c>
      <c r="B202" s="1" t="s">
        <v>989</v>
      </c>
      <c r="C202" s="1" t="s">
        <v>990</v>
      </c>
      <c r="D202" s="1" t="s">
        <v>181</v>
      </c>
      <c r="E202" s="1" t="s">
        <v>36</v>
      </c>
      <c r="F202" s="1" t="s">
        <v>252</v>
      </c>
      <c r="G202" s="1" t="s">
        <v>252</v>
      </c>
      <c r="H202" s="1" t="s">
        <v>991</v>
      </c>
      <c r="I202" s="1" t="s">
        <v>992</v>
      </c>
      <c r="J202" s="1" t="s">
        <v>184</v>
      </c>
      <c r="K202" s="1" t="s">
        <v>185</v>
      </c>
      <c r="L202" s="1" t="s">
        <v>43</v>
      </c>
      <c r="M202" s="1" t="s">
        <v>44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50000</v>
      </c>
      <c r="AE202" s="1" t="s">
        <v>45</v>
      </c>
      <c r="AF202" s="1" t="s">
        <v>46</v>
      </c>
    </row>
    <row r="203" spans="1:32" hidden="1" x14ac:dyDescent="0.2">
      <c r="A203" s="1" t="s">
        <v>32</v>
      </c>
      <c r="B203" s="1" t="s">
        <v>993</v>
      </c>
      <c r="C203" s="1" t="s">
        <v>994</v>
      </c>
      <c r="D203" s="1" t="s">
        <v>181</v>
      </c>
      <c r="E203" s="1" t="s">
        <v>36</v>
      </c>
      <c r="F203" s="1" t="s">
        <v>252</v>
      </c>
      <c r="G203" s="1" t="s">
        <v>252</v>
      </c>
      <c r="H203" s="1" t="s">
        <v>995</v>
      </c>
      <c r="I203" s="1" t="s">
        <v>996</v>
      </c>
      <c r="J203" s="1" t="s">
        <v>184</v>
      </c>
      <c r="K203" s="1" t="s">
        <v>185</v>
      </c>
      <c r="L203" s="1" t="s">
        <v>43</v>
      </c>
      <c r="M203" s="1" t="s">
        <v>44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172719</v>
      </c>
      <c r="AE203" s="1" t="s">
        <v>45</v>
      </c>
      <c r="AF203" s="1" t="s">
        <v>46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33832-E763-4525-9CAD-4BD33E525F39}">
  <dimension ref="A1:AN226"/>
  <sheetViews>
    <sheetView topLeftCell="G177" workbookViewId="0">
      <selection activeCell="AK146" sqref="AK146:AK217"/>
    </sheetView>
  </sheetViews>
  <sheetFormatPr baseColWidth="10" defaultRowHeight="15" x14ac:dyDescent="0.25"/>
  <cols>
    <col min="1" max="1" width="26.5703125" customWidth="1"/>
    <col min="11" max="11" width="49" customWidth="1"/>
    <col min="13" max="15" width="14" customWidth="1"/>
    <col min="16" max="16" width="21.85546875" customWidth="1"/>
    <col min="18" max="18" width="13.42578125" bestFit="1" customWidth="1"/>
    <col min="19" max="20" width="13.7109375" bestFit="1" customWidth="1"/>
    <col min="21" max="21" width="12.7109375" bestFit="1" customWidth="1"/>
    <col min="22" max="35" width="0" hidden="1" customWidth="1"/>
    <col min="37" max="37" width="13.7109375" bestFit="1" customWidth="1"/>
  </cols>
  <sheetData>
    <row r="1" spans="1:39" s="1" customFormat="1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999</v>
      </c>
      <c r="N1" s="2" t="s">
        <v>998</v>
      </c>
      <c r="O1" s="2" t="s">
        <v>1000</v>
      </c>
      <c r="P1" s="2" t="s">
        <v>12</v>
      </c>
      <c r="Q1" s="2"/>
      <c r="R1" s="2"/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</row>
    <row r="2" spans="1:39" s="1" customFormat="1" ht="12.7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9" s="1" customFormat="1" ht="12.75" x14ac:dyDescent="0.2">
      <c r="A3" s="5" t="s">
        <v>32</v>
      </c>
      <c r="B3" s="5" t="s">
        <v>244</v>
      </c>
      <c r="C3" s="5" t="s">
        <v>245</v>
      </c>
      <c r="D3" s="5" t="s">
        <v>246</v>
      </c>
      <c r="E3" s="5" t="s">
        <v>36</v>
      </c>
      <c r="F3" s="5" t="s">
        <v>37</v>
      </c>
      <c r="G3" s="5" t="s">
        <v>38</v>
      </c>
      <c r="H3" s="5" t="s">
        <v>242</v>
      </c>
      <c r="I3" s="5" t="s">
        <v>247</v>
      </c>
      <c r="J3" s="5" t="s">
        <v>248</v>
      </c>
      <c r="K3" s="5" t="s">
        <v>249</v>
      </c>
      <c r="L3" s="5" t="s">
        <v>43</v>
      </c>
      <c r="M3" s="5" t="s">
        <v>1018</v>
      </c>
      <c r="N3" s="5" t="s">
        <v>1020</v>
      </c>
      <c r="O3" s="5" t="s">
        <v>1002</v>
      </c>
      <c r="P3" s="5" t="s">
        <v>44</v>
      </c>
      <c r="Q3" s="3">
        <f t="shared" ref="Q3:Q34" si="0">+S3/19*100</f>
        <v>773551.52354570641</v>
      </c>
      <c r="R3" s="8">
        <f t="shared" ref="R3:R34" si="1">+AK3-Q3-S3</f>
        <v>-745626.31301939068</v>
      </c>
      <c r="S3" s="6">
        <f t="shared" ref="S3:S34" si="2">+U3/19*100</f>
        <v>146974.78947368421</v>
      </c>
      <c r="T3" s="6">
        <f t="shared" ref="T3:T34" si="3">+AK3-S3-U3</f>
        <v>5.2631578728323802E-4</v>
      </c>
      <c r="U3" s="6">
        <v>27925.21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174900</v>
      </c>
      <c r="AL3" s="5" t="s">
        <v>45</v>
      </c>
      <c r="AM3" s="5" t="s">
        <v>46</v>
      </c>
    </row>
    <row r="4" spans="1:39" s="3" customFormat="1" ht="12.75" x14ac:dyDescent="0.2">
      <c r="A4" s="5" t="s">
        <v>32</v>
      </c>
      <c r="B4" s="5" t="s">
        <v>844</v>
      </c>
      <c r="C4" s="5" t="s">
        <v>845</v>
      </c>
      <c r="D4" s="5" t="s">
        <v>846</v>
      </c>
      <c r="E4" s="5" t="s">
        <v>36</v>
      </c>
      <c r="F4" s="5" t="s">
        <v>37</v>
      </c>
      <c r="G4" s="5" t="s">
        <v>38</v>
      </c>
      <c r="H4" s="5" t="s">
        <v>847</v>
      </c>
      <c r="I4" s="5" t="s">
        <v>848</v>
      </c>
      <c r="J4" s="5" t="s">
        <v>849</v>
      </c>
      <c r="K4" s="5" t="s">
        <v>850</v>
      </c>
      <c r="L4" s="5" t="s">
        <v>43</v>
      </c>
      <c r="M4" s="5" t="s">
        <v>1004</v>
      </c>
      <c r="N4" s="5" t="s">
        <v>1020</v>
      </c>
      <c r="O4" s="5" t="s">
        <v>1002</v>
      </c>
      <c r="P4" s="5" t="s">
        <v>44</v>
      </c>
      <c r="Q4" s="3">
        <f t="shared" si="0"/>
        <v>0</v>
      </c>
      <c r="R4" s="8">
        <f t="shared" si="1"/>
        <v>106516.72</v>
      </c>
      <c r="S4" s="6">
        <f t="shared" si="2"/>
        <v>0</v>
      </c>
      <c r="T4" s="6">
        <f t="shared" si="3"/>
        <v>106516.72</v>
      </c>
      <c r="U4" s="6">
        <v>0</v>
      </c>
      <c r="V4" s="6">
        <v>0</v>
      </c>
      <c r="W4" s="6">
        <v>0</v>
      </c>
      <c r="X4" s="6">
        <v>7221.46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106516.72</v>
      </c>
      <c r="AL4" s="5" t="s">
        <v>45</v>
      </c>
      <c r="AM4" s="5" t="s">
        <v>46</v>
      </c>
    </row>
    <row r="5" spans="1:39" s="3" customFormat="1" ht="12.75" x14ac:dyDescent="0.2">
      <c r="A5" s="5" t="s">
        <v>32</v>
      </c>
      <c r="B5" s="5" t="s">
        <v>829</v>
      </c>
      <c r="C5" s="5" t="s">
        <v>830</v>
      </c>
      <c r="D5" s="5" t="s">
        <v>831</v>
      </c>
      <c r="E5" s="5" t="s">
        <v>36</v>
      </c>
      <c r="F5" s="5" t="s">
        <v>37</v>
      </c>
      <c r="G5" s="5" t="s">
        <v>38</v>
      </c>
      <c r="H5" s="5" t="s">
        <v>832</v>
      </c>
      <c r="I5" s="5" t="s">
        <v>833</v>
      </c>
      <c r="J5" s="5" t="s">
        <v>834</v>
      </c>
      <c r="K5" s="5" t="s">
        <v>835</v>
      </c>
      <c r="L5" s="5" t="s">
        <v>43</v>
      </c>
      <c r="M5" s="5" t="s">
        <v>1005</v>
      </c>
      <c r="N5" s="5" t="s">
        <v>1020</v>
      </c>
      <c r="O5" s="5" t="s">
        <v>1002</v>
      </c>
      <c r="P5" s="5" t="s">
        <v>836</v>
      </c>
      <c r="Q5" s="3">
        <f t="shared" si="0"/>
        <v>309597.50692520768</v>
      </c>
      <c r="R5" s="8">
        <f t="shared" si="1"/>
        <v>-298421.03324099712</v>
      </c>
      <c r="S5" s="6">
        <f t="shared" si="2"/>
        <v>58823.526315789466</v>
      </c>
      <c r="T5" s="6">
        <f t="shared" si="3"/>
        <v>3.6842105346295284E-3</v>
      </c>
      <c r="U5" s="6">
        <v>11176.47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70000</v>
      </c>
      <c r="AL5" s="5" t="s">
        <v>45</v>
      </c>
      <c r="AM5" s="5" t="s">
        <v>46</v>
      </c>
    </row>
    <row r="6" spans="1:39" s="3" customFormat="1" ht="12.75" x14ac:dyDescent="0.2">
      <c r="A6" s="5" t="s">
        <v>32</v>
      </c>
      <c r="B6" s="5" t="s">
        <v>870</v>
      </c>
      <c r="C6" s="5" t="s">
        <v>871</v>
      </c>
      <c r="D6" s="5" t="s">
        <v>872</v>
      </c>
      <c r="E6" s="5" t="s">
        <v>36</v>
      </c>
      <c r="F6" s="5" t="s">
        <v>37</v>
      </c>
      <c r="G6" s="5" t="s">
        <v>873</v>
      </c>
      <c r="H6" s="5" t="s">
        <v>874</v>
      </c>
      <c r="I6" s="5" t="s">
        <v>875</v>
      </c>
      <c r="J6" s="5" t="s">
        <v>876</v>
      </c>
      <c r="K6" s="5" t="s">
        <v>877</v>
      </c>
      <c r="L6" s="5" t="s">
        <v>43</v>
      </c>
      <c r="M6" s="5" t="s">
        <v>1019</v>
      </c>
      <c r="N6" s="5" t="s">
        <v>1020</v>
      </c>
      <c r="O6" s="5" t="s">
        <v>1002</v>
      </c>
      <c r="P6" s="5" t="s">
        <v>878</v>
      </c>
      <c r="Q6" s="3">
        <f t="shared" si="0"/>
        <v>0</v>
      </c>
      <c r="R6" s="8">
        <f t="shared" si="1"/>
        <v>11600</v>
      </c>
      <c r="S6" s="6">
        <f t="shared" si="2"/>
        <v>0</v>
      </c>
      <c r="T6" s="6">
        <f t="shared" si="3"/>
        <v>11600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11600</v>
      </c>
      <c r="AL6" s="5" t="s">
        <v>45</v>
      </c>
      <c r="AM6" s="5" t="s">
        <v>46</v>
      </c>
    </row>
    <row r="7" spans="1:39" s="3" customFormat="1" ht="12.75" x14ac:dyDescent="0.2">
      <c r="A7" s="5" t="s">
        <v>32</v>
      </c>
      <c r="B7" s="5" t="s">
        <v>942</v>
      </c>
      <c r="C7" s="5" t="s">
        <v>943</v>
      </c>
      <c r="D7" s="5" t="s">
        <v>872</v>
      </c>
      <c r="E7" s="5" t="s">
        <v>36</v>
      </c>
      <c r="F7" s="5" t="s">
        <v>37</v>
      </c>
      <c r="G7" s="5" t="s">
        <v>873</v>
      </c>
      <c r="H7" s="5" t="s">
        <v>940</v>
      </c>
      <c r="I7" s="5" t="s">
        <v>944</v>
      </c>
      <c r="J7" s="5" t="s">
        <v>876</v>
      </c>
      <c r="K7" s="5" t="s">
        <v>877</v>
      </c>
      <c r="L7" s="5" t="s">
        <v>43</v>
      </c>
      <c r="M7" s="5" t="s">
        <v>1019</v>
      </c>
      <c r="N7" s="5" t="s">
        <v>1020</v>
      </c>
      <c r="O7" s="5" t="s">
        <v>1002</v>
      </c>
      <c r="P7" s="5" t="s">
        <v>69</v>
      </c>
      <c r="Q7" s="3">
        <f t="shared" si="0"/>
        <v>0</v>
      </c>
      <c r="R7" s="8">
        <f t="shared" si="1"/>
        <v>11600</v>
      </c>
      <c r="S7" s="6">
        <f t="shared" si="2"/>
        <v>0</v>
      </c>
      <c r="T7" s="6">
        <f t="shared" si="3"/>
        <v>11600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11600</v>
      </c>
      <c r="AL7" s="5" t="s">
        <v>45</v>
      </c>
      <c r="AM7" s="5" t="s">
        <v>46</v>
      </c>
    </row>
    <row r="8" spans="1:39" s="3" customFormat="1" ht="12.75" x14ac:dyDescent="0.2">
      <c r="A8" s="5" t="s">
        <v>32</v>
      </c>
      <c r="B8" s="5" t="s">
        <v>945</v>
      </c>
      <c r="C8" s="5" t="s">
        <v>946</v>
      </c>
      <c r="D8" s="5" t="s">
        <v>872</v>
      </c>
      <c r="E8" s="5" t="s">
        <v>36</v>
      </c>
      <c r="F8" s="5" t="s">
        <v>37</v>
      </c>
      <c r="G8" s="5" t="s">
        <v>873</v>
      </c>
      <c r="H8" s="5" t="s">
        <v>947</v>
      </c>
      <c r="I8" s="5" t="s">
        <v>948</v>
      </c>
      <c r="J8" s="5" t="s">
        <v>876</v>
      </c>
      <c r="K8" s="5" t="s">
        <v>877</v>
      </c>
      <c r="L8" s="5" t="s">
        <v>43</v>
      </c>
      <c r="M8" s="5" t="s">
        <v>1019</v>
      </c>
      <c r="N8" s="5" t="s">
        <v>1020</v>
      </c>
      <c r="O8" s="5" t="s">
        <v>1002</v>
      </c>
      <c r="P8" s="5" t="s">
        <v>69</v>
      </c>
      <c r="Q8" s="3">
        <f t="shared" si="0"/>
        <v>0</v>
      </c>
      <c r="R8" s="8">
        <f t="shared" si="1"/>
        <v>72100</v>
      </c>
      <c r="S8" s="6">
        <f t="shared" si="2"/>
        <v>0</v>
      </c>
      <c r="T8" s="6">
        <f t="shared" si="3"/>
        <v>72100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72100</v>
      </c>
      <c r="AL8" s="5" t="s">
        <v>45</v>
      </c>
      <c r="AM8" s="5" t="s">
        <v>46</v>
      </c>
    </row>
    <row r="9" spans="1:39" s="5" customFormat="1" ht="12.75" x14ac:dyDescent="0.2">
      <c r="A9" s="5" t="s">
        <v>32</v>
      </c>
      <c r="B9" s="5" t="s">
        <v>949</v>
      </c>
      <c r="C9" s="5" t="s">
        <v>950</v>
      </c>
      <c r="D9" s="5" t="s">
        <v>872</v>
      </c>
      <c r="E9" s="5" t="s">
        <v>36</v>
      </c>
      <c r="F9" s="5" t="s">
        <v>37</v>
      </c>
      <c r="G9" s="5" t="s">
        <v>873</v>
      </c>
      <c r="H9" s="5" t="s">
        <v>947</v>
      </c>
      <c r="I9" s="5" t="s">
        <v>951</v>
      </c>
      <c r="J9" s="5" t="s">
        <v>876</v>
      </c>
      <c r="K9" s="5" t="s">
        <v>877</v>
      </c>
      <c r="L9" s="5" t="s">
        <v>43</v>
      </c>
      <c r="M9" s="5" t="s">
        <v>1019</v>
      </c>
      <c r="N9" s="5" t="s">
        <v>1020</v>
      </c>
      <c r="O9" s="5" t="s">
        <v>1002</v>
      </c>
      <c r="P9" s="5" t="s">
        <v>44</v>
      </c>
      <c r="Q9" s="3">
        <f t="shared" si="0"/>
        <v>0</v>
      </c>
      <c r="R9" s="8">
        <f t="shared" si="1"/>
        <v>11600</v>
      </c>
      <c r="S9" s="6">
        <f t="shared" si="2"/>
        <v>0</v>
      </c>
      <c r="T9" s="6">
        <f t="shared" si="3"/>
        <v>11600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11600</v>
      </c>
      <c r="AL9" s="5" t="s">
        <v>45</v>
      </c>
      <c r="AM9" s="5" t="s">
        <v>46</v>
      </c>
    </row>
    <row r="10" spans="1:39" s="3" customFormat="1" ht="12.75" x14ac:dyDescent="0.2">
      <c r="A10" s="5" t="s">
        <v>32</v>
      </c>
      <c r="B10" s="5" t="s">
        <v>664</v>
      </c>
      <c r="C10" s="5" t="s">
        <v>665</v>
      </c>
      <c r="D10" s="5" t="s">
        <v>666</v>
      </c>
      <c r="E10" s="5" t="s">
        <v>36</v>
      </c>
      <c r="F10" s="5" t="s">
        <v>37</v>
      </c>
      <c r="G10" s="5" t="s">
        <v>104</v>
      </c>
      <c r="H10" s="5" t="s">
        <v>667</v>
      </c>
      <c r="I10" s="5" t="s">
        <v>668</v>
      </c>
      <c r="J10" s="5" t="s">
        <v>669</v>
      </c>
      <c r="K10" s="5" t="s">
        <v>670</v>
      </c>
      <c r="L10" s="5" t="s">
        <v>43</v>
      </c>
      <c r="M10" s="5" t="s">
        <v>1021</v>
      </c>
      <c r="N10" s="5" t="s">
        <v>1020</v>
      </c>
      <c r="O10" s="5" t="s">
        <v>1002</v>
      </c>
      <c r="P10" s="5" t="s">
        <v>671</v>
      </c>
      <c r="Q10" s="3">
        <f t="shared" si="0"/>
        <v>0</v>
      </c>
      <c r="R10" s="8">
        <f t="shared" si="1"/>
        <v>155936</v>
      </c>
      <c r="S10" s="6">
        <f t="shared" si="2"/>
        <v>0</v>
      </c>
      <c r="T10" s="6">
        <f t="shared" si="3"/>
        <v>155936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155936</v>
      </c>
      <c r="AL10" s="5" t="s">
        <v>45</v>
      </c>
      <c r="AM10" s="5" t="s">
        <v>46</v>
      </c>
    </row>
    <row r="11" spans="1:39" s="3" customFormat="1" ht="12.75" x14ac:dyDescent="0.2">
      <c r="A11" s="5" t="s">
        <v>32</v>
      </c>
      <c r="B11" s="5" t="s">
        <v>536</v>
      </c>
      <c r="C11" s="5" t="s">
        <v>537</v>
      </c>
      <c r="D11" s="5" t="s">
        <v>538</v>
      </c>
      <c r="E11" s="5" t="s">
        <v>36</v>
      </c>
      <c r="F11" s="5" t="s">
        <v>37</v>
      </c>
      <c r="G11" s="5" t="s">
        <v>38</v>
      </c>
      <c r="H11" s="5" t="s">
        <v>539</v>
      </c>
      <c r="I11" s="5" t="s">
        <v>540</v>
      </c>
      <c r="J11" s="5" t="s">
        <v>541</v>
      </c>
      <c r="K11" s="5" t="s">
        <v>542</v>
      </c>
      <c r="L11" s="5" t="s">
        <v>43</v>
      </c>
      <c r="M11" s="5" t="s">
        <v>1022</v>
      </c>
      <c r="N11" s="5" t="s">
        <v>1020</v>
      </c>
      <c r="O11" s="5" t="s">
        <v>1002</v>
      </c>
      <c r="P11" s="5" t="s">
        <v>44</v>
      </c>
      <c r="Q11" s="3">
        <f t="shared" si="0"/>
        <v>4105041.8282548483</v>
      </c>
      <c r="R11" s="8">
        <f t="shared" si="1"/>
        <v>-3940949.7756232694</v>
      </c>
      <c r="S11" s="6">
        <f t="shared" si="2"/>
        <v>779957.94736842113</v>
      </c>
      <c r="T11" s="6">
        <f t="shared" si="3"/>
        <v>15900.042631578865</v>
      </c>
      <c r="U11" s="6">
        <v>148192.01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944050</v>
      </c>
      <c r="AL11" s="5" t="s">
        <v>45</v>
      </c>
      <c r="AM11" s="5" t="s">
        <v>46</v>
      </c>
    </row>
    <row r="12" spans="1:39" s="5" customFormat="1" ht="12.75" x14ac:dyDescent="0.2">
      <c r="A12" s="5" t="s">
        <v>32</v>
      </c>
      <c r="B12" s="5" t="s">
        <v>626</v>
      </c>
      <c r="C12" s="5" t="s">
        <v>627</v>
      </c>
      <c r="D12" s="5" t="s">
        <v>628</v>
      </c>
      <c r="E12" s="5" t="s">
        <v>36</v>
      </c>
      <c r="F12" s="5" t="s">
        <v>37</v>
      </c>
      <c r="G12" s="5" t="s">
        <v>38</v>
      </c>
      <c r="H12" s="5" t="s">
        <v>629</v>
      </c>
      <c r="I12" s="5" t="s">
        <v>630</v>
      </c>
      <c r="J12" s="5" t="s">
        <v>541</v>
      </c>
      <c r="K12" s="5" t="s">
        <v>542</v>
      </c>
      <c r="L12" s="5" t="s">
        <v>43</v>
      </c>
      <c r="M12" s="5" t="s">
        <v>1022</v>
      </c>
      <c r="N12" s="5" t="s">
        <v>1020</v>
      </c>
      <c r="O12" s="5" t="s">
        <v>1002</v>
      </c>
      <c r="P12" s="5" t="s">
        <v>44</v>
      </c>
      <c r="Q12" s="3">
        <f t="shared" si="0"/>
        <v>2444051.2465373958</v>
      </c>
      <c r="R12" s="8">
        <f t="shared" si="1"/>
        <v>-2355820.9833795009</v>
      </c>
      <c r="S12" s="6">
        <f t="shared" si="2"/>
        <v>464369.73684210522</v>
      </c>
      <c r="T12" s="6">
        <f t="shared" si="3"/>
        <v>1.31578947766684E-2</v>
      </c>
      <c r="U12" s="6">
        <v>88230.25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552600</v>
      </c>
      <c r="AL12" s="5" t="s">
        <v>45</v>
      </c>
      <c r="AM12" s="5" t="s">
        <v>46</v>
      </c>
    </row>
    <row r="13" spans="1:39" s="5" customFormat="1" ht="12.75" x14ac:dyDescent="0.2">
      <c r="A13" s="5" t="s">
        <v>32</v>
      </c>
      <c r="B13" s="5" t="s">
        <v>685</v>
      </c>
      <c r="C13" s="5" t="s">
        <v>686</v>
      </c>
      <c r="D13" s="5" t="s">
        <v>687</v>
      </c>
      <c r="E13" s="5" t="s">
        <v>36</v>
      </c>
      <c r="F13" s="5" t="s">
        <v>37</v>
      </c>
      <c r="G13" s="5" t="s">
        <v>38</v>
      </c>
      <c r="H13" s="5" t="s">
        <v>688</v>
      </c>
      <c r="I13" s="5" t="s">
        <v>689</v>
      </c>
      <c r="J13" s="5" t="s">
        <v>541</v>
      </c>
      <c r="K13" s="5" t="s">
        <v>542</v>
      </c>
      <c r="L13" s="5" t="s">
        <v>43</v>
      </c>
      <c r="M13" s="5" t="s">
        <v>1022</v>
      </c>
      <c r="N13" s="5" t="s">
        <v>1020</v>
      </c>
      <c r="O13" s="5" t="s">
        <v>1002</v>
      </c>
      <c r="P13" s="5" t="s">
        <v>44</v>
      </c>
      <c r="Q13" s="3">
        <f t="shared" si="0"/>
        <v>4538301.6620498616</v>
      </c>
      <c r="R13" s="8">
        <f t="shared" si="1"/>
        <v>-4361968.9778393358</v>
      </c>
      <c r="S13" s="6">
        <f t="shared" si="2"/>
        <v>862277.31578947371</v>
      </c>
      <c r="T13" s="6">
        <f t="shared" si="3"/>
        <v>12499.994210526289</v>
      </c>
      <c r="U13" s="6">
        <v>163832.69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1038610</v>
      </c>
      <c r="AL13" s="5" t="s">
        <v>45</v>
      </c>
      <c r="AM13" s="5" t="s">
        <v>46</v>
      </c>
    </row>
    <row r="14" spans="1:39" s="5" customFormat="1" ht="12.75" x14ac:dyDescent="0.2">
      <c r="A14" s="5" t="s">
        <v>32</v>
      </c>
      <c r="B14" s="5" t="s">
        <v>339</v>
      </c>
      <c r="C14" s="5" t="s">
        <v>340</v>
      </c>
      <c r="D14" s="5" t="s">
        <v>341</v>
      </c>
      <c r="E14" s="5" t="s">
        <v>36</v>
      </c>
      <c r="F14" s="5" t="s">
        <v>37</v>
      </c>
      <c r="G14" s="5" t="s">
        <v>65</v>
      </c>
      <c r="H14" s="5" t="s">
        <v>342</v>
      </c>
      <c r="I14" s="5" t="s">
        <v>343</v>
      </c>
      <c r="J14" s="5" t="s">
        <v>344</v>
      </c>
      <c r="K14" s="5" t="s">
        <v>345</v>
      </c>
      <c r="L14" s="5" t="s">
        <v>43</v>
      </c>
      <c r="M14" s="5" t="s">
        <v>1023</v>
      </c>
      <c r="N14" s="5" t="s">
        <v>1020</v>
      </c>
      <c r="O14" s="5" t="s">
        <v>1002</v>
      </c>
      <c r="P14" s="5" t="s">
        <v>69</v>
      </c>
      <c r="Q14" s="3">
        <f t="shared" si="0"/>
        <v>60150.138504155133</v>
      </c>
      <c r="R14" s="8">
        <f t="shared" si="1"/>
        <v>-57978.664819944606</v>
      </c>
      <c r="S14" s="6">
        <f t="shared" si="2"/>
        <v>11428.526315789475</v>
      </c>
      <c r="T14" s="6">
        <f t="shared" si="3"/>
        <v>5.3684210524806986E-2</v>
      </c>
      <c r="U14" s="6">
        <v>2171.42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13600</v>
      </c>
      <c r="AL14" s="5" t="s">
        <v>45</v>
      </c>
      <c r="AM14" s="5" t="s">
        <v>46</v>
      </c>
    </row>
    <row r="15" spans="1:39" s="5" customFormat="1" ht="12.75" x14ac:dyDescent="0.2">
      <c r="A15" s="5" t="s">
        <v>32</v>
      </c>
      <c r="B15" s="5" t="s">
        <v>346</v>
      </c>
      <c r="C15" s="5" t="s">
        <v>347</v>
      </c>
      <c r="D15" s="5" t="s">
        <v>348</v>
      </c>
      <c r="E15" s="5" t="s">
        <v>36</v>
      </c>
      <c r="F15" s="5" t="s">
        <v>37</v>
      </c>
      <c r="G15" s="5" t="s">
        <v>65</v>
      </c>
      <c r="H15" s="5" t="s">
        <v>342</v>
      </c>
      <c r="I15" s="5" t="s">
        <v>349</v>
      </c>
      <c r="J15" s="5" t="s">
        <v>344</v>
      </c>
      <c r="K15" s="5" t="s">
        <v>345</v>
      </c>
      <c r="L15" s="5" t="s">
        <v>43</v>
      </c>
      <c r="M15" s="5" t="s">
        <v>1023</v>
      </c>
      <c r="N15" s="5" t="s">
        <v>1020</v>
      </c>
      <c r="O15" s="5" t="s">
        <v>1002</v>
      </c>
      <c r="P15" s="5" t="s">
        <v>69</v>
      </c>
      <c r="Q15" s="3">
        <f t="shared" si="0"/>
        <v>471030.47091412748</v>
      </c>
      <c r="R15" s="8">
        <f t="shared" si="1"/>
        <v>-454026.26038781169</v>
      </c>
      <c r="S15" s="6">
        <f t="shared" si="2"/>
        <v>89495.789473684214</v>
      </c>
      <c r="T15" s="6">
        <f t="shared" si="3"/>
        <v>1.0526315785682527E-2</v>
      </c>
      <c r="U15" s="6">
        <v>17004.2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106500</v>
      </c>
      <c r="AL15" s="5" t="s">
        <v>45</v>
      </c>
      <c r="AM15" s="5" t="s">
        <v>46</v>
      </c>
    </row>
    <row r="16" spans="1:39" s="5" customFormat="1" ht="12.75" x14ac:dyDescent="0.2">
      <c r="A16" s="5" t="s">
        <v>32</v>
      </c>
      <c r="B16" s="5" t="s">
        <v>358</v>
      </c>
      <c r="C16" s="5" t="s">
        <v>359</v>
      </c>
      <c r="D16" s="5" t="s">
        <v>341</v>
      </c>
      <c r="E16" s="5" t="s">
        <v>36</v>
      </c>
      <c r="F16" s="5" t="s">
        <v>37</v>
      </c>
      <c r="G16" s="5" t="s">
        <v>65</v>
      </c>
      <c r="H16" s="5" t="s">
        <v>360</v>
      </c>
      <c r="I16" s="5" t="s">
        <v>361</v>
      </c>
      <c r="J16" s="5" t="s">
        <v>344</v>
      </c>
      <c r="K16" s="5" t="s">
        <v>345</v>
      </c>
      <c r="L16" s="5" t="s">
        <v>43</v>
      </c>
      <c r="M16" s="5" t="s">
        <v>1023</v>
      </c>
      <c r="N16" s="5" t="s">
        <v>1020</v>
      </c>
      <c r="O16" s="5" t="s">
        <v>1002</v>
      </c>
      <c r="P16" s="5" t="s">
        <v>69</v>
      </c>
      <c r="Q16" s="3">
        <f t="shared" si="0"/>
        <v>1337461.2188365648</v>
      </c>
      <c r="R16" s="8">
        <f t="shared" si="1"/>
        <v>-1289178.8504155122</v>
      </c>
      <c r="S16" s="6">
        <f t="shared" si="2"/>
        <v>254117.63157894733</v>
      </c>
      <c r="T16" s="6">
        <f t="shared" si="3"/>
        <v>1.8421052671328653E-2</v>
      </c>
      <c r="U16" s="6">
        <v>48282.35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302400</v>
      </c>
      <c r="AL16" s="5" t="s">
        <v>45</v>
      </c>
      <c r="AM16" s="5" t="s">
        <v>46</v>
      </c>
    </row>
    <row r="17" spans="1:40" s="5" customFormat="1" ht="12.75" x14ac:dyDescent="0.2">
      <c r="A17" s="5" t="s">
        <v>32</v>
      </c>
      <c r="B17" s="5" t="s">
        <v>362</v>
      </c>
      <c r="C17" s="5" t="s">
        <v>363</v>
      </c>
      <c r="D17" s="5" t="s">
        <v>341</v>
      </c>
      <c r="E17" s="5" t="s">
        <v>36</v>
      </c>
      <c r="F17" s="5" t="s">
        <v>37</v>
      </c>
      <c r="G17" s="5" t="s">
        <v>65</v>
      </c>
      <c r="H17" s="5" t="s">
        <v>364</v>
      </c>
      <c r="I17" s="5" t="s">
        <v>365</v>
      </c>
      <c r="J17" s="5" t="s">
        <v>344</v>
      </c>
      <c r="K17" s="5" t="s">
        <v>345</v>
      </c>
      <c r="L17" s="5" t="s">
        <v>43</v>
      </c>
      <c r="M17" s="5" t="s">
        <v>1023</v>
      </c>
      <c r="N17" s="5" t="s">
        <v>1020</v>
      </c>
      <c r="O17" s="5" t="s">
        <v>1002</v>
      </c>
      <c r="P17" s="5" t="s">
        <v>69</v>
      </c>
      <c r="Q17" s="3">
        <f t="shared" si="0"/>
        <v>1826183.1024930747</v>
      </c>
      <c r="R17" s="8">
        <f t="shared" si="1"/>
        <v>-1760257.891966759</v>
      </c>
      <c r="S17" s="6">
        <f t="shared" si="2"/>
        <v>346974.78947368421</v>
      </c>
      <c r="T17" s="6">
        <f t="shared" si="3"/>
        <v>5.2631578000728041E-4</v>
      </c>
      <c r="U17" s="6">
        <v>65925.210000000006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412900</v>
      </c>
      <c r="AL17" s="5" t="s">
        <v>45</v>
      </c>
      <c r="AM17" s="5" t="s">
        <v>46</v>
      </c>
    </row>
    <row r="18" spans="1:40" s="3" customFormat="1" ht="12.75" x14ac:dyDescent="0.2">
      <c r="A18" s="5" t="s">
        <v>32</v>
      </c>
      <c r="B18" s="5" t="s">
        <v>366</v>
      </c>
      <c r="C18" s="5" t="s">
        <v>367</v>
      </c>
      <c r="D18" s="5" t="s">
        <v>348</v>
      </c>
      <c r="E18" s="5" t="s">
        <v>36</v>
      </c>
      <c r="F18" s="5" t="s">
        <v>37</v>
      </c>
      <c r="G18" s="5" t="s">
        <v>65</v>
      </c>
      <c r="H18" s="5" t="s">
        <v>364</v>
      </c>
      <c r="I18" s="5" t="s">
        <v>368</v>
      </c>
      <c r="J18" s="5" t="s">
        <v>344</v>
      </c>
      <c r="K18" s="5" t="s">
        <v>345</v>
      </c>
      <c r="L18" s="5" t="s">
        <v>43</v>
      </c>
      <c r="M18" s="5" t="s">
        <v>1023</v>
      </c>
      <c r="N18" s="5" t="s">
        <v>1020</v>
      </c>
      <c r="O18" s="5" t="s">
        <v>1002</v>
      </c>
      <c r="P18" s="5" t="s">
        <v>69</v>
      </c>
      <c r="Q18" s="3">
        <f t="shared" si="0"/>
        <v>64131.024930747939</v>
      </c>
      <c r="R18" s="8">
        <f t="shared" si="1"/>
        <v>-61815.919667590046</v>
      </c>
      <c r="S18" s="6">
        <f t="shared" si="2"/>
        <v>12184.894736842107</v>
      </c>
      <c r="T18" s="6">
        <f t="shared" si="3"/>
        <v>-2.4736842106904078E-2</v>
      </c>
      <c r="U18" s="6">
        <v>2315.13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14500</v>
      </c>
      <c r="AL18" s="5" t="s">
        <v>45</v>
      </c>
      <c r="AM18" s="5" t="s">
        <v>46</v>
      </c>
    </row>
    <row r="19" spans="1:40" s="3" customFormat="1" ht="12.75" x14ac:dyDescent="0.2">
      <c r="A19" s="5" t="s">
        <v>32</v>
      </c>
      <c r="B19" s="5" t="s">
        <v>369</v>
      </c>
      <c r="C19" s="5" t="s">
        <v>370</v>
      </c>
      <c r="D19" s="5" t="s">
        <v>348</v>
      </c>
      <c r="E19" s="5" t="s">
        <v>36</v>
      </c>
      <c r="F19" s="5" t="s">
        <v>37</v>
      </c>
      <c r="G19" s="5" t="s">
        <v>65</v>
      </c>
      <c r="H19" s="5" t="s">
        <v>364</v>
      </c>
      <c r="I19" s="5" t="s">
        <v>371</v>
      </c>
      <c r="J19" s="5" t="s">
        <v>344</v>
      </c>
      <c r="K19" s="5" t="s">
        <v>345</v>
      </c>
      <c r="L19" s="5" t="s">
        <v>43</v>
      </c>
      <c r="M19" s="5" t="s">
        <v>1023</v>
      </c>
      <c r="N19" s="5" t="s">
        <v>1020</v>
      </c>
      <c r="O19" s="5" t="s">
        <v>1002</v>
      </c>
      <c r="P19" s="5" t="s">
        <v>69</v>
      </c>
      <c r="Q19" s="3">
        <f t="shared" si="0"/>
        <v>890756.78670360125</v>
      </c>
      <c r="R19" s="8">
        <f t="shared" si="1"/>
        <v>-858600.57617728552</v>
      </c>
      <c r="S19" s="6">
        <f t="shared" si="2"/>
        <v>169243.78947368421</v>
      </c>
      <c r="T19" s="6">
        <f t="shared" si="3"/>
        <v>-0.10947368421329884</v>
      </c>
      <c r="U19" s="6">
        <v>32156.32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201400</v>
      </c>
      <c r="AL19" s="5" t="s">
        <v>45</v>
      </c>
      <c r="AM19" s="5" t="s">
        <v>46</v>
      </c>
    </row>
    <row r="20" spans="1:40" s="3" customFormat="1" ht="12.75" x14ac:dyDescent="0.2">
      <c r="A20" s="5" t="s">
        <v>32</v>
      </c>
      <c r="B20" s="5" t="s">
        <v>573</v>
      </c>
      <c r="C20" s="5" t="s">
        <v>574</v>
      </c>
      <c r="D20" s="5" t="s">
        <v>575</v>
      </c>
      <c r="E20" s="5" t="s">
        <v>36</v>
      </c>
      <c r="F20" s="5" t="s">
        <v>37</v>
      </c>
      <c r="G20" s="5" t="s">
        <v>88</v>
      </c>
      <c r="H20" s="5" t="s">
        <v>568</v>
      </c>
      <c r="I20" s="5" t="s">
        <v>576</v>
      </c>
      <c r="J20" s="5" t="s">
        <v>577</v>
      </c>
      <c r="K20" s="5" t="s">
        <v>578</v>
      </c>
      <c r="L20" s="5" t="s">
        <v>43</v>
      </c>
      <c r="M20" s="5" t="s">
        <v>1024</v>
      </c>
      <c r="N20" s="5" t="s">
        <v>1020</v>
      </c>
      <c r="O20" s="5" t="s">
        <v>1002</v>
      </c>
      <c r="P20" s="5" t="s">
        <v>44</v>
      </c>
      <c r="Q20" s="3">
        <f t="shared" si="0"/>
        <v>0</v>
      </c>
      <c r="R20" s="8">
        <f t="shared" si="1"/>
        <v>166898</v>
      </c>
      <c r="S20" s="6">
        <f t="shared" si="2"/>
        <v>0</v>
      </c>
      <c r="T20" s="6">
        <f t="shared" si="3"/>
        <v>166898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166898</v>
      </c>
      <c r="AL20" s="5" t="s">
        <v>45</v>
      </c>
      <c r="AM20" s="5" t="s">
        <v>46</v>
      </c>
    </row>
    <row r="21" spans="1:40" s="3" customFormat="1" ht="12.75" x14ac:dyDescent="0.2">
      <c r="A21" s="5" t="s">
        <v>32</v>
      </c>
      <c r="B21" s="5" t="s">
        <v>387</v>
      </c>
      <c r="C21" s="5" t="s">
        <v>388</v>
      </c>
      <c r="D21" s="5" t="s">
        <v>389</v>
      </c>
      <c r="E21" s="5" t="s">
        <v>36</v>
      </c>
      <c r="F21" s="5" t="s">
        <v>37</v>
      </c>
      <c r="G21" s="5" t="s">
        <v>38</v>
      </c>
      <c r="H21" s="5" t="s">
        <v>385</v>
      </c>
      <c r="I21" s="5" t="s">
        <v>390</v>
      </c>
      <c r="J21" s="5" t="s">
        <v>391</v>
      </c>
      <c r="K21" s="5" t="s">
        <v>392</v>
      </c>
      <c r="L21" s="5" t="s">
        <v>43</v>
      </c>
      <c r="M21" s="5" t="s">
        <v>1025</v>
      </c>
      <c r="N21" s="5" t="s">
        <v>1020</v>
      </c>
      <c r="O21" s="5" t="s">
        <v>1002</v>
      </c>
      <c r="P21" s="5" t="s">
        <v>44</v>
      </c>
      <c r="Q21" s="3">
        <f t="shared" si="0"/>
        <v>0</v>
      </c>
      <c r="R21" s="8">
        <f t="shared" si="1"/>
        <v>129000</v>
      </c>
      <c r="S21" s="6">
        <f t="shared" si="2"/>
        <v>0</v>
      </c>
      <c r="T21" s="6">
        <f t="shared" si="3"/>
        <v>129000</v>
      </c>
      <c r="U21" s="6">
        <v>0</v>
      </c>
      <c r="V21" s="6">
        <v>0</v>
      </c>
      <c r="W21" s="6">
        <v>0</v>
      </c>
      <c r="X21" s="6">
        <v>8785.19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129000</v>
      </c>
      <c r="AL21" s="5" t="s">
        <v>45</v>
      </c>
      <c r="AM21" s="5" t="s">
        <v>46</v>
      </c>
      <c r="AN21" s="5"/>
    </row>
    <row r="22" spans="1:40" s="3" customFormat="1" ht="12.75" x14ac:dyDescent="0.2">
      <c r="A22" s="5" t="s">
        <v>32</v>
      </c>
      <c r="B22" s="5" t="s">
        <v>410</v>
      </c>
      <c r="C22" s="5" t="s">
        <v>411</v>
      </c>
      <c r="D22" s="5" t="s">
        <v>389</v>
      </c>
      <c r="E22" s="5" t="s">
        <v>36</v>
      </c>
      <c r="F22" s="5" t="s">
        <v>37</v>
      </c>
      <c r="G22" s="5" t="s">
        <v>38</v>
      </c>
      <c r="H22" s="5" t="s">
        <v>412</v>
      </c>
      <c r="I22" s="5" t="s">
        <v>413</v>
      </c>
      <c r="J22" s="5" t="s">
        <v>391</v>
      </c>
      <c r="K22" s="5" t="s">
        <v>392</v>
      </c>
      <c r="L22" s="5" t="s">
        <v>43</v>
      </c>
      <c r="M22" s="5" t="s">
        <v>1025</v>
      </c>
      <c r="N22" s="5" t="s">
        <v>1020</v>
      </c>
      <c r="O22" s="5" t="s">
        <v>1002</v>
      </c>
      <c r="P22" s="5" t="s">
        <v>44</v>
      </c>
      <c r="Q22" s="3">
        <f t="shared" si="0"/>
        <v>0</v>
      </c>
      <c r="R22" s="8">
        <f t="shared" si="1"/>
        <v>110600</v>
      </c>
      <c r="S22" s="6">
        <f t="shared" si="2"/>
        <v>0</v>
      </c>
      <c r="T22" s="6">
        <f t="shared" si="3"/>
        <v>110600</v>
      </c>
      <c r="U22" s="6">
        <v>0</v>
      </c>
      <c r="V22" s="6">
        <v>0</v>
      </c>
      <c r="W22" s="6">
        <v>0</v>
      </c>
      <c r="X22" s="6">
        <v>7503.7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110600</v>
      </c>
      <c r="AL22" s="5" t="s">
        <v>45</v>
      </c>
      <c r="AM22" s="5" t="s">
        <v>46</v>
      </c>
      <c r="AN22" s="5"/>
    </row>
    <row r="23" spans="1:40" s="5" customFormat="1" ht="12.75" x14ac:dyDescent="0.2">
      <c r="A23" s="5" t="s">
        <v>32</v>
      </c>
      <c r="B23" s="5" t="s">
        <v>462</v>
      </c>
      <c r="C23" s="5" t="s">
        <v>463</v>
      </c>
      <c r="D23" s="5" t="s">
        <v>464</v>
      </c>
      <c r="E23" s="5" t="s">
        <v>36</v>
      </c>
      <c r="F23" s="5" t="s">
        <v>37</v>
      </c>
      <c r="G23" s="5" t="s">
        <v>38</v>
      </c>
      <c r="H23" s="5" t="s">
        <v>465</v>
      </c>
      <c r="I23" s="5" t="s">
        <v>466</v>
      </c>
      <c r="J23" s="5">
        <v>900276962</v>
      </c>
      <c r="K23" s="5" t="s">
        <v>468</v>
      </c>
      <c r="L23" s="5" t="s">
        <v>43</v>
      </c>
      <c r="M23" s="5" t="s">
        <v>1026</v>
      </c>
      <c r="N23" s="5" t="s">
        <v>1020</v>
      </c>
      <c r="O23" s="5" t="s">
        <v>1002</v>
      </c>
      <c r="P23" s="5" t="s">
        <v>69</v>
      </c>
      <c r="Q23" s="3">
        <f t="shared" si="0"/>
        <v>474693.62880886428</v>
      </c>
      <c r="R23" s="8">
        <f t="shared" si="1"/>
        <v>-435255.4282825485</v>
      </c>
      <c r="S23" s="6">
        <f t="shared" si="2"/>
        <v>90191.789473684214</v>
      </c>
      <c r="T23" s="6">
        <f t="shared" si="3"/>
        <v>22301.760526315793</v>
      </c>
      <c r="U23" s="6">
        <v>17136.439999999999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129629.99</v>
      </c>
      <c r="AL23" s="5" t="s">
        <v>45</v>
      </c>
      <c r="AM23" s="5" t="s">
        <v>46</v>
      </c>
    </row>
    <row r="24" spans="1:40" s="5" customFormat="1" ht="12.75" x14ac:dyDescent="0.2">
      <c r="A24" s="5" t="s">
        <v>32</v>
      </c>
      <c r="B24" s="5" t="s">
        <v>825</v>
      </c>
      <c r="C24" s="5" t="s">
        <v>826</v>
      </c>
      <c r="D24" s="5" t="s">
        <v>827</v>
      </c>
      <c r="E24" s="5" t="s">
        <v>36</v>
      </c>
      <c r="F24" s="5" t="s">
        <v>37</v>
      </c>
      <c r="G24" s="5" t="s">
        <v>38</v>
      </c>
      <c r="H24" s="5" t="s">
        <v>814</v>
      </c>
      <c r="I24" s="5" t="s">
        <v>828</v>
      </c>
      <c r="J24" s="5" t="s">
        <v>467</v>
      </c>
      <c r="K24" s="5" t="s">
        <v>468</v>
      </c>
      <c r="L24" s="5" t="s">
        <v>43</v>
      </c>
      <c r="M24" s="5" t="s">
        <v>1026</v>
      </c>
      <c r="N24" s="5" t="s">
        <v>1020</v>
      </c>
      <c r="O24" s="5" t="s">
        <v>1002</v>
      </c>
      <c r="P24" s="5" t="s">
        <v>69</v>
      </c>
      <c r="Q24" s="3">
        <f t="shared" si="0"/>
        <v>216762.60387811635</v>
      </c>
      <c r="R24" s="8">
        <f t="shared" si="1"/>
        <v>-208937.49861495846</v>
      </c>
      <c r="S24" s="6">
        <f t="shared" si="2"/>
        <v>41184.894736842107</v>
      </c>
      <c r="T24" s="6">
        <f t="shared" si="3"/>
        <v>-2.4736842106904078E-2</v>
      </c>
      <c r="U24" s="6">
        <v>7825.13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49010</v>
      </c>
      <c r="AL24" s="5" t="s">
        <v>45</v>
      </c>
      <c r="AM24" s="5" t="s">
        <v>46</v>
      </c>
    </row>
    <row r="25" spans="1:40" s="5" customFormat="1" ht="12.75" x14ac:dyDescent="0.2">
      <c r="A25" s="5" t="s">
        <v>32</v>
      </c>
      <c r="B25" s="5" t="s">
        <v>819</v>
      </c>
      <c r="C25" s="5" t="s">
        <v>820</v>
      </c>
      <c r="D25" s="5" t="s">
        <v>821</v>
      </c>
      <c r="E25" s="5" t="s">
        <v>36</v>
      </c>
      <c r="F25" s="5" t="s">
        <v>37</v>
      </c>
      <c r="G25" s="5" t="s">
        <v>104</v>
      </c>
      <c r="H25" s="5" t="s">
        <v>814</v>
      </c>
      <c r="I25" s="5" t="s">
        <v>822</v>
      </c>
      <c r="J25" s="5" t="s">
        <v>823</v>
      </c>
      <c r="K25" s="5" t="s">
        <v>824</v>
      </c>
      <c r="L25" s="5" t="s">
        <v>43</v>
      </c>
      <c r="M25" s="5" t="s">
        <v>1030</v>
      </c>
      <c r="N25" s="5" t="s">
        <v>1020</v>
      </c>
      <c r="O25" s="5" t="s">
        <v>1002</v>
      </c>
      <c r="P25" s="5" t="s">
        <v>44</v>
      </c>
      <c r="Q25" s="3">
        <f t="shared" si="0"/>
        <v>293675.34626038786</v>
      </c>
      <c r="R25" s="8">
        <f t="shared" si="1"/>
        <v>-283073.66204986157</v>
      </c>
      <c r="S25" s="6">
        <f t="shared" si="2"/>
        <v>55798.315789473694</v>
      </c>
      <c r="T25" s="6">
        <f t="shared" si="3"/>
        <v>4.2105263055418618E-3</v>
      </c>
      <c r="U25" s="6">
        <v>10601.68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66400</v>
      </c>
      <c r="AL25" s="5" t="s">
        <v>45</v>
      </c>
      <c r="AM25" s="5" t="s">
        <v>46</v>
      </c>
      <c r="AN25" s="3"/>
    </row>
    <row r="26" spans="1:40" s="5" customFormat="1" ht="12.75" x14ac:dyDescent="0.2">
      <c r="A26" s="5" t="s">
        <v>32</v>
      </c>
      <c r="B26" s="5" t="s">
        <v>109</v>
      </c>
      <c r="C26" s="5" t="s">
        <v>110</v>
      </c>
      <c r="D26" s="5" t="s">
        <v>111</v>
      </c>
      <c r="E26" s="5" t="s">
        <v>36</v>
      </c>
      <c r="F26" s="5" t="s">
        <v>37</v>
      </c>
      <c r="G26" s="5" t="s">
        <v>38</v>
      </c>
      <c r="H26" s="5" t="s">
        <v>96</v>
      </c>
      <c r="I26" s="5" t="s">
        <v>112</v>
      </c>
      <c r="J26" s="5" t="s">
        <v>113</v>
      </c>
      <c r="K26" s="5" t="s">
        <v>114</v>
      </c>
      <c r="L26" s="5" t="s">
        <v>43</v>
      </c>
      <c r="M26" s="5" t="s">
        <v>1031</v>
      </c>
      <c r="N26" s="5" t="s">
        <v>1020</v>
      </c>
      <c r="O26" s="5" t="s">
        <v>1002</v>
      </c>
      <c r="P26" s="5" t="s">
        <v>115</v>
      </c>
      <c r="Q26" s="3">
        <f t="shared" si="0"/>
        <v>0</v>
      </c>
      <c r="R26" s="8">
        <f t="shared" si="1"/>
        <v>160000</v>
      </c>
      <c r="S26" s="6">
        <f t="shared" si="2"/>
        <v>0</v>
      </c>
      <c r="T26" s="6">
        <f t="shared" si="3"/>
        <v>160000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160000</v>
      </c>
      <c r="AL26" s="5" t="s">
        <v>45</v>
      </c>
      <c r="AM26" s="5" t="s">
        <v>46</v>
      </c>
    </row>
    <row r="27" spans="1:40" s="3" customFormat="1" ht="12.75" x14ac:dyDescent="0.2">
      <c r="A27" s="5" t="s">
        <v>32</v>
      </c>
      <c r="B27" s="5" t="s">
        <v>383</v>
      </c>
      <c r="C27" s="5" t="s">
        <v>384</v>
      </c>
      <c r="D27" s="5" t="s">
        <v>111</v>
      </c>
      <c r="E27" s="5" t="s">
        <v>36</v>
      </c>
      <c r="F27" s="5" t="s">
        <v>37</v>
      </c>
      <c r="G27" s="5" t="s">
        <v>104</v>
      </c>
      <c r="H27" s="5" t="s">
        <v>385</v>
      </c>
      <c r="I27" s="5" t="s">
        <v>386</v>
      </c>
      <c r="J27" s="5" t="s">
        <v>113</v>
      </c>
      <c r="K27" s="5" t="s">
        <v>114</v>
      </c>
      <c r="L27" s="5" t="s">
        <v>43</v>
      </c>
      <c r="M27" s="5" t="s">
        <v>1031</v>
      </c>
      <c r="N27" s="5" t="s">
        <v>1020</v>
      </c>
      <c r="O27" s="5" t="s">
        <v>1002</v>
      </c>
      <c r="P27" s="5" t="s">
        <v>115</v>
      </c>
      <c r="Q27" s="3">
        <f t="shared" si="0"/>
        <v>0</v>
      </c>
      <c r="R27" s="8">
        <f t="shared" si="1"/>
        <v>100000</v>
      </c>
      <c r="S27" s="6">
        <f t="shared" si="2"/>
        <v>0</v>
      </c>
      <c r="T27" s="6">
        <f t="shared" si="3"/>
        <v>100000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100000</v>
      </c>
      <c r="AL27" s="5" t="s">
        <v>45</v>
      </c>
      <c r="AM27" s="5" t="s">
        <v>46</v>
      </c>
      <c r="AN27" s="5"/>
    </row>
    <row r="28" spans="1:40" s="5" customFormat="1" ht="12.75" x14ac:dyDescent="0.2">
      <c r="A28" s="5" t="s">
        <v>32</v>
      </c>
      <c r="B28" s="5" t="s">
        <v>918</v>
      </c>
      <c r="C28" s="5" t="s">
        <v>919</v>
      </c>
      <c r="D28" s="5" t="s">
        <v>920</v>
      </c>
      <c r="E28" s="5" t="s">
        <v>36</v>
      </c>
      <c r="F28" s="5" t="s">
        <v>37</v>
      </c>
      <c r="G28" s="5" t="s">
        <v>88</v>
      </c>
      <c r="H28" s="5" t="s">
        <v>921</v>
      </c>
      <c r="I28" s="5" t="s">
        <v>922</v>
      </c>
      <c r="J28" s="5" t="s">
        <v>923</v>
      </c>
      <c r="K28" s="5" t="s">
        <v>924</v>
      </c>
      <c r="L28" s="5" t="s">
        <v>43</v>
      </c>
      <c r="M28" s="5" t="s">
        <v>1032</v>
      </c>
      <c r="N28" s="5" t="s">
        <v>1020</v>
      </c>
      <c r="O28" s="5" t="s">
        <v>1002</v>
      </c>
      <c r="P28" s="5" t="s">
        <v>69</v>
      </c>
      <c r="Q28" s="3">
        <f t="shared" si="0"/>
        <v>1547987.5346260387</v>
      </c>
      <c r="R28" s="8">
        <f t="shared" si="1"/>
        <v>-1492105.1662049862</v>
      </c>
      <c r="S28" s="6">
        <f t="shared" si="2"/>
        <v>294117.63157894736</v>
      </c>
      <c r="T28" s="6">
        <f t="shared" si="3"/>
        <v>1.8421052642224822E-2</v>
      </c>
      <c r="U28" s="6">
        <v>55882.35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350000</v>
      </c>
      <c r="AL28" s="5" t="s">
        <v>45</v>
      </c>
      <c r="AM28" s="5" t="s">
        <v>46</v>
      </c>
    </row>
    <row r="29" spans="1:40" s="5" customFormat="1" ht="12.75" x14ac:dyDescent="0.2">
      <c r="A29" s="5" t="s">
        <v>32</v>
      </c>
      <c r="B29" s="5" t="s">
        <v>704</v>
      </c>
      <c r="C29" s="5" t="s">
        <v>705</v>
      </c>
      <c r="D29" s="5" t="s">
        <v>706</v>
      </c>
      <c r="E29" s="5" t="s">
        <v>36</v>
      </c>
      <c r="F29" s="5" t="s">
        <v>37</v>
      </c>
      <c r="G29" s="5" t="s">
        <v>176</v>
      </c>
      <c r="H29" s="5" t="s">
        <v>707</v>
      </c>
      <c r="I29" s="5" t="s">
        <v>708</v>
      </c>
      <c r="J29" s="5" t="s">
        <v>709</v>
      </c>
      <c r="K29" s="5" t="s">
        <v>710</v>
      </c>
      <c r="L29" s="5" t="s">
        <v>43</v>
      </c>
      <c r="M29" s="5" t="s">
        <v>1033</v>
      </c>
      <c r="N29" s="5" t="s">
        <v>1020</v>
      </c>
      <c r="O29" s="5" t="s">
        <v>1002</v>
      </c>
      <c r="P29" s="5" t="s">
        <v>44</v>
      </c>
      <c r="Q29" s="3">
        <f t="shared" si="0"/>
        <v>8381815.7894736836</v>
      </c>
      <c r="R29" s="8">
        <f t="shared" si="1"/>
        <v>-8079231.7894736836</v>
      </c>
      <c r="S29" s="6">
        <f t="shared" si="2"/>
        <v>1592545</v>
      </c>
      <c r="T29" s="6">
        <f t="shared" si="3"/>
        <v>0.45000000001164153</v>
      </c>
      <c r="U29" s="6">
        <v>302583.55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1895129</v>
      </c>
      <c r="AL29" s="5" t="s">
        <v>45</v>
      </c>
      <c r="AM29" s="5" t="s">
        <v>46</v>
      </c>
    </row>
    <row r="30" spans="1:40" s="5" customFormat="1" ht="12.75" x14ac:dyDescent="0.2">
      <c r="A30" s="5" t="s">
        <v>32</v>
      </c>
      <c r="B30" s="5" t="s">
        <v>523</v>
      </c>
      <c r="C30" s="5" t="s">
        <v>524</v>
      </c>
      <c r="D30" s="5" t="s">
        <v>525</v>
      </c>
      <c r="E30" s="5" t="s">
        <v>36</v>
      </c>
      <c r="F30" s="5" t="s">
        <v>37</v>
      </c>
      <c r="G30" s="5" t="s">
        <v>65</v>
      </c>
      <c r="H30" s="5" t="s">
        <v>507</v>
      </c>
      <c r="I30" s="5" t="s">
        <v>526</v>
      </c>
      <c r="J30" s="5" t="s">
        <v>527</v>
      </c>
      <c r="K30" s="5" t="s">
        <v>528</v>
      </c>
      <c r="L30" s="5" t="s">
        <v>43</v>
      </c>
      <c r="M30" s="5" t="s">
        <v>1034</v>
      </c>
      <c r="N30" s="5" t="s">
        <v>1020</v>
      </c>
      <c r="O30" s="5" t="s">
        <v>1002</v>
      </c>
      <c r="P30" s="5" t="s">
        <v>69</v>
      </c>
      <c r="Q30" s="3">
        <f t="shared" si="0"/>
        <v>1654135.1800554018</v>
      </c>
      <c r="R30" s="8">
        <f t="shared" si="1"/>
        <v>-1594420.9042659281</v>
      </c>
      <c r="S30" s="6">
        <f t="shared" si="2"/>
        <v>314285.68421052635</v>
      </c>
      <c r="T30" s="6">
        <f t="shared" si="3"/>
        <v>-4.2105263273697346E-3</v>
      </c>
      <c r="U30" s="6">
        <v>59714.28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373999.96</v>
      </c>
      <c r="AL30" s="5" t="s">
        <v>45</v>
      </c>
      <c r="AM30" s="5" t="s">
        <v>46</v>
      </c>
    </row>
    <row r="31" spans="1:40" s="5" customFormat="1" ht="12.75" x14ac:dyDescent="0.2">
      <c r="A31" s="5" t="s">
        <v>32</v>
      </c>
      <c r="B31" s="5" t="s">
        <v>302</v>
      </c>
      <c r="C31" s="5" t="s">
        <v>303</v>
      </c>
      <c r="D31" s="5" t="s">
        <v>304</v>
      </c>
      <c r="E31" s="5" t="s">
        <v>36</v>
      </c>
      <c r="F31" s="5" t="s">
        <v>37</v>
      </c>
      <c r="G31" s="5" t="s">
        <v>88</v>
      </c>
      <c r="H31" s="5" t="s">
        <v>305</v>
      </c>
      <c r="I31" s="5" t="s">
        <v>306</v>
      </c>
      <c r="J31" s="5" t="s">
        <v>307</v>
      </c>
      <c r="K31" s="5" t="s">
        <v>308</v>
      </c>
      <c r="L31" s="5" t="s">
        <v>43</v>
      </c>
      <c r="M31" s="5" t="s">
        <v>1035</v>
      </c>
      <c r="N31" s="5" t="s">
        <v>1020</v>
      </c>
      <c r="O31" s="5" t="s">
        <v>1002</v>
      </c>
      <c r="P31" s="5" t="s">
        <v>69</v>
      </c>
      <c r="Q31" s="3">
        <f t="shared" si="0"/>
        <v>0</v>
      </c>
      <c r="R31" s="8">
        <f t="shared" si="1"/>
        <v>172590</v>
      </c>
      <c r="S31" s="6">
        <f t="shared" si="2"/>
        <v>0</v>
      </c>
      <c r="T31" s="6">
        <f t="shared" si="3"/>
        <v>172590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172590</v>
      </c>
      <c r="AL31" s="5" t="s">
        <v>45</v>
      </c>
      <c r="AM31" s="5" t="s">
        <v>46</v>
      </c>
    </row>
    <row r="32" spans="1:40" s="5" customFormat="1" ht="12.75" x14ac:dyDescent="0.2">
      <c r="A32" s="5" t="s">
        <v>32</v>
      </c>
      <c r="B32" s="5" t="s">
        <v>179</v>
      </c>
      <c r="C32" s="5" t="s">
        <v>180</v>
      </c>
      <c r="D32" s="5" t="s">
        <v>181</v>
      </c>
      <c r="E32" s="5" t="s">
        <v>36</v>
      </c>
      <c r="F32" s="5" t="s">
        <v>37</v>
      </c>
      <c r="G32" s="5" t="s">
        <v>38</v>
      </c>
      <c r="H32" s="5" t="s">
        <v>182</v>
      </c>
      <c r="I32" s="5" t="s">
        <v>183</v>
      </c>
      <c r="J32" s="5" t="s">
        <v>184</v>
      </c>
      <c r="K32" s="5" t="s">
        <v>185</v>
      </c>
      <c r="L32" s="5" t="s">
        <v>43</v>
      </c>
      <c r="M32" s="5" t="s">
        <v>1036</v>
      </c>
      <c r="N32" s="5" t="s">
        <v>1020</v>
      </c>
      <c r="O32" s="5" t="s">
        <v>1002</v>
      </c>
      <c r="P32" s="5" t="s">
        <v>44</v>
      </c>
      <c r="Q32" s="3">
        <f t="shared" si="0"/>
        <v>0</v>
      </c>
      <c r="R32" s="8">
        <f t="shared" si="1"/>
        <v>170356</v>
      </c>
      <c r="S32" s="6">
        <f t="shared" si="2"/>
        <v>0</v>
      </c>
      <c r="T32" s="6">
        <f t="shared" si="3"/>
        <v>170356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170356</v>
      </c>
      <c r="AL32" s="5" t="s">
        <v>45</v>
      </c>
      <c r="AM32" s="5" t="s">
        <v>46</v>
      </c>
    </row>
    <row r="33" spans="1:39" s="5" customFormat="1" ht="12.75" x14ac:dyDescent="0.2">
      <c r="A33" s="5" t="s">
        <v>32</v>
      </c>
      <c r="B33" s="5" t="s">
        <v>336</v>
      </c>
      <c r="C33" s="5" t="s">
        <v>337</v>
      </c>
      <c r="D33" s="5" t="s">
        <v>181</v>
      </c>
      <c r="E33" s="5" t="s">
        <v>36</v>
      </c>
      <c r="F33" s="5" t="s">
        <v>37</v>
      </c>
      <c r="G33" s="5" t="s">
        <v>88</v>
      </c>
      <c r="H33" s="5" t="s">
        <v>334</v>
      </c>
      <c r="I33" s="5" t="s">
        <v>338</v>
      </c>
      <c r="J33" s="5" t="s">
        <v>184</v>
      </c>
      <c r="K33" s="5" t="s">
        <v>185</v>
      </c>
      <c r="L33" s="5" t="s">
        <v>43</v>
      </c>
      <c r="M33" s="5" t="s">
        <v>1036</v>
      </c>
      <c r="N33" s="5" t="s">
        <v>1020</v>
      </c>
      <c r="O33" s="5" t="s">
        <v>1002</v>
      </c>
      <c r="P33" s="5" t="s">
        <v>44</v>
      </c>
      <c r="Q33" s="3">
        <f t="shared" si="0"/>
        <v>0</v>
      </c>
      <c r="R33" s="8">
        <f t="shared" si="1"/>
        <v>100000</v>
      </c>
      <c r="S33" s="6">
        <f t="shared" si="2"/>
        <v>0</v>
      </c>
      <c r="T33" s="6">
        <f t="shared" si="3"/>
        <v>100000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100000</v>
      </c>
      <c r="AL33" s="5" t="s">
        <v>45</v>
      </c>
      <c r="AM33" s="5" t="s">
        <v>46</v>
      </c>
    </row>
    <row r="34" spans="1:39" s="5" customFormat="1" ht="12.75" x14ac:dyDescent="0.2">
      <c r="A34" s="5" t="s">
        <v>32</v>
      </c>
      <c r="B34" s="5" t="s">
        <v>376</v>
      </c>
      <c r="C34" s="5" t="s">
        <v>377</v>
      </c>
      <c r="D34" s="5" t="s">
        <v>181</v>
      </c>
      <c r="E34" s="5" t="s">
        <v>36</v>
      </c>
      <c r="F34" s="5" t="s">
        <v>37</v>
      </c>
      <c r="G34" s="5" t="s">
        <v>88</v>
      </c>
      <c r="H34" s="5" t="s">
        <v>374</v>
      </c>
      <c r="I34" s="5" t="s">
        <v>378</v>
      </c>
      <c r="J34" s="5" t="s">
        <v>184</v>
      </c>
      <c r="K34" s="5" t="s">
        <v>185</v>
      </c>
      <c r="L34" s="5" t="s">
        <v>43</v>
      </c>
      <c r="M34" s="5" t="s">
        <v>1036</v>
      </c>
      <c r="N34" s="5" t="s">
        <v>1020</v>
      </c>
      <c r="O34" s="5" t="s">
        <v>1002</v>
      </c>
      <c r="P34" s="5" t="s">
        <v>44</v>
      </c>
      <c r="Q34" s="3">
        <f t="shared" si="0"/>
        <v>0</v>
      </c>
      <c r="R34" s="8">
        <f t="shared" si="1"/>
        <v>100000</v>
      </c>
      <c r="S34" s="6">
        <f t="shared" si="2"/>
        <v>0</v>
      </c>
      <c r="T34" s="6">
        <f t="shared" si="3"/>
        <v>100000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100000</v>
      </c>
      <c r="AL34" s="5" t="s">
        <v>45</v>
      </c>
      <c r="AM34" s="5" t="s">
        <v>46</v>
      </c>
    </row>
    <row r="35" spans="1:39" s="5" customFormat="1" ht="12.75" x14ac:dyDescent="0.2">
      <c r="A35" s="5" t="s">
        <v>32</v>
      </c>
      <c r="B35" s="5" t="s">
        <v>484</v>
      </c>
      <c r="C35" s="5" t="s">
        <v>485</v>
      </c>
      <c r="D35" s="5" t="s">
        <v>181</v>
      </c>
      <c r="E35" s="5" t="s">
        <v>36</v>
      </c>
      <c r="F35" s="5" t="s">
        <v>37</v>
      </c>
      <c r="G35" s="5" t="s">
        <v>88</v>
      </c>
      <c r="H35" s="5" t="s">
        <v>486</v>
      </c>
      <c r="I35" s="5" t="s">
        <v>487</v>
      </c>
      <c r="J35" s="5" t="s">
        <v>184</v>
      </c>
      <c r="K35" s="5" t="s">
        <v>185</v>
      </c>
      <c r="L35" s="5" t="s">
        <v>43</v>
      </c>
      <c r="M35" s="5" t="s">
        <v>1036</v>
      </c>
      <c r="N35" s="5" t="s">
        <v>1020</v>
      </c>
      <c r="O35" s="5" t="s">
        <v>1002</v>
      </c>
      <c r="P35" s="5" t="s">
        <v>44</v>
      </c>
      <c r="Q35" s="3">
        <f t="shared" ref="Q35:Q66" si="4">+S35/19*100</f>
        <v>0</v>
      </c>
      <c r="R35" s="8">
        <f t="shared" ref="R35:R66" si="5">+AK35-Q35-S35</f>
        <v>100000</v>
      </c>
      <c r="S35" s="6">
        <f t="shared" ref="S35:S66" si="6">+U35/19*100</f>
        <v>0</v>
      </c>
      <c r="T35" s="6">
        <f t="shared" ref="T35:T66" si="7">+AK35-S35-U35</f>
        <v>100000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100000</v>
      </c>
      <c r="AL35" s="5" t="s">
        <v>45</v>
      </c>
      <c r="AM35" s="5" t="s">
        <v>46</v>
      </c>
    </row>
    <row r="36" spans="1:39" s="5" customFormat="1" ht="12.75" x14ac:dyDescent="0.2">
      <c r="A36" s="5" t="s">
        <v>32</v>
      </c>
      <c r="B36" s="5" t="s">
        <v>619</v>
      </c>
      <c r="C36" s="5" t="s">
        <v>620</v>
      </c>
      <c r="D36" s="5" t="s">
        <v>181</v>
      </c>
      <c r="E36" s="5" t="s">
        <v>36</v>
      </c>
      <c r="F36" s="5" t="s">
        <v>37</v>
      </c>
      <c r="G36" s="5" t="s">
        <v>88</v>
      </c>
      <c r="H36" s="5" t="s">
        <v>621</v>
      </c>
      <c r="I36" s="5" t="s">
        <v>622</v>
      </c>
      <c r="J36" s="5" t="s">
        <v>184</v>
      </c>
      <c r="K36" s="5" t="s">
        <v>185</v>
      </c>
      <c r="L36" s="5" t="s">
        <v>43</v>
      </c>
      <c r="M36" s="5" t="s">
        <v>1036</v>
      </c>
      <c r="N36" s="5" t="s">
        <v>1020</v>
      </c>
      <c r="O36" s="5" t="s">
        <v>1002</v>
      </c>
      <c r="P36" s="5" t="s">
        <v>44</v>
      </c>
      <c r="Q36" s="3">
        <f t="shared" si="4"/>
        <v>0</v>
      </c>
      <c r="R36" s="8">
        <f t="shared" si="5"/>
        <v>175043</v>
      </c>
      <c r="S36" s="6">
        <f t="shared" si="6"/>
        <v>0</v>
      </c>
      <c r="T36" s="6">
        <f t="shared" si="7"/>
        <v>175043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175043</v>
      </c>
      <c r="AL36" s="5" t="s">
        <v>45</v>
      </c>
      <c r="AM36" s="5" t="s">
        <v>46</v>
      </c>
    </row>
    <row r="37" spans="1:39" s="5" customFormat="1" ht="12.75" x14ac:dyDescent="0.2">
      <c r="A37" s="5" t="s">
        <v>32</v>
      </c>
      <c r="B37" s="5" t="s">
        <v>631</v>
      </c>
      <c r="C37" s="5" t="s">
        <v>632</v>
      </c>
      <c r="D37" s="5" t="s">
        <v>181</v>
      </c>
      <c r="E37" s="5" t="s">
        <v>36</v>
      </c>
      <c r="F37" s="5" t="s">
        <v>37</v>
      </c>
      <c r="G37" s="5" t="s">
        <v>88</v>
      </c>
      <c r="H37" s="5" t="s">
        <v>633</v>
      </c>
      <c r="I37" s="5" t="s">
        <v>634</v>
      </c>
      <c r="J37" s="5" t="s">
        <v>184</v>
      </c>
      <c r="K37" s="5" t="s">
        <v>185</v>
      </c>
      <c r="L37" s="5" t="s">
        <v>43</v>
      </c>
      <c r="M37" s="5" t="s">
        <v>1036</v>
      </c>
      <c r="N37" s="5" t="s">
        <v>1020</v>
      </c>
      <c r="O37" s="5" t="s">
        <v>1002</v>
      </c>
      <c r="P37" s="5" t="s">
        <v>44</v>
      </c>
      <c r="Q37" s="3">
        <f t="shared" si="4"/>
        <v>0</v>
      </c>
      <c r="R37" s="8">
        <f t="shared" si="5"/>
        <v>175890</v>
      </c>
      <c r="S37" s="6">
        <f t="shared" si="6"/>
        <v>0</v>
      </c>
      <c r="T37" s="6">
        <f t="shared" si="7"/>
        <v>175890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175890</v>
      </c>
      <c r="AL37" s="5" t="s">
        <v>45</v>
      </c>
      <c r="AM37" s="5" t="s">
        <v>46</v>
      </c>
    </row>
    <row r="38" spans="1:39" s="5" customFormat="1" ht="12.75" x14ac:dyDescent="0.2">
      <c r="A38" s="5" t="s">
        <v>32</v>
      </c>
      <c r="B38" s="5" t="s">
        <v>725</v>
      </c>
      <c r="C38" s="5" t="s">
        <v>726</v>
      </c>
      <c r="D38" s="5" t="s">
        <v>181</v>
      </c>
      <c r="E38" s="5" t="s">
        <v>36</v>
      </c>
      <c r="F38" s="5" t="s">
        <v>37</v>
      </c>
      <c r="G38" s="5" t="s">
        <v>88</v>
      </c>
      <c r="H38" s="5" t="s">
        <v>721</v>
      </c>
      <c r="I38" s="5" t="s">
        <v>727</v>
      </c>
      <c r="J38" s="5" t="s">
        <v>184</v>
      </c>
      <c r="K38" s="5" t="s">
        <v>185</v>
      </c>
      <c r="L38" s="5" t="s">
        <v>43</v>
      </c>
      <c r="M38" s="5" t="s">
        <v>1036</v>
      </c>
      <c r="N38" s="5" t="s">
        <v>1020</v>
      </c>
      <c r="O38" s="5" t="s">
        <v>1002</v>
      </c>
      <c r="P38" s="5" t="s">
        <v>44</v>
      </c>
      <c r="Q38" s="3">
        <f t="shared" si="4"/>
        <v>0</v>
      </c>
      <c r="R38" s="8">
        <f t="shared" si="5"/>
        <v>175890</v>
      </c>
      <c r="S38" s="6">
        <f t="shared" si="6"/>
        <v>0</v>
      </c>
      <c r="T38" s="6">
        <f t="shared" si="7"/>
        <v>175890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175890</v>
      </c>
      <c r="AL38" s="5" t="s">
        <v>45</v>
      </c>
      <c r="AM38" s="5" t="s">
        <v>46</v>
      </c>
    </row>
    <row r="39" spans="1:39" s="5" customFormat="1" ht="12.75" x14ac:dyDescent="0.2">
      <c r="A39" s="5" t="s">
        <v>32</v>
      </c>
      <c r="B39" s="5" t="s">
        <v>938</v>
      </c>
      <c r="C39" s="5" t="s">
        <v>939</v>
      </c>
      <c r="D39" s="5" t="s">
        <v>181</v>
      </c>
      <c r="E39" s="5" t="s">
        <v>36</v>
      </c>
      <c r="F39" s="5" t="s">
        <v>37</v>
      </c>
      <c r="G39" s="5" t="s">
        <v>38</v>
      </c>
      <c r="H39" s="5" t="s">
        <v>940</v>
      </c>
      <c r="I39" s="5" t="s">
        <v>941</v>
      </c>
      <c r="J39" s="5" t="s">
        <v>184</v>
      </c>
      <c r="K39" s="5" t="s">
        <v>185</v>
      </c>
      <c r="L39" s="5" t="s">
        <v>43</v>
      </c>
      <c r="M39" s="5" t="s">
        <v>1036</v>
      </c>
      <c r="N39" s="5" t="s">
        <v>1020</v>
      </c>
      <c r="O39" s="5" t="s">
        <v>1002</v>
      </c>
      <c r="P39" s="5" t="s">
        <v>44</v>
      </c>
      <c r="Q39" s="3">
        <f t="shared" si="4"/>
        <v>0</v>
      </c>
      <c r="R39" s="8">
        <f t="shared" si="5"/>
        <v>166527.01</v>
      </c>
      <c r="S39" s="6">
        <f t="shared" si="6"/>
        <v>0</v>
      </c>
      <c r="T39" s="6">
        <f t="shared" si="7"/>
        <v>166527.01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166527.01</v>
      </c>
      <c r="AL39" s="5" t="s">
        <v>45</v>
      </c>
      <c r="AM39" s="5" t="s">
        <v>46</v>
      </c>
    </row>
    <row r="40" spans="1:39" s="5" customFormat="1" ht="12.75" x14ac:dyDescent="0.2">
      <c r="A40" s="5" t="s">
        <v>32</v>
      </c>
      <c r="B40" s="5" t="s">
        <v>956</v>
      </c>
      <c r="C40" s="5" t="s">
        <v>957</v>
      </c>
      <c r="D40" s="5" t="s">
        <v>181</v>
      </c>
      <c r="E40" s="5" t="s">
        <v>36</v>
      </c>
      <c r="F40" s="5" t="s">
        <v>37</v>
      </c>
      <c r="G40" s="5" t="s">
        <v>88</v>
      </c>
      <c r="H40" s="5" t="s">
        <v>958</v>
      </c>
      <c r="I40" s="5" t="s">
        <v>959</v>
      </c>
      <c r="J40" s="5" t="s">
        <v>184</v>
      </c>
      <c r="K40" s="5" t="s">
        <v>185</v>
      </c>
      <c r="L40" s="5" t="s">
        <v>43</v>
      </c>
      <c r="M40" s="5" t="s">
        <v>1036</v>
      </c>
      <c r="N40" s="5" t="s">
        <v>1020</v>
      </c>
      <c r="O40" s="5" t="s">
        <v>1002</v>
      </c>
      <c r="P40" s="5" t="s">
        <v>44</v>
      </c>
      <c r="Q40" s="3">
        <f t="shared" si="4"/>
        <v>0</v>
      </c>
      <c r="R40" s="8">
        <f t="shared" si="5"/>
        <v>100000</v>
      </c>
      <c r="S40" s="6">
        <f t="shared" si="6"/>
        <v>0</v>
      </c>
      <c r="T40" s="6">
        <f t="shared" si="7"/>
        <v>100000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100000</v>
      </c>
      <c r="AL40" s="5" t="s">
        <v>45</v>
      </c>
      <c r="AM40" s="5" t="s">
        <v>46</v>
      </c>
    </row>
    <row r="41" spans="1:39" s="5" customFormat="1" ht="12.75" x14ac:dyDescent="0.2">
      <c r="A41" s="5" t="s">
        <v>32</v>
      </c>
      <c r="B41" s="5" t="s">
        <v>970</v>
      </c>
      <c r="C41" s="5" t="s">
        <v>971</v>
      </c>
      <c r="D41" s="5" t="s">
        <v>181</v>
      </c>
      <c r="E41" s="5" t="s">
        <v>36</v>
      </c>
      <c r="F41" s="5" t="s">
        <v>37</v>
      </c>
      <c r="G41" s="5" t="s">
        <v>38</v>
      </c>
      <c r="H41" s="5" t="s">
        <v>972</v>
      </c>
      <c r="I41" s="5" t="s">
        <v>973</v>
      </c>
      <c r="J41" s="5" t="s">
        <v>184</v>
      </c>
      <c r="K41" s="5" t="s">
        <v>185</v>
      </c>
      <c r="L41" s="5" t="s">
        <v>43</v>
      </c>
      <c r="M41" s="5" t="s">
        <v>1036</v>
      </c>
      <c r="N41" s="5" t="s">
        <v>1020</v>
      </c>
      <c r="O41" s="5" t="s">
        <v>1002</v>
      </c>
      <c r="P41" s="5" t="s">
        <v>44</v>
      </c>
      <c r="Q41" s="3">
        <f t="shared" si="4"/>
        <v>0</v>
      </c>
      <c r="R41" s="8">
        <f t="shared" si="5"/>
        <v>100000</v>
      </c>
      <c r="S41" s="6">
        <f t="shared" si="6"/>
        <v>0</v>
      </c>
      <c r="T41" s="6">
        <f t="shared" si="7"/>
        <v>100000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100000</v>
      </c>
      <c r="AL41" s="5" t="s">
        <v>45</v>
      </c>
      <c r="AM41" s="5" t="s">
        <v>46</v>
      </c>
    </row>
    <row r="42" spans="1:39" s="5" customFormat="1" ht="12.75" x14ac:dyDescent="0.2">
      <c r="A42" s="5" t="s">
        <v>32</v>
      </c>
      <c r="B42" s="5" t="s">
        <v>985</v>
      </c>
      <c r="C42" s="5" t="s">
        <v>986</v>
      </c>
      <c r="D42" s="5" t="s">
        <v>181</v>
      </c>
      <c r="E42" s="5" t="s">
        <v>36</v>
      </c>
      <c r="F42" s="5" t="s">
        <v>252</v>
      </c>
      <c r="G42" s="5" t="s">
        <v>252</v>
      </c>
      <c r="H42" s="5" t="s">
        <v>987</v>
      </c>
      <c r="I42" s="5" t="s">
        <v>988</v>
      </c>
      <c r="J42" s="5" t="s">
        <v>184</v>
      </c>
      <c r="K42" s="5" t="s">
        <v>185</v>
      </c>
      <c r="L42" s="5" t="s">
        <v>43</v>
      </c>
      <c r="M42" s="5" t="s">
        <v>1036</v>
      </c>
      <c r="N42" s="5" t="s">
        <v>1020</v>
      </c>
      <c r="O42" s="5" t="s">
        <v>1002</v>
      </c>
      <c r="P42" s="5" t="s">
        <v>44</v>
      </c>
      <c r="Q42" s="3">
        <f t="shared" si="4"/>
        <v>0</v>
      </c>
      <c r="R42" s="8">
        <f t="shared" si="5"/>
        <v>170970</v>
      </c>
      <c r="S42" s="6">
        <f t="shared" si="6"/>
        <v>0</v>
      </c>
      <c r="T42" s="6">
        <f t="shared" si="7"/>
        <v>170970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170970</v>
      </c>
      <c r="AL42" s="5" t="s">
        <v>45</v>
      </c>
      <c r="AM42" s="5" t="s">
        <v>46</v>
      </c>
    </row>
    <row r="43" spans="1:39" s="5" customFormat="1" ht="12.75" x14ac:dyDescent="0.2">
      <c r="A43" s="5" t="s">
        <v>32</v>
      </c>
      <c r="B43" s="5" t="s">
        <v>989</v>
      </c>
      <c r="C43" s="5" t="s">
        <v>990</v>
      </c>
      <c r="D43" s="5" t="s">
        <v>181</v>
      </c>
      <c r="E43" s="5" t="s">
        <v>36</v>
      </c>
      <c r="F43" s="5" t="s">
        <v>252</v>
      </c>
      <c r="G43" s="5" t="s">
        <v>252</v>
      </c>
      <c r="H43" s="5" t="s">
        <v>991</v>
      </c>
      <c r="I43" s="5" t="s">
        <v>992</v>
      </c>
      <c r="J43" s="5" t="s">
        <v>184</v>
      </c>
      <c r="K43" s="5" t="s">
        <v>185</v>
      </c>
      <c r="L43" s="5" t="s">
        <v>43</v>
      </c>
      <c r="M43" s="5" t="s">
        <v>1036</v>
      </c>
      <c r="N43" s="5" t="s">
        <v>1020</v>
      </c>
      <c r="O43" s="5" t="s">
        <v>1002</v>
      </c>
      <c r="P43" s="5" t="s">
        <v>44</v>
      </c>
      <c r="Q43" s="3">
        <f t="shared" si="4"/>
        <v>0</v>
      </c>
      <c r="R43" s="8">
        <f t="shared" si="5"/>
        <v>50000</v>
      </c>
      <c r="S43" s="6">
        <f t="shared" si="6"/>
        <v>0</v>
      </c>
      <c r="T43" s="6">
        <f t="shared" si="7"/>
        <v>50000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50000</v>
      </c>
      <c r="AL43" s="5" t="s">
        <v>45</v>
      </c>
      <c r="AM43" s="5" t="s">
        <v>46</v>
      </c>
    </row>
    <row r="44" spans="1:39" s="5" customFormat="1" ht="12.75" x14ac:dyDescent="0.2">
      <c r="A44" s="5" t="s">
        <v>32</v>
      </c>
      <c r="B44" s="5" t="s">
        <v>993</v>
      </c>
      <c r="C44" s="5" t="s">
        <v>994</v>
      </c>
      <c r="D44" s="5" t="s">
        <v>181</v>
      </c>
      <c r="E44" s="5" t="s">
        <v>36</v>
      </c>
      <c r="F44" s="5" t="s">
        <v>252</v>
      </c>
      <c r="G44" s="5" t="s">
        <v>252</v>
      </c>
      <c r="H44" s="5" t="s">
        <v>995</v>
      </c>
      <c r="I44" s="5" t="s">
        <v>996</v>
      </c>
      <c r="J44" s="5" t="s">
        <v>184</v>
      </c>
      <c r="K44" s="5" t="s">
        <v>185</v>
      </c>
      <c r="L44" s="5" t="s">
        <v>43</v>
      </c>
      <c r="M44" s="5" t="s">
        <v>1036</v>
      </c>
      <c r="N44" s="5" t="s">
        <v>1020</v>
      </c>
      <c r="O44" s="5" t="s">
        <v>1002</v>
      </c>
      <c r="P44" s="5" t="s">
        <v>44</v>
      </c>
      <c r="Q44" s="3">
        <f t="shared" si="4"/>
        <v>0</v>
      </c>
      <c r="R44" s="8">
        <f t="shared" si="5"/>
        <v>172719</v>
      </c>
      <c r="S44" s="6">
        <f t="shared" si="6"/>
        <v>0</v>
      </c>
      <c r="T44" s="6">
        <f t="shared" si="7"/>
        <v>172719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172719</v>
      </c>
      <c r="AL44" s="5" t="s">
        <v>45</v>
      </c>
      <c r="AM44" s="5" t="s">
        <v>46</v>
      </c>
    </row>
    <row r="45" spans="1:39" s="5" customFormat="1" ht="14.25" x14ac:dyDescent="0.2">
      <c r="A45" s="3" t="s">
        <v>32</v>
      </c>
      <c r="B45" s="3" t="s">
        <v>672</v>
      </c>
      <c r="C45" s="3" t="s">
        <v>673</v>
      </c>
      <c r="D45" s="3" t="s">
        <v>560</v>
      </c>
      <c r="E45" s="3" t="s">
        <v>36</v>
      </c>
      <c r="F45" s="3" t="s">
        <v>37</v>
      </c>
      <c r="G45" s="3" t="s">
        <v>88</v>
      </c>
      <c r="H45" s="3" t="s">
        <v>667</v>
      </c>
      <c r="I45" s="3" t="s">
        <v>674</v>
      </c>
      <c r="J45" s="3" t="s">
        <v>662</v>
      </c>
      <c r="K45" s="3" t="s">
        <v>663</v>
      </c>
      <c r="L45" s="3" t="s">
        <v>43</v>
      </c>
      <c r="M45" s="3" t="s">
        <v>1037</v>
      </c>
      <c r="N45" s="3" t="s">
        <v>1020</v>
      </c>
      <c r="O45" s="3" t="s">
        <v>1002</v>
      </c>
      <c r="P45" s="3" t="s">
        <v>100</v>
      </c>
      <c r="Q45" s="3">
        <f t="shared" si="4"/>
        <v>327288.64265927975</v>
      </c>
      <c r="R45" s="8">
        <f t="shared" si="5"/>
        <v>-315473.4847645429</v>
      </c>
      <c r="S45" s="4">
        <f t="shared" si="6"/>
        <v>62184.84210526316</v>
      </c>
      <c r="T45" s="4">
        <f t="shared" si="7"/>
        <v>3.7894736839007237E-2</v>
      </c>
      <c r="U45" s="4">
        <v>11815.12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74000</v>
      </c>
      <c r="AL45" s="3" t="s">
        <v>45</v>
      </c>
      <c r="AM45" s="3" t="s">
        <v>46</v>
      </c>
    </row>
    <row r="46" spans="1:39" s="5" customFormat="1" ht="12.75" x14ac:dyDescent="0.2">
      <c r="A46" s="5" t="s">
        <v>32</v>
      </c>
      <c r="B46" s="5" t="s">
        <v>978</v>
      </c>
      <c r="C46" s="5" t="s">
        <v>979</v>
      </c>
      <c r="D46" s="5" t="s">
        <v>980</v>
      </c>
      <c r="E46" s="5" t="s">
        <v>36</v>
      </c>
      <c r="F46" s="5" t="s">
        <v>37</v>
      </c>
      <c r="G46" s="5" t="s">
        <v>88</v>
      </c>
      <c r="H46" s="5" t="s">
        <v>981</v>
      </c>
      <c r="I46" s="5" t="s">
        <v>982</v>
      </c>
      <c r="J46" s="5" t="s">
        <v>983</v>
      </c>
      <c r="K46" s="5" t="s">
        <v>984</v>
      </c>
      <c r="L46" s="5" t="s">
        <v>43</v>
      </c>
      <c r="M46" s="5" t="s">
        <v>1038</v>
      </c>
      <c r="N46" s="5" t="s">
        <v>1020</v>
      </c>
      <c r="O46" s="5" t="s">
        <v>1002</v>
      </c>
      <c r="P46" s="5" t="s">
        <v>44</v>
      </c>
      <c r="Q46" s="3">
        <f t="shared" si="4"/>
        <v>1149916.897506925</v>
      </c>
      <c r="R46" s="8">
        <f t="shared" si="5"/>
        <v>-1108401.1080332408</v>
      </c>
      <c r="S46" s="6">
        <f t="shared" si="6"/>
        <v>218484.21052631579</v>
      </c>
      <c r="T46" s="6">
        <f t="shared" si="7"/>
        <v>3.7894736842135899</v>
      </c>
      <c r="U46" s="6">
        <v>41512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260000</v>
      </c>
      <c r="AL46" s="5" t="s">
        <v>45</v>
      </c>
      <c r="AM46" s="5" t="s">
        <v>46</v>
      </c>
    </row>
    <row r="47" spans="1:39" s="5" customFormat="1" ht="12.75" x14ac:dyDescent="0.2">
      <c r="A47" s="5" t="s">
        <v>32</v>
      </c>
      <c r="B47" s="5" t="s">
        <v>134</v>
      </c>
      <c r="C47" s="5" t="s">
        <v>135</v>
      </c>
      <c r="D47" s="5" t="s">
        <v>136</v>
      </c>
      <c r="E47" s="5" t="s">
        <v>36</v>
      </c>
      <c r="F47" s="5" t="s">
        <v>37</v>
      </c>
      <c r="G47" s="5" t="s">
        <v>88</v>
      </c>
      <c r="H47" s="5" t="s">
        <v>137</v>
      </c>
      <c r="I47" s="5" t="s">
        <v>138</v>
      </c>
      <c r="J47" s="5" t="s">
        <v>139</v>
      </c>
      <c r="K47" s="5" t="s">
        <v>140</v>
      </c>
      <c r="L47" s="5" t="s">
        <v>43</v>
      </c>
      <c r="N47" s="5" t="s">
        <v>1020</v>
      </c>
      <c r="O47" s="5" t="s">
        <v>1002</v>
      </c>
      <c r="P47" s="5" t="s">
        <v>141</v>
      </c>
      <c r="Q47" s="3">
        <f t="shared" si="4"/>
        <v>254072.02216066484</v>
      </c>
      <c r="R47" s="8">
        <f t="shared" si="5"/>
        <v>-171145.70637119116</v>
      </c>
      <c r="S47" s="6">
        <f t="shared" si="6"/>
        <v>48273.68421052632</v>
      </c>
      <c r="T47" s="6">
        <f t="shared" si="7"/>
        <v>73754.31578947368</v>
      </c>
      <c r="U47" s="6">
        <v>9172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131200</v>
      </c>
      <c r="AL47" s="5" t="s">
        <v>45</v>
      </c>
      <c r="AM47" s="5" t="s">
        <v>46</v>
      </c>
    </row>
    <row r="48" spans="1:39" s="5" customFormat="1" ht="12.75" x14ac:dyDescent="0.2">
      <c r="A48" s="5" t="s">
        <v>32</v>
      </c>
      <c r="B48" s="5" t="s">
        <v>47</v>
      </c>
      <c r="C48" s="5" t="s">
        <v>48</v>
      </c>
      <c r="D48" s="5" t="s">
        <v>49</v>
      </c>
      <c r="E48" s="5" t="s">
        <v>36</v>
      </c>
      <c r="F48" s="5" t="s">
        <v>37</v>
      </c>
      <c r="G48" s="5" t="s">
        <v>37</v>
      </c>
      <c r="H48" s="5" t="s">
        <v>39</v>
      </c>
      <c r="I48" s="5" t="s">
        <v>50</v>
      </c>
      <c r="J48" s="5" t="s">
        <v>51</v>
      </c>
      <c r="K48" s="5" t="s">
        <v>52</v>
      </c>
      <c r="L48" s="5" t="s">
        <v>43</v>
      </c>
      <c r="M48" s="5" t="s">
        <v>1039</v>
      </c>
      <c r="N48" s="5" t="s">
        <v>1020</v>
      </c>
      <c r="O48" s="5" t="s">
        <v>1002</v>
      </c>
      <c r="P48" s="5" t="s">
        <v>53</v>
      </c>
      <c r="Q48" s="3">
        <f t="shared" si="4"/>
        <v>632463.43490304693</v>
      </c>
      <c r="R48" s="8">
        <f t="shared" si="5"/>
        <v>-609631.48753462592</v>
      </c>
      <c r="S48" s="6">
        <f t="shared" si="6"/>
        <v>120168.05263157893</v>
      </c>
      <c r="T48" s="6">
        <f t="shared" si="7"/>
        <v>1.7368421067658346E-2</v>
      </c>
      <c r="U48" s="6">
        <v>22831.93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143000</v>
      </c>
      <c r="AL48" s="5" t="s">
        <v>45</v>
      </c>
      <c r="AM48" s="5" t="s">
        <v>46</v>
      </c>
    </row>
    <row r="49" spans="1:40" s="5" customFormat="1" ht="12.75" x14ac:dyDescent="0.2">
      <c r="A49" s="5" t="s">
        <v>32</v>
      </c>
      <c r="B49" s="5" t="s">
        <v>54</v>
      </c>
      <c r="C49" s="5" t="s">
        <v>55</v>
      </c>
      <c r="D49" s="5" t="s">
        <v>56</v>
      </c>
      <c r="E49" s="5" t="s">
        <v>36</v>
      </c>
      <c r="F49" s="5" t="s">
        <v>37</v>
      </c>
      <c r="G49" s="5" t="s">
        <v>38</v>
      </c>
      <c r="H49" s="5" t="s">
        <v>57</v>
      </c>
      <c r="I49" s="5" t="s">
        <v>58</v>
      </c>
      <c r="J49" s="5" t="s">
        <v>59</v>
      </c>
      <c r="K49" s="5" t="s">
        <v>60</v>
      </c>
      <c r="L49" s="5" t="s">
        <v>43</v>
      </c>
      <c r="M49" s="5" t="s">
        <v>1040</v>
      </c>
      <c r="N49" s="5" t="s">
        <v>1020</v>
      </c>
      <c r="O49" s="5" t="s">
        <v>1002</v>
      </c>
      <c r="P49" s="5" t="s">
        <v>44</v>
      </c>
      <c r="Q49" s="3">
        <f t="shared" si="4"/>
        <v>45997.229916897508</v>
      </c>
      <c r="R49" s="8">
        <f t="shared" si="5"/>
        <v>-44336.703601108034</v>
      </c>
      <c r="S49" s="6">
        <f t="shared" si="6"/>
        <v>8739.4736842105267</v>
      </c>
      <c r="T49" s="6">
        <f t="shared" si="7"/>
        <v>2.6315789473301265E-2</v>
      </c>
      <c r="U49" s="6">
        <v>1660.5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10400</v>
      </c>
      <c r="AL49" s="5" t="s">
        <v>45</v>
      </c>
      <c r="AM49" s="5" t="s">
        <v>46</v>
      </c>
    </row>
    <row r="50" spans="1:40" s="5" customFormat="1" ht="12.75" x14ac:dyDescent="0.2">
      <c r="A50" s="5" t="s">
        <v>32</v>
      </c>
      <c r="B50" s="5" t="s">
        <v>162</v>
      </c>
      <c r="C50" s="5" t="s">
        <v>163</v>
      </c>
      <c r="D50" s="5" t="s">
        <v>56</v>
      </c>
      <c r="E50" s="5" t="s">
        <v>36</v>
      </c>
      <c r="F50" s="5" t="s">
        <v>37</v>
      </c>
      <c r="G50" s="5" t="s">
        <v>38</v>
      </c>
      <c r="H50" s="5" t="s">
        <v>164</v>
      </c>
      <c r="I50" s="5" t="s">
        <v>165</v>
      </c>
      <c r="J50" s="5" t="s">
        <v>59</v>
      </c>
      <c r="K50" s="5" t="s">
        <v>60</v>
      </c>
      <c r="L50" s="5" t="s">
        <v>43</v>
      </c>
      <c r="M50" s="5" t="s">
        <v>1040</v>
      </c>
      <c r="N50" s="5" t="s">
        <v>1020</v>
      </c>
      <c r="O50" s="5" t="s">
        <v>1002</v>
      </c>
      <c r="P50" s="5" t="s">
        <v>44</v>
      </c>
      <c r="Q50" s="3">
        <f t="shared" si="4"/>
        <v>112781.9944598338</v>
      </c>
      <c r="R50" s="8">
        <f t="shared" si="5"/>
        <v>-108710.57340720223</v>
      </c>
      <c r="S50" s="6">
        <f t="shared" si="6"/>
        <v>21428.57894736842</v>
      </c>
      <c r="T50" s="6">
        <f t="shared" si="7"/>
        <v>-8.9473684197400871E-3</v>
      </c>
      <c r="U50" s="6">
        <v>4071.43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25500</v>
      </c>
      <c r="AL50" s="5" t="s">
        <v>45</v>
      </c>
      <c r="AM50" s="5" t="s">
        <v>46</v>
      </c>
    </row>
    <row r="51" spans="1:40" s="5" customFormat="1" ht="12.75" x14ac:dyDescent="0.2">
      <c r="A51" s="5" t="s">
        <v>32</v>
      </c>
      <c r="B51" s="5" t="s">
        <v>332</v>
      </c>
      <c r="C51" s="5" t="s">
        <v>333</v>
      </c>
      <c r="D51" s="5" t="s">
        <v>56</v>
      </c>
      <c r="E51" s="5" t="s">
        <v>36</v>
      </c>
      <c r="F51" s="5" t="s">
        <v>37</v>
      </c>
      <c r="G51" s="5" t="s">
        <v>38</v>
      </c>
      <c r="H51" s="5" t="s">
        <v>334</v>
      </c>
      <c r="I51" s="5" t="s">
        <v>335</v>
      </c>
      <c r="J51" s="5" t="s">
        <v>59</v>
      </c>
      <c r="K51" s="5" t="s">
        <v>60</v>
      </c>
      <c r="L51" s="5" t="s">
        <v>43</v>
      </c>
      <c r="M51" s="5" t="s">
        <v>1040</v>
      </c>
      <c r="N51" s="5" t="s">
        <v>1020</v>
      </c>
      <c r="O51" s="5" t="s">
        <v>1002</v>
      </c>
      <c r="P51" s="5" t="s">
        <v>44</v>
      </c>
      <c r="Q51" s="3">
        <f t="shared" si="4"/>
        <v>86368.975069252061</v>
      </c>
      <c r="R51" s="8">
        <f t="shared" si="5"/>
        <v>-83251.080332409954</v>
      </c>
      <c r="S51" s="6">
        <f t="shared" si="6"/>
        <v>16410.105263157893</v>
      </c>
      <c r="T51" s="6">
        <f t="shared" si="7"/>
        <v>-2.5263157893277821E-2</v>
      </c>
      <c r="U51" s="6">
        <v>3117.92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19528</v>
      </c>
      <c r="AL51" s="5" t="s">
        <v>45</v>
      </c>
      <c r="AM51" s="5" t="s">
        <v>46</v>
      </c>
    </row>
    <row r="52" spans="1:40" s="5" customFormat="1" ht="12.75" x14ac:dyDescent="0.2">
      <c r="A52" s="5" t="s">
        <v>32</v>
      </c>
      <c r="B52" s="5" t="s">
        <v>291</v>
      </c>
      <c r="C52" s="5" t="s">
        <v>292</v>
      </c>
      <c r="D52" s="5" t="s">
        <v>293</v>
      </c>
      <c r="E52" s="5" t="s">
        <v>36</v>
      </c>
      <c r="F52" s="5" t="s">
        <v>37</v>
      </c>
      <c r="G52" s="5" t="s">
        <v>38</v>
      </c>
      <c r="H52" s="5" t="s">
        <v>294</v>
      </c>
      <c r="I52" s="5" t="s">
        <v>295</v>
      </c>
      <c r="J52" s="5" t="s">
        <v>296</v>
      </c>
      <c r="K52" s="5" t="s">
        <v>297</v>
      </c>
      <c r="L52" s="5" t="s">
        <v>43</v>
      </c>
      <c r="M52" s="5" t="s">
        <v>1041</v>
      </c>
      <c r="N52" s="5" t="s">
        <v>1020</v>
      </c>
      <c r="O52" s="5" t="s">
        <v>1002</v>
      </c>
      <c r="P52" s="5" t="s">
        <v>69</v>
      </c>
      <c r="Q52" s="3">
        <f t="shared" si="4"/>
        <v>0</v>
      </c>
      <c r="R52" s="8">
        <f t="shared" si="5"/>
        <v>250000</v>
      </c>
      <c r="S52" s="6">
        <f t="shared" si="6"/>
        <v>0</v>
      </c>
      <c r="T52" s="6">
        <f t="shared" si="7"/>
        <v>250000</v>
      </c>
      <c r="U52" s="6">
        <v>0</v>
      </c>
      <c r="V52" s="6">
        <v>0</v>
      </c>
      <c r="W52" s="6">
        <v>0</v>
      </c>
      <c r="X52" s="6">
        <v>18000.03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250000</v>
      </c>
      <c r="AL52" s="5" t="s">
        <v>45</v>
      </c>
      <c r="AM52" s="5" t="s">
        <v>46</v>
      </c>
    </row>
    <row r="53" spans="1:40" s="5" customFormat="1" ht="12.75" x14ac:dyDescent="0.2">
      <c r="A53" s="5" t="s">
        <v>32</v>
      </c>
      <c r="B53" s="5" t="s">
        <v>270</v>
      </c>
      <c r="C53" s="5" t="s">
        <v>271</v>
      </c>
      <c r="D53" s="5" t="s">
        <v>272</v>
      </c>
      <c r="E53" s="5" t="s">
        <v>36</v>
      </c>
      <c r="F53" s="5" t="s">
        <v>37</v>
      </c>
      <c r="G53" s="5" t="s">
        <v>38</v>
      </c>
      <c r="H53" s="5" t="s">
        <v>273</v>
      </c>
      <c r="I53" s="5" t="s">
        <v>274</v>
      </c>
      <c r="J53" s="5" t="s">
        <v>275</v>
      </c>
      <c r="K53" s="5" t="s">
        <v>276</v>
      </c>
      <c r="L53" s="5" t="s">
        <v>43</v>
      </c>
      <c r="M53" s="5" t="s">
        <v>1046</v>
      </c>
      <c r="N53" s="5" t="s">
        <v>1020</v>
      </c>
      <c r="O53" s="5" t="s">
        <v>1002</v>
      </c>
      <c r="P53" s="5" t="s">
        <v>277</v>
      </c>
      <c r="Q53" s="3">
        <f t="shared" si="4"/>
        <v>0</v>
      </c>
      <c r="R53" s="8">
        <f t="shared" si="5"/>
        <v>176330</v>
      </c>
      <c r="S53" s="6">
        <f t="shared" si="6"/>
        <v>0</v>
      </c>
      <c r="T53" s="6">
        <f t="shared" si="7"/>
        <v>176330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176330</v>
      </c>
      <c r="AL53" s="5" t="s">
        <v>45</v>
      </c>
      <c r="AM53" s="5" t="s">
        <v>46</v>
      </c>
    </row>
    <row r="54" spans="1:40" s="5" customFormat="1" ht="12.75" x14ac:dyDescent="0.2">
      <c r="A54" s="5" t="s">
        <v>32</v>
      </c>
      <c r="B54" s="5" t="s">
        <v>214</v>
      </c>
      <c r="C54" s="5" t="s">
        <v>215</v>
      </c>
      <c r="D54" s="5" t="s">
        <v>72</v>
      </c>
      <c r="E54" s="5" t="s">
        <v>36</v>
      </c>
      <c r="F54" s="5" t="s">
        <v>37</v>
      </c>
      <c r="G54" s="5" t="s">
        <v>38</v>
      </c>
      <c r="H54" s="5" t="s">
        <v>206</v>
      </c>
      <c r="I54" s="5" t="s">
        <v>216</v>
      </c>
      <c r="J54" s="5" t="s">
        <v>217</v>
      </c>
      <c r="K54" s="5" t="s">
        <v>218</v>
      </c>
      <c r="L54" s="5" t="s">
        <v>43</v>
      </c>
      <c r="M54" s="5" t="s">
        <v>1045</v>
      </c>
      <c r="N54" s="5" t="s">
        <v>1020</v>
      </c>
      <c r="O54" s="5" t="s">
        <v>1002</v>
      </c>
      <c r="P54" s="5" t="s">
        <v>219</v>
      </c>
      <c r="Q54" s="3">
        <f t="shared" si="4"/>
        <v>0</v>
      </c>
      <c r="R54" s="8">
        <f t="shared" si="5"/>
        <v>175329</v>
      </c>
      <c r="S54" s="6">
        <f t="shared" si="6"/>
        <v>0</v>
      </c>
      <c r="T54" s="6">
        <f t="shared" si="7"/>
        <v>175329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175329</v>
      </c>
      <c r="AL54" s="5" t="s">
        <v>45</v>
      </c>
      <c r="AM54" s="5" t="s">
        <v>46</v>
      </c>
    </row>
    <row r="55" spans="1:40" s="5" customFormat="1" ht="12.75" x14ac:dyDescent="0.2">
      <c r="A55" s="5" t="s">
        <v>32</v>
      </c>
      <c r="B55" s="5" t="s">
        <v>533</v>
      </c>
      <c r="C55" s="5" t="s">
        <v>534</v>
      </c>
      <c r="D55" s="5" t="s">
        <v>72</v>
      </c>
      <c r="E55" s="5" t="s">
        <v>36</v>
      </c>
      <c r="F55" s="5" t="s">
        <v>37</v>
      </c>
      <c r="G55" s="5" t="s">
        <v>88</v>
      </c>
      <c r="H55" s="5" t="s">
        <v>514</v>
      </c>
      <c r="I55" s="5" t="s">
        <v>535</v>
      </c>
      <c r="J55" s="5" t="s">
        <v>217</v>
      </c>
      <c r="K55" s="5" t="s">
        <v>218</v>
      </c>
      <c r="L55" s="5" t="s">
        <v>43</v>
      </c>
      <c r="M55" s="5" t="s">
        <v>1045</v>
      </c>
      <c r="N55" s="5" t="s">
        <v>1020</v>
      </c>
      <c r="O55" s="5" t="s">
        <v>1002</v>
      </c>
      <c r="P55" s="5" t="s">
        <v>219</v>
      </c>
      <c r="Q55" s="3">
        <f t="shared" si="4"/>
        <v>0</v>
      </c>
      <c r="R55" s="8">
        <f t="shared" si="5"/>
        <v>176047</v>
      </c>
      <c r="S55" s="6">
        <f t="shared" si="6"/>
        <v>0</v>
      </c>
      <c r="T55" s="6">
        <f t="shared" si="7"/>
        <v>176047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176047</v>
      </c>
      <c r="AL55" s="5" t="s">
        <v>45</v>
      </c>
      <c r="AM55" s="5" t="s">
        <v>46</v>
      </c>
    </row>
    <row r="56" spans="1:40" s="5" customFormat="1" ht="12.75" x14ac:dyDescent="0.2">
      <c r="A56" s="5" t="s">
        <v>32</v>
      </c>
      <c r="B56" s="5" t="s">
        <v>142</v>
      </c>
      <c r="C56" s="5" t="s">
        <v>143</v>
      </c>
      <c r="D56" s="5" t="s">
        <v>144</v>
      </c>
      <c r="E56" s="5" t="s">
        <v>36</v>
      </c>
      <c r="F56" s="5" t="s">
        <v>37</v>
      </c>
      <c r="G56" s="5" t="s">
        <v>104</v>
      </c>
      <c r="H56" s="5" t="s">
        <v>137</v>
      </c>
      <c r="I56" s="5" t="s">
        <v>145</v>
      </c>
      <c r="J56" s="5" t="s">
        <v>146</v>
      </c>
      <c r="K56" s="5" t="s">
        <v>147</v>
      </c>
      <c r="L56" s="5" t="s">
        <v>43</v>
      </c>
      <c r="M56" s="5" t="s">
        <v>1044</v>
      </c>
      <c r="N56" s="5" t="s">
        <v>1020</v>
      </c>
      <c r="O56" s="5" t="s">
        <v>1002</v>
      </c>
      <c r="P56" s="5" t="s">
        <v>44</v>
      </c>
      <c r="Q56" s="3">
        <f t="shared" si="4"/>
        <v>578283.93351800554</v>
      </c>
      <c r="R56" s="8">
        <f t="shared" si="5"/>
        <v>-557407.88088642654</v>
      </c>
      <c r="S56" s="6">
        <f t="shared" si="6"/>
        <v>109873.94736842104</v>
      </c>
      <c r="T56" s="6">
        <f t="shared" si="7"/>
        <v>2.6315789618820418E-3</v>
      </c>
      <c r="U56" s="6">
        <v>20876.05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130750</v>
      </c>
      <c r="AL56" s="5" t="s">
        <v>45</v>
      </c>
      <c r="AM56" s="5" t="s">
        <v>46</v>
      </c>
    </row>
    <row r="57" spans="1:40" s="5" customFormat="1" ht="12.75" x14ac:dyDescent="0.2">
      <c r="A57" s="5" t="s">
        <v>32</v>
      </c>
      <c r="B57" s="5" t="s">
        <v>148</v>
      </c>
      <c r="C57" s="5" t="s">
        <v>149</v>
      </c>
      <c r="D57" s="5" t="s">
        <v>144</v>
      </c>
      <c r="E57" s="5" t="s">
        <v>36</v>
      </c>
      <c r="F57" s="5" t="s">
        <v>37</v>
      </c>
      <c r="G57" s="5" t="s">
        <v>88</v>
      </c>
      <c r="H57" s="5" t="s">
        <v>137</v>
      </c>
      <c r="I57" s="5" t="s">
        <v>150</v>
      </c>
      <c r="J57" s="5" t="s">
        <v>146</v>
      </c>
      <c r="K57" s="5" t="s">
        <v>147</v>
      </c>
      <c r="L57" s="5" t="s">
        <v>43</v>
      </c>
      <c r="M57" s="5" t="s">
        <v>1044</v>
      </c>
      <c r="N57" s="5" t="s">
        <v>1020</v>
      </c>
      <c r="O57" s="5" t="s">
        <v>1002</v>
      </c>
      <c r="P57" s="5" t="s">
        <v>44</v>
      </c>
      <c r="Q57" s="3">
        <f t="shared" si="4"/>
        <v>262815.78947368421</v>
      </c>
      <c r="R57" s="8">
        <f t="shared" si="5"/>
        <v>-119950.78947368421</v>
      </c>
      <c r="S57" s="6">
        <f t="shared" si="6"/>
        <v>49935</v>
      </c>
      <c r="T57" s="6">
        <f t="shared" si="7"/>
        <v>133377.35</v>
      </c>
      <c r="U57" s="6">
        <v>9487.65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192800</v>
      </c>
      <c r="AL57" s="5" t="s">
        <v>45</v>
      </c>
      <c r="AM57" s="5" t="s">
        <v>46</v>
      </c>
    </row>
    <row r="58" spans="1:40" s="5" customFormat="1" ht="12.75" x14ac:dyDescent="0.2">
      <c r="A58" s="5" t="s">
        <v>32</v>
      </c>
      <c r="B58" s="5" t="s">
        <v>101</v>
      </c>
      <c r="C58" s="5" t="s">
        <v>102</v>
      </c>
      <c r="D58" s="5" t="s">
        <v>103</v>
      </c>
      <c r="E58" s="5" t="s">
        <v>36</v>
      </c>
      <c r="F58" s="5" t="s">
        <v>37</v>
      </c>
      <c r="G58" s="5" t="s">
        <v>104</v>
      </c>
      <c r="H58" s="5" t="s">
        <v>96</v>
      </c>
      <c r="I58" s="5" t="s">
        <v>105</v>
      </c>
      <c r="J58" s="5" t="s">
        <v>106</v>
      </c>
      <c r="K58" s="5" t="s">
        <v>107</v>
      </c>
      <c r="L58" s="5" t="s">
        <v>43</v>
      </c>
      <c r="M58" s="5" t="s">
        <v>1042</v>
      </c>
      <c r="N58" s="5" t="s">
        <v>1020</v>
      </c>
      <c r="O58" s="5" t="s">
        <v>1002</v>
      </c>
      <c r="P58" s="5" t="s">
        <v>108</v>
      </c>
      <c r="Q58" s="3">
        <f t="shared" si="4"/>
        <v>2017340.997229917</v>
      </c>
      <c r="R58" s="8">
        <f t="shared" si="5"/>
        <v>-1495802.7867036012</v>
      </c>
      <c r="S58" s="6">
        <f t="shared" si="6"/>
        <v>383294.78947368421</v>
      </c>
      <c r="T58" s="6">
        <f t="shared" si="7"/>
        <v>448712.20052631578</v>
      </c>
      <c r="U58" s="6">
        <v>72826.009999999995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904833</v>
      </c>
      <c r="AL58" s="5" t="s">
        <v>45</v>
      </c>
      <c r="AM58" s="5" t="s">
        <v>46</v>
      </c>
    </row>
    <row r="59" spans="1:40" s="5" customFormat="1" ht="12.75" x14ac:dyDescent="0.2">
      <c r="A59" s="5" t="s">
        <v>32</v>
      </c>
      <c r="B59" s="5" t="s">
        <v>159</v>
      </c>
      <c r="C59" s="5" t="s">
        <v>160</v>
      </c>
      <c r="D59" s="5" t="s">
        <v>103</v>
      </c>
      <c r="E59" s="5" t="s">
        <v>36</v>
      </c>
      <c r="F59" s="5" t="s">
        <v>37</v>
      </c>
      <c r="G59" s="5" t="s">
        <v>104</v>
      </c>
      <c r="H59" s="5" t="s">
        <v>154</v>
      </c>
      <c r="I59" s="5" t="s">
        <v>161</v>
      </c>
      <c r="J59" s="5" t="s">
        <v>106</v>
      </c>
      <c r="K59" s="5" t="s">
        <v>107</v>
      </c>
      <c r="L59" s="5" t="s">
        <v>43</v>
      </c>
      <c r="M59" s="5" t="s">
        <v>1042</v>
      </c>
      <c r="N59" s="5" t="s">
        <v>1020</v>
      </c>
      <c r="O59" s="5" t="s">
        <v>1002</v>
      </c>
      <c r="P59" s="5" t="s">
        <v>108</v>
      </c>
      <c r="Q59" s="3">
        <f t="shared" si="4"/>
        <v>0</v>
      </c>
      <c r="R59" s="8">
        <f t="shared" si="5"/>
        <v>167328</v>
      </c>
      <c r="S59" s="6">
        <f t="shared" si="6"/>
        <v>0</v>
      </c>
      <c r="T59" s="6">
        <f t="shared" si="7"/>
        <v>167328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167328</v>
      </c>
      <c r="AL59" s="5" t="s">
        <v>45</v>
      </c>
      <c r="AM59" s="5" t="s">
        <v>46</v>
      </c>
      <c r="AN59" s="3"/>
    </row>
    <row r="60" spans="1:40" s="5" customFormat="1" ht="12.75" x14ac:dyDescent="0.2">
      <c r="A60" s="5" t="s">
        <v>32</v>
      </c>
      <c r="B60" s="5" t="s">
        <v>406</v>
      </c>
      <c r="C60" s="5" t="s">
        <v>407</v>
      </c>
      <c r="D60" s="5" t="s">
        <v>103</v>
      </c>
      <c r="E60" s="5" t="s">
        <v>36</v>
      </c>
      <c r="F60" s="5" t="s">
        <v>37</v>
      </c>
      <c r="G60" s="5" t="s">
        <v>88</v>
      </c>
      <c r="H60" s="5" t="s">
        <v>408</v>
      </c>
      <c r="I60" s="5" t="s">
        <v>409</v>
      </c>
      <c r="J60" s="5" t="s">
        <v>106</v>
      </c>
      <c r="K60" s="5" t="s">
        <v>107</v>
      </c>
      <c r="L60" s="5" t="s">
        <v>43</v>
      </c>
      <c r="M60" s="5" t="s">
        <v>1042</v>
      </c>
      <c r="N60" s="5" t="s">
        <v>1020</v>
      </c>
      <c r="O60" s="5" t="s">
        <v>1002</v>
      </c>
      <c r="P60" s="5" t="s">
        <v>108</v>
      </c>
      <c r="Q60" s="3">
        <f t="shared" si="4"/>
        <v>0</v>
      </c>
      <c r="R60" s="8">
        <f t="shared" si="5"/>
        <v>177980</v>
      </c>
      <c r="S60" s="6">
        <f t="shared" si="6"/>
        <v>0</v>
      </c>
      <c r="T60" s="6">
        <f t="shared" si="7"/>
        <v>177980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177980</v>
      </c>
      <c r="AL60" s="5" t="s">
        <v>45</v>
      </c>
      <c r="AM60" s="5" t="s">
        <v>46</v>
      </c>
      <c r="AN60" s="3"/>
    </row>
    <row r="61" spans="1:40" s="3" customFormat="1" ht="12.75" x14ac:dyDescent="0.2">
      <c r="A61" s="5" t="s">
        <v>32</v>
      </c>
      <c r="B61" s="5" t="s">
        <v>588</v>
      </c>
      <c r="C61" s="5" t="s">
        <v>589</v>
      </c>
      <c r="D61" s="5" t="s">
        <v>590</v>
      </c>
      <c r="E61" s="5" t="s">
        <v>36</v>
      </c>
      <c r="F61" s="5" t="s">
        <v>37</v>
      </c>
      <c r="G61" s="5" t="s">
        <v>591</v>
      </c>
      <c r="H61" s="5" t="s">
        <v>521</v>
      </c>
      <c r="I61" s="5" t="s">
        <v>592</v>
      </c>
      <c r="J61" s="5" t="s">
        <v>593</v>
      </c>
      <c r="K61" s="5" t="s">
        <v>594</v>
      </c>
      <c r="L61" s="5" t="s">
        <v>43</v>
      </c>
      <c r="M61" s="5" t="s">
        <v>1042</v>
      </c>
      <c r="N61" s="5" t="s">
        <v>1020</v>
      </c>
      <c r="O61" s="5" t="s">
        <v>1002</v>
      </c>
      <c r="P61" s="5" t="s">
        <v>100</v>
      </c>
      <c r="Q61" s="3">
        <f t="shared" si="4"/>
        <v>64131.024930747939</v>
      </c>
      <c r="R61" s="8">
        <f t="shared" si="5"/>
        <v>130184.08033240997</v>
      </c>
      <c r="S61" s="6">
        <f t="shared" si="6"/>
        <v>12184.894736842107</v>
      </c>
      <c r="T61" s="6">
        <f t="shared" si="7"/>
        <v>191999.97526315789</v>
      </c>
      <c r="U61" s="6">
        <v>2315.13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206500</v>
      </c>
      <c r="AL61" s="5" t="s">
        <v>45</v>
      </c>
      <c r="AM61" s="5" t="s">
        <v>46</v>
      </c>
    </row>
    <row r="62" spans="1:40" s="3" customFormat="1" ht="12.75" x14ac:dyDescent="0.2">
      <c r="A62" s="5" t="s">
        <v>32</v>
      </c>
      <c r="B62" s="5" t="s">
        <v>324</v>
      </c>
      <c r="C62" s="5" t="s">
        <v>325</v>
      </c>
      <c r="D62" s="5" t="s">
        <v>326</v>
      </c>
      <c r="E62" s="5" t="s">
        <v>36</v>
      </c>
      <c r="F62" s="5" t="s">
        <v>37</v>
      </c>
      <c r="G62" s="5" t="s">
        <v>88</v>
      </c>
      <c r="H62" s="5" t="s">
        <v>327</v>
      </c>
      <c r="I62" s="5" t="s">
        <v>328</v>
      </c>
      <c r="J62" s="5" t="s">
        <v>329</v>
      </c>
      <c r="K62" s="5" t="s">
        <v>330</v>
      </c>
      <c r="L62" s="5" t="s">
        <v>43</v>
      </c>
      <c r="M62" s="5" t="s">
        <v>1043</v>
      </c>
      <c r="N62" s="5" t="s">
        <v>1020</v>
      </c>
      <c r="O62" s="5" t="s">
        <v>1002</v>
      </c>
      <c r="P62" s="5" t="s">
        <v>331</v>
      </c>
      <c r="Q62" s="3">
        <f t="shared" si="4"/>
        <v>0</v>
      </c>
      <c r="R62" s="8">
        <f t="shared" si="5"/>
        <v>175450</v>
      </c>
      <c r="S62" s="6">
        <f t="shared" si="6"/>
        <v>0</v>
      </c>
      <c r="T62" s="6">
        <f t="shared" si="7"/>
        <v>175450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175450</v>
      </c>
      <c r="AL62" s="5" t="s">
        <v>45</v>
      </c>
      <c r="AM62" s="5" t="s">
        <v>46</v>
      </c>
    </row>
    <row r="63" spans="1:40" s="3" customFormat="1" ht="12.75" x14ac:dyDescent="0.2">
      <c r="A63" s="5" t="s">
        <v>32</v>
      </c>
      <c r="B63" s="5" t="s">
        <v>755</v>
      </c>
      <c r="C63" s="5" t="s">
        <v>756</v>
      </c>
      <c r="D63" s="5" t="s">
        <v>757</v>
      </c>
      <c r="E63" s="5" t="s">
        <v>36</v>
      </c>
      <c r="F63" s="5" t="s">
        <v>37</v>
      </c>
      <c r="G63" s="5" t="s">
        <v>38</v>
      </c>
      <c r="H63" s="5" t="s">
        <v>758</v>
      </c>
      <c r="I63" s="5" t="s">
        <v>759</v>
      </c>
      <c r="J63" s="5" t="s">
        <v>760</v>
      </c>
      <c r="K63" s="5" t="s">
        <v>761</v>
      </c>
      <c r="L63" s="5" t="s">
        <v>43</v>
      </c>
      <c r="M63" s="5" t="s">
        <v>1048</v>
      </c>
      <c r="N63" s="5" t="s">
        <v>1020</v>
      </c>
      <c r="O63" s="5" t="s">
        <v>1002</v>
      </c>
      <c r="P63" s="5" t="s">
        <v>331</v>
      </c>
      <c r="Q63" s="3">
        <f t="shared" si="4"/>
        <v>0</v>
      </c>
      <c r="R63" s="8">
        <f t="shared" si="5"/>
        <v>169070</v>
      </c>
      <c r="S63" s="6">
        <f t="shared" si="6"/>
        <v>0</v>
      </c>
      <c r="T63" s="6">
        <f t="shared" si="7"/>
        <v>169070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169070</v>
      </c>
      <c r="AL63" s="5" t="s">
        <v>45</v>
      </c>
      <c r="AM63" s="5" t="s">
        <v>46</v>
      </c>
    </row>
    <row r="64" spans="1:40" s="3" customFormat="1" ht="12.75" x14ac:dyDescent="0.2">
      <c r="A64" s="5" t="s">
        <v>32</v>
      </c>
      <c r="B64" s="5" t="s">
        <v>960</v>
      </c>
      <c r="C64" s="5" t="s">
        <v>961</v>
      </c>
      <c r="D64" s="5" t="s">
        <v>962</v>
      </c>
      <c r="E64" s="5" t="s">
        <v>36</v>
      </c>
      <c r="F64" s="5" t="s">
        <v>37</v>
      </c>
      <c r="G64" s="5" t="s">
        <v>104</v>
      </c>
      <c r="H64" s="5" t="s">
        <v>958</v>
      </c>
      <c r="I64" s="5" t="s">
        <v>963</v>
      </c>
      <c r="J64" s="5" t="s">
        <v>964</v>
      </c>
      <c r="K64" s="5" t="s">
        <v>965</v>
      </c>
      <c r="L64" s="5" t="s">
        <v>43</v>
      </c>
      <c r="M64" s="5" t="s">
        <v>1049</v>
      </c>
      <c r="N64" s="5" t="s">
        <v>1020</v>
      </c>
      <c r="O64" s="5" t="s">
        <v>1002</v>
      </c>
      <c r="P64" s="5" t="s">
        <v>44</v>
      </c>
      <c r="Q64" s="3">
        <f t="shared" si="4"/>
        <v>0</v>
      </c>
      <c r="R64" s="8">
        <f t="shared" si="5"/>
        <v>60000</v>
      </c>
      <c r="S64" s="6">
        <f t="shared" si="6"/>
        <v>0</v>
      </c>
      <c r="T64" s="6">
        <f t="shared" si="7"/>
        <v>60000</v>
      </c>
      <c r="U64" s="6">
        <v>0</v>
      </c>
      <c r="V64" s="6">
        <v>0</v>
      </c>
      <c r="W64" s="6">
        <v>0</v>
      </c>
      <c r="X64" s="6">
        <v>4444.4399999999996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60000</v>
      </c>
      <c r="AL64" s="5" t="s">
        <v>45</v>
      </c>
      <c r="AM64" s="5" t="s">
        <v>46</v>
      </c>
    </row>
    <row r="65" spans="1:40" s="3" customFormat="1" ht="12.75" x14ac:dyDescent="0.2">
      <c r="A65" s="5" t="s">
        <v>32</v>
      </c>
      <c r="B65" s="5" t="s">
        <v>33</v>
      </c>
      <c r="C65" s="5" t="s">
        <v>34</v>
      </c>
      <c r="D65" s="5" t="s">
        <v>35</v>
      </c>
      <c r="E65" s="5" t="s">
        <v>36</v>
      </c>
      <c r="F65" s="5" t="s">
        <v>37</v>
      </c>
      <c r="G65" s="5" t="s">
        <v>38</v>
      </c>
      <c r="H65" s="5" t="s">
        <v>39</v>
      </c>
      <c r="I65" s="5" t="s">
        <v>40</v>
      </c>
      <c r="J65" s="5" t="s">
        <v>41</v>
      </c>
      <c r="K65" s="5" t="s">
        <v>42</v>
      </c>
      <c r="L65" s="5" t="s">
        <v>43</v>
      </c>
      <c r="M65" s="5" t="s">
        <v>1050</v>
      </c>
      <c r="N65" s="5" t="s">
        <v>1020</v>
      </c>
      <c r="O65" s="5" t="s">
        <v>1002</v>
      </c>
      <c r="P65" s="5" t="s">
        <v>44</v>
      </c>
      <c r="Q65" s="3">
        <f t="shared" si="4"/>
        <v>1504644.0443213296</v>
      </c>
      <c r="R65" s="8">
        <f t="shared" si="5"/>
        <v>-1450326.4127423821</v>
      </c>
      <c r="S65" s="6">
        <f t="shared" si="6"/>
        <v>285882.36842105264</v>
      </c>
      <c r="T65" s="6">
        <f t="shared" si="7"/>
        <v>-1.8421052642224822E-2</v>
      </c>
      <c r="U65" s="6">
        <v>54317.65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340200</v>
      </c>
      <c r="AL65" s="5" t="s">
        <v>45</v>
      </c>
      <c r="AM65" s="5" t="s">
        <v>46</v>
      </c>
    </row>
    <row r="66" spans="1:40" s="3" customFormat="1" ht="12.75" x14ac:dyDescent="0.2">
      <c r="A66" s="5" t="s">
        <v>32</v>
      </c>
      <c r="B66" s="5" t="s">
        <v>239</v>
      </c>
      <c r="C66" s="5" t="s">
        <v>240</v>
      </c>
      <c r="D66" s="5" t="s">
        <v>241</v>
      </c>
      <c r="E66" s="5" t="s">
        <v>36</v>
      </c>
      <c r="F66" s="5" t="s">
        <v>37</v>
      </c>
      <c r="G66" s="5" t="s">
        <v>38</v>
      </c>
      <c r="H66" s="5" t="s">
        <v>242</v>
      </c>
      <c r="I66" s="5" t="s">
        <v>243</v>
      </c>
      <c r="J66" s="5" t="s">
        <v>41</v>
      </c>
      <c r="K66" s="5" t="s">
        <v>42</v>
      </c>
      <c r="L66" s="5" t="s">
        <v>43</v>
      </c>
      <c r="M66" s="5" t="s">
        <v>1050</v>
      </c>
      <c r="N66" s="5" t="s">
        <v>1020</v>
      </c>
      <c r="O66" s="5" t="s">
        <v>1002</v>
      </c>
      <c r="P66" s="5" t="s">
        <v>44</v>
      </c>
      <c r="Q66" s="3">
        <f t="shared" si="4"/>
        <v>1018575.9002770081</v>
      </c>
      <c r="R66" s="8">
        <f t="shared" si="5"/>
        <v>-981805.32132963964</v>
      </c>
      <c r="S66" s="6">
        <f t="shared" si="6"/>
        <v>193529.42105263154</v>
      </c>
      <c r="T66" s="6">
        <f t="shared" si="7"/>
        <v>-1.1052631540223956E-2</v>
      </c>
      <c r="U66" s="6">
        <v>36770.589999999997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230300</v>
      </c>
      <c r="AL66" s="5" t="s">
        <v>45</v>
      </c>
      <c r="AM66" s="5" t="s">
        <v>46</v>
      </c>
      <c r="AN66" s="5"/>
    </row>
    <row r="67" spans="1:40" s="3" customFormat="1" ht="12.75" x14ac:dyDescent="0.2">
      <c r="A67" s="5" t="s">
        <v>32</v>
      </c>
      <c r="B67" s="5" t="s">
        <v>93</v>
      </c>
      <c r="C67" s="5" t="s">
        <v>94</v>
      </c>
      <c r="D67" s="5" t="s">
        <v>95</v>
      </c>
      <c r="E67" s="5" t="s">
        <v>36</v>
      </c>
      <c r="F67" s="5" t="s">
        <v>37</v>
      </c>
      <c r="G67" s="5" t="s">
        <v>73</v>
      </c>
      <c r="H67" s="5" t="s">
        <v>96</v>
      </c>
      <c r="I67" s="5" t="s">
        <v>97</v>
      </c>
      <c r="J67" s="5" t="s">
        <v>98</v>
      </c>
      <c r="K67" s="5" t="s">
        <v>99</v>
      </c>
      <c r="L67" s="5" t="s">
        <v>43</v>
      </c>
      <c r="M67" s="5" t="s">
        <v>1051</v>
      </c>
      <c r="N67" s="5" t="s">
        <v>1020</v>
      </c>
      <c r="O67" s="5" t="s">
        <v>1002</v>
      </c>
      <c r="P67" s="5" t="s">
        <v>100</v>
      </c>
      <c r="Q67" s="3">
        <f t="shared" ref="Q67:Q98" si="8">+S67/19*100</f>
        <v>1628476.4542936285</v>
      </c>
      <c r="R67" s="8">
        <f t="shared" ref="R67:R98" si="9">+AK67-Q67-S67</f>
        <v>-1122486.9806094179</v>
      </c>
      <c r="S67" s="6">
        <f t="shared" ref="S67:S98" si="10">+U67/19*100</f>
        <v>309410.52631578944</v>
      </c>
      <c r="T67" s="6">
        <f t="shared" ref="T67:T98" si="11">+AK67-S67-U67</f>
        <v>447201.47368421056</v>
      </c>
      <c r="U67" s="6">
        <v>58788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815400</v>
      </c>
      <c r="AL67" s="5" t="s">
        <v>45</v>
      </c>
      <c r="AM67" s="5" t="s">
        <v>46</v>
      </c>
    </row>
    <row r="68" spans="1:40" s="5" customFormat="1" ht="12.75" x14ac:dyDescent="0.2">
      <c r="A68" s="5" t="s">
        <v>32</v>
      </c>
      <c r="B68" s="5" t="s">
        <v>198</v>
      </c>
      <c r="C68" s="5" t="s">
        <v>199</v>
      </c>
      <c r="D68" s="5" t="s">
        <v>200</v>
      </c>
      <c r="E68" s="5" t="s">
        <v>36</v>
      </c>
      <c r="F68" s="5" t="s">
        <v>37</v>
      </c>
      <c r="G68" s="5" t="s">
        <v>73</v>
      </c>
      <c r="H68" s="5" t="s">
        <v>201</v>
      </c>
      <c r="I68" s="5" t="s">
        <v>202</v>
      </c>
      <c r="J68" s="5" t="s">
        <v>98</v>
      </c>
      <c r="K68" s="5" t="s">
        <v>99</v>
      </c>
      <c r="L68" s="5" t="s">
        <v>43</v>
      </c>
      <c r="M68" s="5" t="s">
        <v>1051</v>
      </c>
      <c r="N68" s="5" t="s">
        <v>1020</v>
      </c>
      <c r="O68" s="5" t="s">
        <v>1002</v>
      </c>
      <c r="P68" s="5" t="s">
        <v>100</v>
      </c>
      <c r="Q68" s="3">
        <f t="shared" si="8"/>
        <v>445817.17451523547</v>
      </c>
      <c r="R68" s="8">
        <f t="shared" si="9"/>
        <v>-297266.43767313019</v>
      </c>
      <c r="S68" s="6">
        <f t="shared" si="10"/>
        <v>84705.263157894733</v>
      </c>
      <c r="T68" s="6">
        <f t="shared" si="11"/>
        <v>132456.73684210528</v>
      </c>
      <c r="U68" s="6">
        <v>16094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233256</v>
      </c>
      <c r="AL68" s="5" t="s">
        <v>45</v>
      </c>
      <c r="AM68" s="5" t="s">
        <v>46</v>
      </c>
    </row>
    <row r="69" spans="1:40" s="3" customFormat="1" ht="12.75" x14ac:dyDescent="0.2">
      <c r="A69" s="5" t="s">
        <v>32</v>
      </c>
      <c r="B69" s="5" t="s">
        <v>264</v>
      </c>
      <c r="C69" s="5" t="s">
        <v>265</v>
      </c>
      <c r="D69" s="5" t="s">
        <v>200</v>
      </c>
      <c r="E69" s="5" t="s">
        <v>36</v>
      </c>
      <c r="F69" s="5" t="s">
        <v>37</v>
      </c>
      <c r="G69" s="5" t="s">
        <v>73</v>
      </c>
      <c r="H69" s="5" t="s">
        <v>262</v>
      </c>
      <c r="I69" s="5" t="s">
        <v>266</v>
      </c>
      <c r="J69" s="5" t="s">
        <v>98</v>
      </c>
      <c r="K69" s="5" t="s">
        <v>99</v>
      </c>
      <c r="L69" s="5" t="s">
        <v>43</v>
      </c>
      <c r="M69" s="5" t="s">
        <v>1051</v>
      </c>
      <c r="N69" s="5" t="s">
        <v>1020</v>
      </c>
      <c r="O69" s="5" t="s">
        <v>1002</v>
      </c>
      <c r="P69" s="5" t="s">
        <v>100</v>
      </c>
      <c r="Q69" s="3">
        <f t="shared" si="8"/>
        <v>5129584.4875346264</v>
      </c>
      <c r="R69" s="8">
        <f t="shared" si="9"/>
        <v>-4944405.5401662057</v>
      </c>
      <c r="S69" s="6">
        <f t="shared" si="10"/>
        <v>974621.05263157899</v>
      </c>
      <c r="T69" s="6">
        <f t="shared" si="11"/>
        <v>0.94736842100974172</v>
      </c>
      <c r="U69" s="6">
        <v>185178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1159800</v>
      </c>
      <c r="AL69" s="5" t="s">
        <v>45</v>
      </c>
      <c r="AM69" s="5" t="s">
        <v>46</v>
      </c>
      <c r="AN69" s="5"/>
    </row>
    <row r="70" spans="1:40" s="5" customFormat="1" ht="12.75" x14ac:dyDescent="0.2">
      <c r="A70" s="5" t="s">
        <v>32</v>
      </c>
      <c r="B70" s="5" t="s">
        <v>267</v>
      </c>
      <c r="C70" s="5" t="s">
        <v>268</v>
      </c>
      <c r="D70" s="5" t="s">
        <v>200</v>
      </c>
      <c r="E70" s="5" t="s">
        <v>36</v>
      </c>
      <c r="F70" s="5" t="s">
        <v>37</v>
      </c>
      <c r="G70" s="5" t="s">
        <v>73</v>
      </c>
      <c r="H70" s="5" t="s">
        <v>262</v>
      </c>
      <c r="I70" s="5" t="s">
        <v>269</v>
      </c>
      <c r="J70" s="5" t="s">
        <v>98</v>
      </c>
      <c r="K70" s="5" t="s">
        <v>99</v>
      </c>
      <c r="L70" s="5" t="s">
        <v>43</v>
      </c>
      <c r="M70" s="5" t="s">
        <v>1051</v>
      </c>
      <c r="N70" s="5" t="s">
        <v>1020</v>
      </c>
      <c r="O70" s="5" t="s">
        <v>1002</v>
      </c>
      <c r="P70" s="5" t="s">
        <v>100</v>
      </c>
      <c r="Q70" s="3">
        <f t="shared" si="8"/>
        <v>529418.28254847648</v>
      </c>
      <c r="R70" s="8">
        <f t="shared" si="9"/>
        <v>57414.24376731299</v>
      </c>
      <c r="S70" s="6">
        <f t="shared" si="10"/>
        <v>100589.47368421053</v>
      </c>
      <c r="T70" s="6">
        <f t="shared" si="11"/>
        <v>567720.52631578944</v>
      </c>
      <c r="U70" s="6">
        <v>19112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687422</v>
      </c>
      <c r="AL70" s="5" t="s">
        <v>45</v>
      </c>
      <c r="AM70" s="5" t="s">
        <v>46</v>
      </c>
    </row>
    <row r="71" spans="1:40" s="5" customFormat="1" ht="12.75" x14ac:dyDescent="0.2">
      <c r="A71" s="5" t="s">
        <v>32</v>
      </c>
      <c r="B71" s="5" t="s">
        <v>278</v>
      </c>
      <c r="C71" s="5" t="s">
        <v>279</v>
      </c>
      <c r="D71" s="5" t="s">
        <v>200</v>
      </c>
      <c r="E71" s="5" t="s">
        <v>36</v>
      </c>
      <c r="F71" s="5" t="s">
        <v>37</v>
      </c>
      <c r="G71" s="5" t="s">
        <v>73</v>
      </c>
      <c r="H71" s="5" t="s">
        <v>280</v>
      </c>
      <c r="I71" s="5" t="s">
        <v>281</v>
      </c>
      <c r="J71" s="5" t="s">
        <v>98</v>
      </c>
      <c r="K71" s="5" t="s">
        <v>99</v>
      </c>
      <c r="L71" s="5" t="s">
        <v>43</v>
      </c>
      <c r="M71" s="5" t="s">
        <v>1051</v>
      </c>
      <c r="N71" s="5" t="s">
        <v>1020</v>
      </c>
      <c r="O71" s="5" t="s">
        <v>1002</v>
      </c>
      <c r="P71" s="5" t="s">
        <v>100</v>
      </c>
      <c r="Q71" s="3">
        <f t="shared" si="8"/>
        <v>5129584.4875346264</v>
      </c>
      <c r="R71" s="8">
        <f t="shared" si="9"/>
        <v>-4944405.5401662057</v>
      </c>
      <c r="S71" s="6">
        <f t="shared" si="10"/>
        <v>974621.05263157899</v>
      </c>
      <c r="T71" s="6">
        <f t="shared" si="11"/>
        <v>0.94736842100974172</v>
      </c>
      <c r="U71" s="6">
        <v>185178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1159800</v>
      </c>
      <c r="AL71" s="5" t="s">
        <v>45</v>
      </c>
      <c r="AM71" s="5" t="s">
        <v>46</v>
      </c>
    </row>
    <row r="72" spans="1:40" s="5" customFormat="1" ht="12.75" x14ac:dyDescent="0.2">
      <c r="A72" s="5" t="s">
        <v>32</v>
      </c>
      <c r="B72" s="5" t="s">
        <v>718</v>
      </c>
      <c r="C72" s="5" t="s">
        <v>719</v>
      </c>
      <c r="D72" s="5" t="s">
        <v>720</v>
      </c>
      <c r="E72" s="5" t="s">
        <v>36</v>
      </c>
      <c r="F72" s="5" t="s">
        <v>37</v>
      </c>
      <c r="G72" s="5" t="s">
        <v>104</v>
      </c>
      <c r="H72" s="5" t="s">
        <v>721</v>
      </c>
      <c r="I72" s="5" t="s">
        <v>722</v>
      </c>
      <c r="J72" s="5" t="s">
        <v>723</v>
      </c>
      <c r="K72" s="5" t="s">
        <v>724</v>
      </c>
      <c r="L72" s="5" t="s">
        <v>43</v>
      </c>
      <c r="M72" s="5" t="s">
        <v>1052</v>
      </c>
      <c r="N72" s="5" t="s">
        <v>1020</v>
      </c>
      <c r="O72" s="5" t="s">
        <v>1002</v>
      </c>
      <c r="P72" s="5" t="s">
        <v>69</v>
      </c>
      <c r="Q72" s="3">
        <f t="shared" si="8"/>
        <v>0</v>
      </c>
      <c r="R72" s="8">
        <f t="shared" si="9"/>
        <v>73000</v>
      </c>
      <c r="S72" s="6">
        <f t="shared" si="10"/>
        <v>0</v>
      </c>
      <c r="T72" s="6">
        <f t="shared" si="11"/>
        <v>73000</v>
      </c>
      <c r="U72" s="6">
        <v>0</v>
      </c>
      <c r="V72" s="6">
        <v>0</v>
      </c>
      <c r="W72" s="6">
        <v>0</v>
      </c>
      <c r="X72" s="6">
        <v>4948.32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73000</v>
      </c>
      <c r="AL72" s="5" t="s">
        <v>45</v>
      </c>
      <c r="AM72" s="5" t="s">
        <v>46</v>
      </c>
    </row>
    <row r="73" spans="1:40" s="5" customFormat="1" ht="12.75" x14ac:dyDescent="0.2">
      <c r="A73" s="5" t="s">
        <v>32</v>
      </c>
      <c r="B73" s="5" t="s">
        <v>435</v>
      </c>
      <c r="C73" s="5" t="s">
        <v>436</v>
      </c>
      <c r="D73" s="5" t="s">
        <v>437</v>
      </c>
      <c r="E73" s="5" t="s">
        <v>36</v>
      </c>
      <c r="F73" s="5" t="s">
        <v>37</v>
      </c>
      <c r="G73" s="5" t="s">
        <v>37</v>
      </c>
      <c r="H73" s="5" t="s">
        <v>438</v>
      </c>
      <c r="I73" s="5" t="s">
        <v>439</v>
      </c>
      <c r="J73" s="5" t="s">
        <v>440</v>
      </c>
      <c r="K73" s="5" t="s">
        <v>441</v>
      </c>
      <c r="L73" s="5" t="s">
        <v>43</v>
      </c>
      <c r="M73" s="5" t="s">
        <v>1053</v>
      </c>
      <c r="N73" s="5" t="s">
        <v>1020</v>
      </c>
      <c r="O73" s="5" t="s">
        <v>1002</v>
      </c>
      <c r="P73" s="5" t="s">
        <v>43</v>
      </c>
      <c r="Q73" s="3">
        <f t="shared" si="8"/>
        <v>0</v>
      </c>
      <c r="R73" s="8">
        <f t="shared" si="9"/>
        <v>100007.55</v>
      </c>
      <c r="S73" s="6">
        <f t="shared" si="10"/>
        <v>0</v>
      </c>
      <c r="T73" s="6">
        <f t="shared" si="11"/>
        <v>100007.55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100007.55</v>
      </c>
      <c r="AL73" s="5" t="s">
        <v>45</v>
      </c>
      <c r="AM73" s="5" t="s">
        <v>46</v>
      </c>
    </row>
    <row r="74" spans="1:40" s="5" customFormat="1" ht="12.75" x14ac:dyDescent="0.2">
      <c r="A74" s="5" t="s">
        <v>32</v>
      </c>
      <c r="B74" s="5" t="s">
        <v>883</v>
      </c>
      <c r="C74" s="5" t="s">
        <v>884</v>
      </c>
      <c r="D74" s="5" t="s">
        <v>194</v>
      </c>
      <c r="E74" s="5" t="s">
        <v>36</v>
      </c>
      <c r="F74" s="5" t="s">
        <v>37</v>
      </c>
      <c r="G74" s="5" t="s">
        <v>88</v>
      </c>
      <c r="H74" s="5" t="s">
        <v>874</v>
      </c>
      <c r="I74" s="5" t="s">
        <v>885</v>
      </c>
      <c r="J74" s="5" t="s">
        <v>132</v>
      </c>
      <c r="K74" s="5" t="s">
        <v>882</v>
      </c>
      <c r="L74" s="5" t="s">
        <v>43</v>
      </c>
      <c r="M74" s="5" t="s">
        <v>1054</v>
      </c>
      <c r="N74" s="5" t="s">
        <v>1020</v>
      </c>
      <c r="O74" s="5" t="s">
        <v>1002</v>
      </c>
      <c r="P74" s="5" t="s">
        <v>44</v>
      </c>
      <c r="Q74" s="3">
        <f t="shared" si="8"/>
        <v>70765.096952908585</v>
      </c>
      <c r="R74" s="8">
        <f t="shared" si="9"/>
        <v>-64210.465373961219</v>
      </c>
      <c r="S74" s="6">
        <f t="shared" si="10"/>
        <v>13445.368421052632</v>
      </c>
      <c r="T74" s="6">
        <f t="shared" si="11"/>
        <v>4000.0115789473684</v>
      </c>
      <c r="U74" s="6">
        <v>2554.62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20000</v>
      </c>
      <c r="AL74" s="5" t="s">
        <v>45</v>
      </c>
      <c r="AM74" s="5" t="s">
        <v>46</v>
      </c>
      <c r="AN74" s="3"/>
    </row>
    <row r="75" spans="1:40" s="5" customFormat="1" ht="12.75" x14ac:dyDescent="0.2">
      <c r="A75" s="5" t="s">
        <v>32</v>
      </c>
      <c r="B75" s="5" t="s">
        <v>456</v>
      </c>
      <c r="C75" s="5" t="s">
        <v>457</v>
      </c>
      <c r="D75" s="5" t="s">
        <v>458</v>
      </c>
      <c r="E75" s="5" t="s">
        <v>36</v>
      </c>
      <c r="F75" s="5" t="s">
        <v>37</v>
      </c>
      <c r="G75" s="5" t="s">
        <v>88</v>
      </c>
      <c r="H75" s="5" t="s">
        <v>459</v>
      </c>
      <c r="I75" s="5" t="s">
        <v>460</v>
      </c>
      <c r="J75" s="5">
        <v>901873198</v>
      </c>
      <c r="K75" s="5" t="s">
        <v>461</v>
      </c>
      <c r="L75" s="5">
        <v>901786517</v>
      </c>
      <c r="M75" s="5" t="s">
        <v>1013</v>
      </c>
      <c r="N75" s="5" t="s">
        <v>1020</v>
      </c>
      <c r="O75" s="5" t="s">
        <v>1065</v>
      </c>
      <c r="P75" s="5" t="s">
        <v>44</v>
      </c>
      <c r="Q75" s="3">
        <f t="shared" si="8"/>
        <v>283060.66481994459</v>
      </c>
      <c r="R75" s="8">
        <f t="shared" si="9"/>
        <v>-272842.19113573409</v>
      </c>
      <c r="S75" s="6">
        <f t="shared" si="10"/>
        <v>53781.526315789473</v>
      </c>
      <c r="T75" s="6">
        <f t="shared" si="11"/>
        <v>-1.6315789473082987E-2</v>
      </c>
      <c r="U75" s="6">
        <v>10218.49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6">
        <v>0</v>
      </c>
      <c r="AK75" s="6">
        <v>64000</v>
      </c>
      <c r="AL75" s="5" t="s">
        <v>45</v>
      </c>
      <c r="AM75" s="5" t="s">
        <v>46</v>
      </c>
      <c r="AN75" s="3"/>
    </row>
    <row r="76" spans="1:40" s="3" customFormat="1" ht="12.75" x14ac:dyDescent="0.2">
      <c r="A76" s="5" t="s">
        <v>32</v>
      </c>
      <c r="B76" s="5" t="s">
        <v>642</v>
      </c>
      <c r="C76" s="5" t="s">
        <v>643</v>
      </c>
      <c r="D76" s="5" t="s">
        <v>458</v>
      </c>
      <c r="E76" s="5" t="s">
        <v>36</v>
      </c>
      <c r="F76" s="5" t="s">
        <v>37</v>
      </c>
      <c r="G76" s="5" t="s">
        <v>88</v>
      </c>
      <c r="H76" s="5" t="s">
        <v>644</v>
      </c>
      <c r="I76" s="5" t="s">
        <v>645</v>
      </c>
      <c r="J76" s="5" t="s">
        <v>132</v>
      </c>
      <c r="K76" s="5" t="s">
        <v>461</v>
      </c>
      <c r="L76" s="5" t="s">
        <v>43</v>
      </c>
      <c r="M76" s="5" t="s">
        <v>1013</v>
      </c>
      <c r="N76" s="5" t="s">
        <v>1020</v>
      </c>
      <c r="O76" s="5" t="s">
        <v>1065</v>
      </c>
      <c r="P76" s="5" t="s">
        <v>44</v>
      </c>
      <c r="Q76" s="3">
        <f t="shared" si="8"/>
        <v>114550.96952908587</v>
      </c>
      <c r="R76" s="8">
        <f t="shared" si="9"/>
        <v>-106415.65373961217</v>
      </c>
      <c r="S76" s="6">
        <f t="shared" si="10"/>
        <v>21764.684210526313</v>
      </c>
      <c r="T76" s="6">
        <f t="shared" si="11"/>
        <v>4000.0257894736869</v>
      </c>
      <c r="U76" s="6">
        <v>4135.29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6">
        <v>0</v>
      </c>
      <c r="AK76" s="6">
        <v>29900</v>
      </c>
      <c r="AL76" s="5" t="s">
        <v>45</v>
      </c>
      <c r="AM76" s="5" t="s">
        <v>46</v>
      </c>
    </row>
    <row r="77" spans="1:40" s="3" customFormat="1" ht="12.75" x14ac:dyDescent="0.2">
      <c r="A77" s="5" t="s">
        <v>32</v>
      </c>
      <c r="B77" s="5" t="s">
        <v>741</v>
      </c>
      <c r="C77" s="5" t="s">
        <v>742</v>
      </c>
      <c r="D77" s="5" t="s">
        <v>458</v>
      </c>
      <c r="E77" s="5" t="s">
        <v>36</v>
      </c>
      <c r="F77" s="5" t="s">
        <v>37</v>
      </c>
      <c r="G77" s="5" t="s">
        <v>88</v>
      </c>
      <c r="H77" s="5" t="s">
        <v>736</v>
      </c>
      <c r="I77" s="5" t="s">
        <v>743</v>
      </c>
      <c r="J77" s="5" t="s">
        <v>132</v>
      </c>
      <c r="K77" s="5" t="s">
        <v>461</v>
      </c>
      <c r="L77" s="5" t="s">
        <v>43</v>
      </c>
      <c r="M77" s="5" t="s">
        <v>1013</v>
      </c>
      <c r="N77" s="5" t="s">
        <v>1020</v>
      </c>
      <c r="O77" s="5" t="s">
        <v>1065</v>
      </c>
      <c r="P77" s="5" t="s">
        <v>44</v>
      </c>
      <c r="Q77" s="3">
        <f t="shared" si="8"/>
        <v>33171.191135734065</v>
      </c>
      <c r="R77" s="8">
        <f t="shared" si="9"/>
        <v>-27973.717451523538</v>
      </c>
      <c r="S77" s="6">
        <f t="shared" si="10"/>
        <v>6302.5263157894733</v>
      </c>
      <c r="T77" s="6">
        <f t="shared" si="11"/>
        <v>3999.9936842105267</v>
      </c>
      <c r="U77" s="6">
        <v>1197.48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6">
        <v>0</v>
      </c>
      <c r="AK77" s="6">
        <v>11500</v>
      </c>
      <c r="AL77" s="5" t="s">
        <v>45</v>
      </c>
      <c r="AM77" s="5" t="s">
        <v>46</v>
      </c>
      <c r="AN77" s="5"/>
    </row>
    <row r="78" spans="1:40" s="3" customFormat="1" ht="12.75" x14ac:dyDescent="0.2">
      <c r="A78" s="5" t="s">
        <v>32</v>
      </c>
      <c r="B78" s="5" t="s">
        <v>744</v>
      </c>
      <c r="C78" s="5" t="s">
        <v>745</v>
      </c>
      <c r="D78" s="5" t="s">
        <v>458</v>
      </c>
      <c r="E78" s="5" t="s">
        <v>36</v>
      </c>
      <c r="F78" s="5" t="s">
        <v>37</v>
      </c>
      <c r="G78" s="5" t="s">
        <v>88</v>
      </c>
      <c r="H78" s="5" t="s">
        <v>736</v>
      </c>
      <c r="I78" s="5" t="s">
        <v>746</v>
      </c>
      <c r="J78" s="5" t="s">
        <v>132</v>
      </c>
      <c r="K78" s="5" t="s">
        <v>461</v>
      </c>
      <c r="L78" s="5" t="s">
        <v>43</v>
      </c>
      <c r="M78" s="5" t="s">
        <v>1013</v>
      </c>
      <c r="N78" s="5" t="s">
        <v>1020</v>
      </c>
      <c r="O78" s="5" t="s">
        <v>1065</v>
      </c>
      <c r="P78" s="5" t="s">
        <v>44</v>
      </c>
      <c r="Q78" s="3">
        <f t="shared" si="8"/>
        <v>106147.64542936289</v>
      </c>
      <c r="R78" s="8">
        <f t="shared" si="9"/>
        <v>-98315.698060941839</v>
      </c>
      <c r="S78" s="6">
        <f t="shared" si="10"/>
        <v>20168.052631578947</v>
      </c>
      <c r="T78" s="6">
        <f t="shared" si="11"/>
        <v>4000.0173684210536</v>
      </c>
      <c r="U78" s="6">
        <v>3831.93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6">
        <v>0</v>
      </c>
      <c r="AK78" s="6">
        <v>28000</v>
      </c>
      <c r="AL78" s="5" t="s">
        <v>45</v>
      </c>
      <c r="AM78" s="5" t="s">
        <v>46</v>
      </c>
      <c r="AN78" s="5"/>
    </row>
    <row r="79" spans="1:40" s="3" customFormat="1" ht="12.75" x14ac:dyDescent="0.2">
      <c r="A79" s="5" t="s">
        <v>32</v>
      </c>
      <c r="B79" s="5" t="s">
        <v>762</v>
      </c>
      <c r="C79" s="5" t="s">
        <v>763</v>
      </c>
      <c r="D79" s="5" t="s">
        <v>458</v>
      </c>
      <c r="E79" s="5" t="s">
        <v>36</v>
      </c>
      <c r="F79" s="5" t="s">
        <v>37</v>
      </c>
      <c r="G79" s="5" t="s">
        <v>88</v>
      </c>
      <c r="H79" s="5" t="s">
        <v>758</v>
      </c>
      <c r="I79" s="5" t="s">
        <v>764</v>
      </c>
      <c r="J79" s="5" t="s">
        <v>132</v>
      </c>
      <c r="K79" s="5" t="s">
        <v>461</v>
      </c>
      <c r="L79" s="5" t="s">
        <v>43</v>
      </c>
      <c r="M79" s="5" t="s">
        <v>1013</v>
      </c>
      <c r="N79" s="5" t="s">
        <v>1020</v>
      </c>
      <c r="O79" s="5" t="s">
        <v>1065</v>
      </c>
      <c r="P79" s="5" t="s">
        <v>44</v>
      </c>
      <c r="Q79" s="3">
        <f t="shared" si="8"/>
        <v>0</v>
      </c>
      <c r="R79" s="8">
        <f t="shared" si="9"/>
        <v>4000</v>
      </c>
      <c r="S79" s="6">
        <f t="shared" si="10"/>
        <v>0</v>
      </c>
      <c r="T79" s="6">
        <f t="shared" si="11"/>
        <v>4000</v>
      </c>
      <c r="U79" s="6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6">
        <v>0</v>
      </c>
      <c r="AK79" s="6">
        <v>4000</v>
      </c>
      <c r="AL79" s="5" t="s">
        <v>45</v>
      </c>
      <c r="AM79" s="5" t="s">
        <v>46</v>
      </c>
      <c r="AN79" s="5"/>
    </row>
    <row r="80" spans="1:40" s="5" customFormat="1" ht="12.75" x14ac:dyDescent="0.2">
      <c r="A80" s="5" t="s">
        <v>32</v>
      </c>
      <c r="B80" s="5" t="s">
        <v>765</v>
      </c>
      <c r="C80" s="5" t="s">
        <v>766</v>
      </c>
      <c r="D80" s="5" t="s">
        <v>458</v>
      </c>
      <c r="E80" s="5" t="s">
        <v>36</v>
      </c>
      <c r="F80" s="5" t="s">
        <v>37</v>
      </c>
      <c r="G80" s="5" t="s">
        <v>88</v>
      </c>
      <c r="H80" s="5" t="s">
        <v>758</v>
      </c>
      <c r="I80" s="5" t="s">
        <v>767</v>
      </c>
      <c r="J80" s="5" t="s">
        <v>132</v>
      </c>
      <c r="K80" s="5" t="s">
        <v>461</v>
      </c>
      <c r="L80" s="5" t="s">
        <v>43</v>
      </c>
      <c r="M80" s="5" t="s">
        <v>1013</v>
      </c>
      <c r="N80" s="5" t="s">
        <v>1020</v>
      </c>
      <c r="O80" s="5" t="s">
        <v>1065</v>
      </c>
      <c r="P80" s="5" t="s">
        <v>44</v>
      </c>
      <c r="Q80" s="3">
        <f t="shared" si="8"/>
        <v>42016.897506925197</v>
      </c>
      <c r="R80" s="8">
        <f t="shared" si="9"/>
        <v>-40500.108033240984</v>
      </c>
      <c r="S80" s="6">
        <f t="shared" si="10"/>
        <v>7983.2105263157882</v>
      </c>
      <c r="T80" s="6">
        <f t="shared" si="11"/>
        <v>-2.0526315788174543E-2</v>
      </c>
      <c r="U80" s="6">
        <v>1516.81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6">
        <v>0</v>
      </c>
      <c r="AK80" s="6">
        <v>9500</v>
      </c>
      <c r="AL80" s="5" t="s">
        <v>45</v>
      </c>
      <c r="AM80" s="5" t="s">
        <v>46</v>
      </c>
    </row>
    <row r="81" spans="1:40" s="5" customFormat="1" ht="12.75" x14ac:dyDescent="0.2">
      <c r="A81" s="5" t="s">
        <v>32</v>
      </c>
      <c r="B81" s="5" t="s">
        <v>768</v>
      </c>
      <c r="C81" s="5" t="s">
        <v>769</v>
      </c>
      <c r="D81" s="5" t="s">
        <v>458</v>
      </c>
      <c r="E81" s="5" t="s">
        <v>36</v>
      </c>
      <c r="F81" s="5" t="s">
        <v>37</v>
      </c>
      <c r="G81" s="5" t="s">
        <v>88</v>
      </c>
      <c r="H81" s="5" t="s">
        <v>770</v>
      </c>
      <c r="I81" s="5" t="s">
        <v>771</v>
      </c>
      <c r="J81" s="5" t="s">
        <v>132</v>
      </c>
      <c r="K81" s="5" t="s">
        <v>461</v>
      </c>
      <c r="L81" s="5" t="s">
        <v>43</v>
      </c>
      <c r="M81" s="5" t="s">
        <v>1013</v>
      </c>
      <c r="N81" s="5" t="s">
        <v>1020</v>
      </c>
      <c r="O81" s="5" t="s">
        <v>1065</v>
      </c>
      <c r="P81" s="5" t="s">
        <v>44</v>
      </c>
      <c r="Q81" s="3">
        <f t="shared" si="8"/>
        <v>97301.939058171745</v>
      </c>
      <c r="R81" s="8">
        <f t="shared" si="9"/>
        <v>-93789.307479224371</v>
      </c>
      <c r="S81" s="6">
        <f t="shared" si="10"/>
        <v>18487.36842105263</v>
      </c>
      <c r="T81" s="6">
        <f t="shared" si="11"/>
        <v>3.1578947370235255E-2</v>
      </c>
      <c r="U81" s="6">
        <v>3512.6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6">
        <v>0</v>
      </c>
      <c r="AK81" s="6">
        <v>22000</v>
      </c>
      <c r="AL81" s="5" t="s">
        <v>45</v>
      </c>
      <c r="AM81" s="5" t="s">
        <v>46</v>
      </c>
    </row>
    <row r="82" spans="1:40" s="5" customFormat="1" ht="12.75" x14ac:dyDescent="0.2">
      <c r="A82" s="5" t="s">
        <v>32</v>
      </c>
      <c r="B82" s="5" t="s">
        <v>775</v>
      </c>
      <c r="C82" s="5" t="s">
        <v>776</v>
      </c>
      <c r="D82" s="5" t="s">
        <v>458</v>
      </c>
      <c r="E82" s="5" t="s">
        <v>36</v>
      </c>
      <c r="F82" s="5" t="s">
        <v>37</v>
      </c>
      <c r="G82" s="5" t="s">
        <v>88</v>
      </c>
      <c r="H82" s="5" t="s">
        <v>777</v>
      </c>
      <c r="I82" s="5" t="s">
        <v>778</v>
      </c>
      <c r="J82" s="5" t="s">
        <v>132</v>
      </c>
      <c r="K82" s="5" t="s">
        <v>461</v>
      </c>
      <c r="L82" s="5" t="s">
        <v>43</v>
      </c>
      <c r="M82" s="5" t="s">
        <v>1013</v>
      </c>
      <c r="N82" s="5" t="s">
        <v>1020</v>
      </c>
      <c r="O82" s="5" t="s">
        <v>1065</v>
      </c>
      <c r="P82" s="5" t="s">
        <v>44</v>
      </c>
      <c r="Q82" s="3">
        <f t="shared" si="8"/>
        <v>95532.96398891967</v>
      </c>
      <c r="R82" s="8">
        <f t="shared" si="9"/>
        <v>-86084.227146814403</v>
      </c>
      <c r="S82" s="6">
        <f t="shared" si="10"/>
        <v>18151.263157894737</v>
      </c>
      <c r="T82" s="6">
        <f t="shared" si="11"/>
        <v>5999.9968421052636</v>
      </c>
      <c r="U82" s="6">
        <v>3448.74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6">
        <v>0</v>
      </c>
      <c r="AK82" s="6">
        <v>27600</v>
      </c>
      <c r="AL82" s="5" t="s">
        <v>45</v>
      </c>
      <c r="AM82" s="5" t="s">
        <v>46</v>
      </c>
      <c r="AN82" s="3"/>
    </row>
    <row r="83" spans="1:40" s="5" customFormat="1" ht="12.75" x14ac:dyDescent="0.2">
      <c r="A83" s="5" t="s">
        <v>32</v>
      </c>
      <c r="B83" s="5" t="s">
        <v>779</v>
      </c>
      <c r="C83" s="5" t="s">
        <v>780</v>
      </c>
      <c r="D83" s="5" t="s">
        <v>458</v>
      </c>
      <c r="E83" s="5" t="s">
        <v>36</v>
      </c>
      <c r="F83" s="5" t="s">
        <v>37</v>
      </c>
      <c r="G83" s="5" t="s">
        <v>88</v>
      </c>
      <c r="H83" s="5" t="s">
        <v>781</v>
      </c>
      <c r="I83" s="5" t="s">
        <v>782</v>
      </c>
      <c r="J83" s="5" t="s">
        <v>132</v>
      </c>
      <c r="K83" s="5" t="s">
        <v>461</v>
      </c>
      <c r="L83" s="5" t="s">
        <v>43</v>
      </c>
      <c r="M83" s="5" t="s">
        <v>1013</v>
      </c>
      <c r="N83" s="5" t="s">
        <v>1020</v>
      </c>
      <c r="O83" s="5" t="s">
        <v>1065</v>
      </c>
      <c r="P83" s="5" t="s">
        <v>44</v>
      </c>
      <c r="Q83" s="3">
        <f t="shared" si="8"/>
        <v>159663.71191135736</v>
      </c>
      <c r="R83" s="8">
        <f t="shared" si="9"/>
        <v>-153899.81717451525</v>
      </c>
      <c r="S83" s="6">
        <f t="shared" si="10"/>
        <v>30336.105263157897</v>
      </c>
      <c r="T83" s="6">
        <f t="shared" si="11"/>
        <v>3.4736842103484378E-2</v>
      </c>
      <c r="U83" s="6">
        <v>5763.86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6">
        <v>0</v>
      </c>
      <c r="AK83" s="6">
        <v>36100</v>
      </c>
      <c r="AL83" s="5" t="s">
        <v>45</v>
      </c>
      <c r="AM83" s="5" t="s">
        <v>46</v>
      </c>
      <c r="AN83" s="3"/>
    </row>
    <row r="84" spans="1:40" s="5" customFormat="1" ht="12.75" x14ac:dyDescent="0.2">
      <c r="A84" s="5" t="s">
        <v>32</v>
      </c>
      <c r="B84" s="5" t="s">
        <v>787</v>
      </c>
      <c r="C84" s="5" t="s">
        <v>788</v>
      </c>
      <c r="D84" s="5" t="s">
        <v>458</v>
      </c>
      <c r="E84" s="5" t="s">
        <v>36</v>
      </c>
      <c r="F84" s="5" t="s">
        <v>37</v>
      </c>
      <c r="G84" s="5" t="s">
        <v>88</v>
      </c>
      <c r="H84" s="5" t="s">
        <v>781</v>
      </c>
      <c r="I84" s="5" t="s">
        <v>789</v>
      </c>
      <c r="J84" s="5" t="s">
        <v>132</v>
      </c>
      <c r="K84" s="5" t="s">
        <v>461</v>
      </c>
      <c r="L84" s="5" t="s">
        <v>43</v>
      </c>
      <c r="M84" s="5" t="s">
        <v>1013</v>
      </c>
      <c r="N84" s="5" t="s">
        <v>1020</v>
      </c>
      <c r="O84" s="5" t="s">
        <v>1065</v>
      </c>
      <c r="P84" s="5" t="s">
        <v>44</v>
      </c>
      <c r="Q84" s="3">
        <f t="shared" si="8"/>
        <v>1641928.5318559555</v>
      </c>
      <c r="R84" s="8">
        <f t="shared" si="9"/>
        <v>-1569454.9529085872</v>
      </c>
      <c r="S84" s="6">
        <f t="shared" si="10"/>
        <v>311966.42105263157</v>
      </c>
      <c r="T84" s="6">
        <f t="shared" si="11"/>
        <v>13199.958947368425</v>
      </c>
      <c r="U84" s="6">
        <v>59273.62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6">
        <v>0</v>
      </c>
      <c r="AK84" s="6">
        <v>384440</v>
      </c>
      <c r="AL84" s="5" t="s">
        <v>45</v>
      </c>
      <c r="AM84" s="5" t="s">
        <v>46</v>
      </c>
      <c r="AN84" s="3"/>
    </row>
    <row r="85" spans="1:40" s="3" customFormat="1" ht="12.75" x14ac:dyDescent="0.2">
      <c r="A85" s="5" t="s">
        <v>32</v>
      </c>
      <c r="B85" s="5" t="s">
        <v>812</v>
      </c>
      <c r="C85" s="5" t="s">
        <v>813</v>
      </c>
      <c r="D85" s="5" t="s">
        <v>458</v>
      </c>
      <c r="E85" s="5" t="s">
        <v>36</v>
      </c>
      <c r="F85" s="5" t="s">
        <v>37</v>
      </c>
      <c r="G85" s="5" t="s">
        <v>88</v>
      </c>
      <c r="H85" s="5" t="s">
        <v>814</v>
      </c>
      <c r="I85" s="5" t="s">
        <v>815</v>
      </c>
      <c r="J85" s="5" t="s">
        <v>132</v>
      </c>
      <c r="K85" s="5" t="s">
        <v>461</v>
      </c>
      <c r="L85" s="5" t="s">
        <v>43</v>
      </c>
      <c r="M85" s="5" t="s">
        <v>1013</v>
      </c>
      <c r="N85" s="5" t="s">
        <v>1020</v>
      </c>
      <c r="O85" s="5" t="s">
        <v>1065</v>
      </c>
      <c r="P85" s="5" t="s">
        <v>44</v>
      </c>
      <c r="Q85" s="3">
        <f t="shared" si="8"/>
        <v>17691.135734072024</v>
      </c>
      <c r="R85" s="8">
        <f t="shared" si="9"/>
        <v>-13052.451523545707</v>
      </c>
      <c r="S85" s="6">
        <f t="shared" si="10"/>
        <v>3361.3157894736842</v>
      </c>
      <c r="T85" s="6">
        <f t="shared" si="11"/>
        <v>4000.0342105263157</v>
      </c>
      <c r="U85" s="6">
        <v>638.65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6">
        <v>0</v>
      </c>
      <c r="AK85" s="6">
        <v>8000</v>
      </c>
      <c r="AL85" s="5" t="s">
        <v>45</v>
      </c>
      <c r="AM85" s="5" t="s">
        <v>46</v>
      </c>
    </row>
    <row r="86" spans="1:40" s="3" customFormat="1" ht="12.75" x14ac:dyDescent="0.2">
      <c r="A86" s="5" t="s">
        <v>32</v>
      </c>
      <c r="B86" s="5" t="s">
        <v>854</v>
      </c>
      <c r="C86" s="5" t="s">
        <v>855</v>
      </c>
      <c r="D86" s="5" t="s">
        <v>458</v>
      </c>
      <c r="E86" s="5" t="s">
        <v>36</v>
      </c>
      <c r="F86" s="5" t="s">
        <v>37</v>
      </c>
      <c r="G86" s="5" t="s">
        <v>88</v>
      </c>
      <c r="H86" s="5" t="s">
        <v>847</v>
      </c>
      <c r="I86" s="5" t="s">
        <v>856</v>
      </c>
      <c r="J86" s="5" t="s">
        <v>132</v>
      </c>
      <c r="K86" s="5" t="s">
        <v>461</v>
      </c>
      <c r="L86" s="5" t="s">
        <v>43</v>
      </c>
      <c r="M86" s="5" t="s">
        <v>1013</v>
      </c>
      <c r="N86" s="5" t="s">
        <v>1020</v>
      </c>
      <c r="O86" s="5" t="s">
        <v>1065</v>
      </c>
      <c r="P86" s="5" t="s">
        <v>44</v>
      </c>
      <c r="Q86" s="3">
        <f t="shared" si="8"/>
        <v>215833.51800554019</v>
      </c>
      <c r="R86" s="8">
        <f t="shared" si="9"/>
        <v>-208041.88642659283</v>
      </c>
      <c r="S86" s="6">
        <f t="shared" si="10"/>
        <v>41008.368421052633</v>
      </c>
      <c r="T86" s="6">
        <f t="shared" si="11"/>
        <v>4.1578947366360808E-2</v>
      </c>
      <c r="U86" s="6">
        <v>7791.59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6">
        <v>0</v>
      </c>
      <c r="AK86" s="6">
        <v>48800</v>
      </c>
      <c r="AL86" s="5" t="s">
        <v>45</v>
      </c>
      <c r="AM86" s="5" t="s">
        <v>46</v>
      </c>
    </row>
    <row r="87" spans="1:40" s="3" customFormat="1" ht="12.75" x14ac:dyDescent="0.2">
      <c r="A87" s="5" t="s">
        <v>32</v>
      </c>
      <c r="B87" s="5" t="s">
        <v>886</v>
      </c>
      <c r="C87" s="5" t="s">
        <v>887</v>
      </c>
      <c r="D87" s="5" t="s">
        <v>458</v>
      </c>
      <c r="E87" s="5" t="s">
        <v>36</v>
      </c>
      <c r="F87" s="5" t="s">
        <v>37</v>
      </c>
      <c r="G87" s="5" t="s">
        <v>88</v>
      </c>
      <c r="H87" s="5" t="s">
        <v>874</v>
      </c>
      <c r="I87" s="5" t="s">
        <v>888</v>
      </c>
      <c r="J87" s="5" t="s">
        <v>132</v>
      </c>
      <c r="K87" s="5" t="s">
        <v>461</v>
      </c>
      <c r="L87" s="5" t="s">
        <v>43</v>
      </c>
      <c r="M87" s="5" t="s">
        <v>1013</v>
      </c>
      <c r="N87" s="5" t="s">
        <v>1020</v>
      </c>
      <c r="O87" s="5" t="s">
        <v>1065</v>
      </c>
      <c r="P87" s="5" t="s">
        <v>44</v>
      </c>
      <c r="Q87" s="3">
        <f t="shared" si="8"/>
        <v>70765.096952908585</v>
      </c>
      <c r="R87" s="8">
        <f t="shared" si="9"/>
        <v>-64210.465373961219</v>
      </c>
      <c r="S87" s="6">
        <f t="shared" si="10"/>
        <v>13445.368421052632</v>
      </c>
      <c r="T87" s="6">
        <f t="shared" si="11"/>
        <v>4000.0115789473684</v>
      </c>
      <c r="U87" s="6">
        <v>2554.62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6">
        <v>0</v>
      </c>
      <c r="AK87" s="6">
        <v>20000</v>
      </c>
      <c r="AL87" s="5" t="s">
        <v>45</v>
      </c>
      <c r="AM87" s="5" t="s">
        <v>46</v>
      </c>
    </row>
    <row r="88" spans="1:40" s="3" customFormat="1" ht="12.75" x14ac:dyDescent="0.2">
      <c r="A88" s="5" t="s">
        <v>32</v>
      </c>
      <c r="B88" s="5" t="s">
        <v>910</v>
      </c>
      <c r="C88" s="5" t="s">
        <v>911</v>
      </c>
      <c r="D88" s="5" t="s">
        <v>458</v>
      </c>
      <c r="E88" s="5" t="s">
        <v>36</v>
      </c>
      <c r="F88" s="5" t="s">
        <v>37</v>
      </c>
      <c r="G88" s="5" t="s">
        <v>37</v>
      </c>
      <c r="H88" s="5" t="s">
        <v>912</v>
      </c>
      <c r="I88" s="5" t="s">
        <v>913</v>
      </c>
      <c r="J88" s="5" t="s">
        <v>132</v>
      </c>
      <c r="K88" s="5" t="s">
        <v>461</v>
      </c>
      <c r="L88" s="5" t="s">
        <v>43</v>
      </c>
      <c r="M88" s="5" t="s">
        <v>1013</v>
      </c>
      <c r="N88" s="5" t="s">
        <v>1020</v>
      </c>
      <c r="O88" s="5" t="s">
        <v>1065</v>
      </c>
      <c r="P88" s="5" t="s">
        <v>44</v>
      </c>
      <c r="Q88" s="3">
        <f t="shared" si="8"/>
        <v>725785.04155124654</v>
      </c>
      <c r="R88" s="8">
        <f t="shared" si="9"/>
        <v>-695584.19944598339</v>
      </c>
      <c r="S88" s="6">
        <f t="shared" si="10"/>
        <v>137899.15789473685</v>
      </c>
      <c r="T88" s="6">
        <f t="shared" si="11"/>
        <v>4000.0021052631455</v>
      </c>
      <c r="U88" s="6">
        <v>26200.84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6">
        <v>0</v>
      </c>
      <c r="AK88" s="6">
        <v>168100</v>
      </c>
      <c r="AL88" s="5" t="s">
        <v>45</v>
      </c>
      <c r="AM88" s="5" t="s">
        <v>46</v>
      </c>
    </row>
    <row r="89" spans="1:40" s="3" customFormat="1" ht="12.75" x14ac:dyDescent="0.2">
      <c r="A89" s="5" t="s">
        <v>32</v>
      </c>
      <c r="B89" s="5" t="s">
        <v>421</v>
      </c>
      <c r="C89" s="5" t="s">
        <v>422</v>
      </c>
      <c r="D89" s="5" t="s">
        <v>423</v>
      </c>
      <c r="E89" s="5" t="s">
        <v>36</v>
      </c>
      <c r="F89" s="5" t="s">
        <v>37</v>
      </c>
      <c r="G89" s="5" t="s">
        <v>88</v>
      </c>
      <c r="H89" s="5" t="s">
        <v>424</v>
      </c>
      <c r="I89" s="5" t="s">
        <v>425</v>
      </c>
      <c r="J89" s="5" t="s">
        <v>426</v>
      </c>
      <c r="K89" s="5" t="s">
        <v>427</v>
      </c>
      <c r="L89" s="5" t="s">
        <v>43</v>
      </c>
      <c r="M89" s="5" t="s">
        <v>1055</v>
      </c>
      <c r="N89" s="5" t="s">
        <v>1020</v>
      </c>
      <c r="O89" s="5" t="s">
        <v>1002</v>
      </c>
      <c r="P89" s="5" t="s">
        <v>44</v>
      </c>
      <c r="Q89" s="3">
        <f t="shared" si="8"/>
        <v>0</v>
      </c>
      <c r="R89" s="8">
        <f t="shared" si="9"/>
        <v>168499</v>
      </c>
      <c r="S89" s="6">
        <f t="shared" si="10"/>
        <v>0</v>
      </c>
      <c r="T89" s="6">
        <f t="shared" si="11"/>
        <v>168499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168499</v>
      </c>
      <c r="AL89" s="5" t="s">
        <v>45</v>
      </c>
      <c r="AM89" s="5" t="s">
        <v>46</v>
      </c>
    </row>
    <row r="90" spans="1:40" s="3" customFormat="1" ht="12.75" x14ac:dyDescent="0.2">
      <c r="A90" s="5" t="s">
        <v>32</v>
      </c>
      <c r="B90" s="5" t="s">
        <v>492</v>
      </c>
      <c r="C90" s="5" t="s">
        <v>493</v>
      </c>
      <c r="D90" s="5" t="s">
        <v>494</v>
      </c>
      <c r="E90" s="5" t="s">
        <v>36</v>
      </c>
      <c r="F90" s="5" t="s">
        <v>37</v>
      </c>
      <c r="G90" s="5" t="s">
        <v>38</v>
      </c>
      <c r="H90" s="5" t="s">
        <v>490</v>
      </c>
      <c r="I90" s="5" t="s">
        <v>495</v>
      </c>
      <c r="J90" s="5" t="s">
        <v>426</v>
      </c>
      <c r="K90" s="5" t="s">
        <v>427</v>
      </c>
      <c r="L90" s="5" t="s">
        <v>43</v>
      </c>
      <c r="M90" s="5" t="s">
        <v>1055</v>
      </c>
      <c r="N90" s="5" t="s">
        <v>1020</v>
      </c>
      <c r="O90" s="5" t="s">
        <v>1002</v>
      </c>
      <c r="P90" s="5" t="s">
        <v>44</v>
      </c>
      <c r="Q90" s="3">
        <f t="shared" si="8"/>
        <v>0</v>
      </c>
      <c r="R90" s="8">
        <f t="shared" si="9"/>
        <v>168314</v>
      </c>
      <c r="S90" s="6">
        <f t="shared" si="10"/>
        <v>0</v>
      </c>
      <c r="T90" s="6">
        <f t="shared" si="11"/>
        <v>168314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168314</v>
      </c>
      <c r="AL90" s="5" t="s">
        <v>45</v>
      </c>
      <c r="AM90" s="5" t="s">
        <v>46</v>
      </c>
    </row>
    <row r="91" spans="1:40" s="3" customFormat="1" ht="12.75" x14ac:dyDescent="0.2">
      <c r="A91" s="5" t="s">
        <v>32</v>
      </c>
      <c r="B91" s="5" t="s">
        <v>543</v>
      </c>
      <c r="C91" s="5" t="s">
        <v>544</v>
      </c>
      <c r="D91" s="5" t="s">
        <v>423</v>
      </c>
      <c r="E91" s="5" t="s">
        <v>36</v>
      </c>
      <c r="F91" s="5" t="s">
        <v>37</v>
      </c>
      <c r="G91" s="5" t="s">
        <v>88</v>
      </c>
      <c r="H91" s="5" t="s">
        <v>539</v>
      </c>
      <c r="I91" s="5" t="s">
        <v>545</v>
      </c>
      <c r="J91" s="5" t="s">
        <v>426</v>
      </c>
      <c r="K91" s="5" t="s">
        <v>427</v>
      </c>
      <c r="L91" s="5" t="s">
        <v>43</v>
      </c>
      <c r="M91" s="5" t="s">
        <v>1055</v>
      </c>
      <c r="N91" s="5" t="s">
        <v>1020</v>
      </c>
      <c r="O91" s="5" t="s">
        <v>1002</v>
      </c>
      <c r="P91" s="5" t="s">
        <v>44</v>
      </c>
      <c r="Q91" s="3">
        <f t="shared" si="8"/>
        <v>0</v>
      </c>
      <c r="R91" s="8">
        <f t="shared" si="9"/>
        <v>48240</v>
      </c>
      <c r="S91" s="6">
        <f t="shared" si="10"/>
        <v>0</v>
      </c>
      <c r="T91" s="6">
        <f t="shared" si="11"/>
        <v>48240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48240</v>
      </c>
      <c r="AL91" s="5" t="s">
        <v>45</v>
      </c>
      <c r="AM91" s="5" t="s">
        <v>46</v>
      </c>
    </row>
    <row r="92" spans="1:40" s="3" customFormat="1" ht="12.75" x14ac:dyDescent="0.2">
      <c r="A92" s="5" t="s">
        <v>32</v>
      </c>
      <c r="B92" s="5" t="s">
        <v>595</v>
      </c>
      <c r="C92" s="5" t="s">
        <v>596</v>
      </c>
      <c r="D92" s="5" t="s">
        <v>423</v>
      </c>
      <c r="E92" s="5" t="s">
        <v>36</v>
      </c>
      <c r="F92" s="5" t="s">
        <v>37</v>
      </c>
      <c r="G92" s="5" t="s">
        <v>88</v>
      </c>
      <c r="H92" s="5" t="s">
        <v>597</v>
      </c>
      <c r="I92" s="5" t="s">
        <v>598</v>
      </c>
      <c r="J92" s="5" t="s">
        <v>426</v>
      </c>
      <c r="K92" s="5" t="s">
        <v>427</v>
      </c>
      <c r="L92" s="5" t="s">
        <v>43</v>
      </c>
      <c r="M92" s="5" t="s">
        <v>1055</v>
      </c>
      <c r="N92" s="5" t="s">
        <v>1020</v>
      </c>
      <c r="O92" s="5" t="s">
        <v>1002</v>
      </c>
      <c r="P92" s="5" t="s">
        <v>44</v>
      </c>
      <c r="Q92" s="3">
        <f t="shared" si="8"/>
        <v>0</v>
      </c>
      <c r="R92" s="8">
        <f t="shared" si="9"/>
        <v>162015</v>
      </c>
      <c r="S92" s="6">
        <f t="shared" si="10"/>
        <v>0</v>
      </c>
      <c r="T92" s="6">
        <f t="shared" si="11"/>
        <v>162015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162015</v>
      </c>
      <c r="AL92" s="5" t="s">
        <v>45</v>
      </c>
      <c r="AM92" s="5" t="s">
        <v>46</v>
      </c>
    </row>
    <row r="93" spans="1:40" s="3" customFormat="1" ht="12.75" x14ac:dyDescent="0.2">
      <c r="A93" s="5" t="s">
        <v>32</v>
      </c>
      <c r="B93" s="5" t="s">
        <v>635</v>
      </c>
      <c r="C93" s="5" t="s">
        <v>636</v>
      </c>
      <c r="D93" s="5" t="s">
        <v>494</v>
      </c>
      <c r="E93" s="5" t="s">
        <v>36</v>
      </c>
      <c r="F93" s="5" t="s">
        <v>37</v>
      </c>
      <c r="G93" s="5" t="s">
        <v>88</v>
      </c>
      <c r="H93" s="5" t="s">
        <v>637</v>
      </c>
      <c r="I93" s="5" t="s">
        <v>638</v>
      </c>
      <c r="J93" s="5" t="s">
        <v>426</v>
      </c>
      <c r="K93" s="5" t="s">
        <v>427</v>
      </c>
      <c r="L93" s="5" t="s">
        <v>43</v>
      </c>
      <c r="M93" s="5" t="s">
        <v>1055</v>
      </c>
      <c r="N93" s="5" t="s">
        <v>1020</v>
      </c>
      <c r="O93" s="5" t="s">
        <v>1002</v>
      </c>
      <c r="P93" s="5" t="s">
        <v>44</v>
      </c>
      <c r="Q93" s="3">
        <f t="shared" si="8"/>
        <v>0</v>
      </c>
      <c r="R93" s="8">
        <f t="shared" si="9"/>
        <v>121767</v>
      </c>
      <c r="S93" s="6">
        <f t="shared" si="10"/>
        <v>0</v>
      </c>
      <c r="T93" s="6">
        <f t="shared" si="11"/>
        <v>121767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121767</v>
      </c>
      <c r="AL93" s="5" t="s">
        <v>45</v>
      </c>
      <c r="AM93" s="5" t="s">
        <v>46</v>
      </c>
      <c r="AN93" s="5"/>
    </row>
    <row r="94" spans="1:40" s="3" customFormat="1" ht="12.75" x14ac:dyDescent="0.2">
      <c r="A94" s="5" t="s">
        <v>32</v>
      </c>
      <c r="B94" s="5" t="s">
        <v>693</v>
      </c>
      <c r="C94" s="5" t="s">
        <v>694</v>
      </c>
      <c r="D94" s="5" t="s">
        <v>423</v>
      </c>
      <c r="E94" s="5" t="s">
        <v>36</v>
      </c>
      <c r="F94" s="5" t="s">
        <v>37</v>
      </c>
      <c r="G94" s="5" t="s">
        <v>88</v>
      </c>
      <c r="H94" s="5" t="s">
        <v>695</v>
      </c>
      <c r="I94" s="5" t="s">
        <v>696</v>
      </c>
      <c r="J94" s="5" t="s">
        <v>426</v>
      </c>
      <c r="K94" s="5" t="s">
        <v>427</v>
      </c>
      <c r="L94" s="5" t="s">
        <v>43</v>
      </c>
      <c r="M94" s="5" t="s">
        <v>1055</v>
      </c>
      <c r="N94" s="5" t="s">
        <v>1020</v>
      </c>
      <c r="O94" s="5" t="s">
        <v>1002</v>
      </c>
      <c r="P94" s="5" t="s">
        <v>44</v>
      </c>
      <c r="Q94" s="3">
        <f t="shared" si="8"/>
        <v>0</v>
      </c>
      <c r="R94" s="8">
        <f t="shared" si="9"/>
        <v>174278</v>
      </c>
      <c r="S94" s="6">
        <f t="shared" si="10"/>
        <v>0</v>
      </c>
      <c r="T94" s="6">
        <f t="shared" si="11"/>
        <v>174278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174278</v>
      </c>
      <c r="AL94" s="5" t="s">
        <v>45</v>
      </c>
      <c r="AM94" s="5" t="s">
        <v>46</v>
      </c>
      <c r="AN94" s="5"/>
    </row>
    <row r="95" spans="1:40" s="3" customFormat="1" ht="12.75" x14ac:dyDescent="0.2">
      <c r="A95" s="5" t="s">
        <v>32</v>
      </c>
      <c r="B95" s="5" t="s">
        <v>952</v>
      </c>
      <c r="C95" s="5" t="s">
        <v>953</v>
      </c>
      <c r="D95" s="5" t="s">
        <v>494</v>
      </c>
      <c r="E95" s="5" t="s">
        <v>36</v>
      </c>
      <c r="F95" s="5" t="s">
        <v>37</v>
      </c>
      <c r="G95" s="5" t="s">
        <v>38</v>
      </c>
      <c r="H95" s="5" t="s">
        <v>954</v>
      </c>
      <c r="I95" s="5" t="s">
        <v>955</v>
      </c>
      <c r="J95" s="5" t="s">
        <v>426</v>
      </c>
      <c r="K95" s="5" t="s">
        <v>427</v>
      </c>
      <c r="L95" s="5" t="s">
        <v>43</v>
      </c>
      <c r="M95" s="5" t="s">
        <v>1055</v>
      </c>
      <c r="N95" s="5" t="s">
        <v>1020</v>
      </c>
      <c r="O95" s="5" t="s">
        <v>1002</v>
      </c>
      <c r="P95" s="5" t="s">
        <v>44</v>
      </c>
      <c r="Q95" s="3">
        <f t="shared" si="8"/>
        <v>0</v>
      </c>
      <c r="R95" s="8">
        <f t="shared" si="9"/>
        <v>70000</v>
      </c>
      <c r="S95" s="6">
        <f t="shared" si="10"/>
        <v>0</v>
      </c>
      <c r="T95" s="6">
        <f t="shared" si="11"/>
        <v>70000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70000</v>
      </c>
      <c r="AL95" s="5" t="s">
        <v>45</v>
      </c>
      <c r="AM95" s="5" t="s">
        <v>46</v>
      </c>
      <c r="AN95" s="5"/>
    </row>
    <row r="96" spans="1:40" s="3" customFormat="1" ht="12.75" x14ac:dyDescent="0.2">
      <c r="A96" s="5" t="s">
        <v>32</v>
      </c>
      <c r="B96" s="5" t="s">
        <v>966</v>
      </c>
      <c r="C96" s="5" t="s">
        <v>967</v>
      </c>
      <c r="D96" s="5" t="s">
        <v>494</v>
      </c>
      <c r="E96" s="5" t="s">
        <v>36</v>
      </c>
      <c r="F96" s="5" t="s">
        <v>37</v>
      </c>
      <c r="G96" s="5" t="s">
        <v>88</v>
      </c>
      <c r="H96" s="5" t="s">
        <v>968</v>
      </c>
      <c r="I96" s="5" t="s">
        <v>969</v>
      </c>
      <c r="J96" s="5" t="s">
        <v>426</v>
      </c>
      <c r="K96" s="5" t="s">
        <v>427</v>
      </c>
      <c r="L96" s="5" t="s">
        <v>43</v>
      </c>
      <c r="M96" s="5" t="s">
        <v>1055</v>
      </c>
      <c r="N96" s="5" t="s">
        <v>1020</v>
      </c>
      <c r="O96" s="5" t="s">
        <v>1002</v>
      </c>
      <c r="P96" s="5" t="s">
        <v>44</v>
      </c>
      <c r="Q96" s="3">
        <f t="shared" si="8"/>
        <v>0</v>
      </c>
      <c r="R96" s="8">
        <f t="shared" si="9"/>
        <v>70000</v>
      </c>
      <c r="S96" s="6">
        <f t="shared" si="10"/>
        <v>0</v>
      </c>
      <c r="T96" s="6">
        <f t="shared" si="11"/>
        <v>70000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70000</v>
      </c>
      <c r="AL96" s="5" t="s">
        <v>45</v>
      </c>
      <c r="AM96" s="5" t="s">
        <v>46</v>
      </c>
      <c r="AN96" s="5"/>
    </row>
    <row r="97" spans="1:40" s="5" customFormat="1" ht="12.75" x14ac:dyDescent="0.2">
      <c r="A97" s="5" t="s">
        <v>32</v>
      </c>
      <c r="B97" s="5" t="s">
        <v>974</v>
      </c>
      <c r="C97" s="5" t="s">
        <v>975</v>
      </c>
      <c r="D97" s="5" t="s">
        <v>494</v>
      </c>
      <c r="E97" s="5" t="s">
        <v>36</v>
      </c>
      <c r="F97" s="5" t="s">
        <v>37</v>
      </c>
      <c r="G97" s="5" t="s">
        <v>88</v>
      </c>
      <c r="H97" s="5" t="s">
        <v>976</v>
      </c>
      <c r="I97" s="5" t="s">
        <v>977</v>
      </c>
      <c r="J97" s="5" t="s">
        <v>426</v>
      </c>
      <c r="K97" s="5" t="s">
        <v>427</v>
      </c>
      <c r="L97" s="5" t="s">
        <v>43</v>
      </c>
      <c r="M97" s="5" t="s">
        <v>1055</v>
      </c>
      <c r="N97" s="5" t="s">
        <v>1020</v>
      </c>
      <c r="O97" s="5" t="s">
        <v>1002</v>
      </c>
      <c r="P97" s="5" t="s">
        <v>44</v>
      </c>
      <c r="Q97" s="3">
        <f t="shared" si="8"/>
        <v>0</v>
      </c>
      <c r="R97" s="8">
        <f t="shared" si="9"/>
        <v>100000</v>
      </c>
      <c r="S97" s="6">
        <f t="shared" si="10"/>
        <v>0</v>
      </c>
      <c r="T97" s="6">
        <f t="shared" si="11"/>
        <v>100000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100000</v>
      </c>
      <c r="AL97" s="5" t="s">
        <v>45</v>
      </c>
      <c r="AM97" s="5" t="s">
        <v>46</v>
      </c>
      <c r="AN97" s="3"/>
    </row>
    <row r="98" spans="1:40" s="5" customFormat="1" ht="12.75" x14ac:dyDescent="0.2">
      <c r="A98" s="5" t="s">
        <v>32</v>
      </c>
      <c r="B98" s="5" t="s">
        <v>151</v>
      </c>
      <c r="C98" s="5" t="s">
        <v>152</v>
      </c>
      <c r="D98" s="5" t="s">
        <v>153</v>
      </c>
      <c r="E98" s="5" t="s">
        <v>36</v>
      </c>
      <c r="F98" s="5" t="s">
        <v>37</v>
      </c>
      <c r="G98" s="5" t="s">
        <v>104</v>
      </c>
      <c r="H98" s="5" t="s">
        <v>154</v>
      </c>
      <c r="I98" s="5" t="s">
        <v>155</v>
      </c>
      <c r="J98" s="5" t="s">
        <v>156</v>
      </c>
      <c r="K98" s="5" t="s">
        <v>157</v>
      </c>
      <c r="L98" s="5" t="s">
        <v>43</v>
      </c>
      <c r="M98" s="5" t="s">
        <v>1056</v>
      </c>
      <c r="N98" s="5" t="s">
        <v>1020</v>
      </c>
      <c r="O98" s="5" t="s">
        <v>1002</v>
      </c>
      <c r="P98" s="5" t="s">
        <v>158</v>
      </c>
      <c r="Q98" s="3">
        <f t="shared" si="8"/>
        <v>189960.11080332409</v>
      </c>
      <c r="R98" s="8">
        <f t="shared" si="9"/>
        <v>-183102.53185595566</v>
      </c>
      <c r="S98" s="6">
        <f t="shared" si="10"/>
        <v>36092.42105263158</v>
      </c>
      <c r="T98" s="6">
        <f t="shared" si="11"/>
        <v>1.8947368419503618E-2</v>
      </c>
      <c r="U98" s="6">
        <v>6857.56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6">
        <v>0</v>
      </c>
      <c r="AK98" s="6">
        <v>42950</v>
      </c>
      <c r="AL98" s="5" t="s">
        <v>45</v>
      </c>
      <c r="AM98" s="5" t="s">
        <v>46</v>
      </c>
      <c r="AN98" s="3"/>
    </row>
    <row r="99" spans="1:40" s="5" customFormat="1" ht="12.75" x14ac:dyDescent="0.2">
      <c r="A99" s="5" t="s">
        <v>32</v>
      </c>
      <c r="B99" s="5" t="s">
        <v>227</v>
      </c>
      <c r="C99" s="5" t="s">
        <v>228</v>
      </c>
      <c r="D99" s="5" t="s">
        <v>229</v>
      </c>
      <c r="E99" s="5" t="s">
        <v>36</v>
      </c>
      <c r="F99" s="5" t="s">
        <v>37</v>
      </c>
      <c r="G99" s="5" t="s">
        <v>104</v>
      </c>
      <c r="H99" s="5" t="s">
        <v>225</v>
      </c>
      <c r="I99" s="5" t="s">
        <v>230</v>
      </c>
      <c r="J99" s="5" t="s">
        <v>156</v>
      </c>
      <c r="K99" s="5" t="s">
        <v>157</v>
      </c>
      <c r="L99" s="5" t="s">
        <v>43</v>
      </c>
      <c r="M99" s="5" t="s">
        <v>1056</v>
      </c>
      <c r="N99" s="5" t="s">
        <v>1020</v>
      </c>
      <c r="O99" s="5" t="s">
        <v>1002</v>
      </c>
      <c r="P99" s="5" t="s">
        <v>158</v>
      </c>
      <c r="Q99" s="3">
        <f t="shared" ref="Q99:Q125" si="12">+S99/19*100</f>
        <v>298982.82548476459</v>
      </c>
      <c r="R99" s="8">
        <f t="shared" ref="R99:R125" si="13">+AK99-Q99-S99</f>
        <v>-288189.56232686987</v>
      </c>
      <c r="S99" s="6">
        <f t="shared" ref="S99:S125" si="14">+U99/19*100</f>
        <v>56806.736842105274</v>
      </c>
      <c r="T99" s="6">
        <f t="shared" ref="T99:T125" si="15">+AK99-S99-U99</f>
        <v>-1.684210527491814E-2</v>
      </c>
      <c r="U99" s="6">
        <v>10793.28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6">
        <v>0</v>
      </c>
      <c r="AK99" s="6">
        <v>67600</v>
      </c>
      <c r="AL99" s="5" t="s">
        <v>45</v>
      </c>
      <c r="AM99" s="5" t="s">
        <v>46</v>
      </c>
      <c r="AN99" s="3"/>
    </row>
    <row r="100" spans="1:40" s="5" customFormat="1" ht="12.75" x14ac:dyDescent="0.2">
      <c r="A100" s="5" t="s">
        <v>32</v>
      </c>
      <c r="B100" s="5" t="s">
        <v>447</v>
      </c>
      <c r="C100" s="5" t="s">
        <v>448</v>
      </c>
      <c r="D100" s="5" t="s">
        <v>449</v>
      </c>
      <c r="E100" s="5" t="s">
        <v>36</v>
      </c>
      <c r="F100" s="5" t="s">
        <v>37</v>
      </c>
      <c r="G100" s="5" t="s">
        <v>38</v>
      </c>
      <c r="H100" s="5" t="s">
        <v>450</v>
      </c>
      <c r="I100" s="5" t="s">
        <v>451</v>
      </c>
      <c r="J100" s="5" t="s">
        <v>156</v>
      </c>
      <c r="K100" s="5" t="s">
        <v>157</v>
      </c>
      <c r="L100" s="5" t="s">
        <v>43</v>
      </c>
      <c r="M100" s="5" t="s">
        <v>1056</v>
      </c>
      <c r="N100" s="5" t="s">
        <v>1020</v>
      </c>
      <c r="O100" s="5" t="s">
        <v>1002</v>
      </c>
      <c r="P100" s="5" t="s">
        <v>158</v>
      </c>
      <c r="Q100" s="3">
        <f t="shared" si="12"/>
        <v>1283060.6648199446</v>
      </c>
      <c r="R100" s="8">
        <f t="shared" si="13"/>
        <v>-1236742.1911357341</v>
      </c>
      <c r="S100" s="6">
        <f t="shared" si="14"/>
        <v>243781.52631578947</v>
      </c>
      <c r="T100" s="6">
        <f t="shared" si="15"/>
        <v>-1.631578946398804E-2</v>
      </c>
      <c r="U100" s="6">
        <v>46318.49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6">
        <v>0</v>
      </c>
      <c r="AK100" s="6">
        <v>290100</v>
      </c>
      <c r="AL100" s="5" t="s">
        <v>45</v>
      </c>
      <c r="AM100" s="5" t="s">
        <v>46</v>
      </c>
      <c r="AN100" s="3"/>
    </row>
    <row r="101" spans="1:40" s="3" customFormat="1" ht="12.75" x14ac:dyDescent="0.2">
      <c r="A101" s="5" t="s">
        <v>32</v>
      </c>
      <c r="B101" s="5" t="s">
        <v>452</v>
      </c>
      <c r="C101" s="5" t="s">
        <v>453</v>
      </c>
      <c r="D101" s="5" t="s">
        <v>454</v>
      </c>
      <c r="E101" s="5" t="s">
        <v>36</v>
      </c>
      <c r="F101" s="5" t="s">
        <v>37</v>
      </c>
      <c r="G101" s="5" t="s">
        <v>104</v>
      </c>
      <c r="H101" s="5" t="s">
        <v>445</v>
      </c>
      <c r="I101" s="5" t="s">
        <v>455</v>
      </c>
      <c r="J101" s="5" t="s">
        <v>156</v>
      </c>
      <c r="K101" s="5" t="s">
        <v>157</v>
      </c>
      <c r="L101" s="5" t="s">
        <v>43</v>
      </c>
      <c r="M101" s="5" t="s">
        <v>1056</v>
      </c>
      <c r="N101" s="5" t="s">
        <v>1020</v>
      </c>
      <c r="O101" s="5" t="s">
        <v>1002</v>
      </c>
      <c r="P101" s="5" t="s">
        <v>158</v>
      </c>
      <c r="Q101" s="3">
        <f t="shared" si="12"/>
        <v>537372.8531855956</v>
      </c>
      <c r="R101" s="8">
        <f t="shared" si="13"/>
        <v>-517973.69529085874</v>
      </c>
      <c r="S101" s="6">
        <f t="shared" si="14"/>
        <v>102100.84210526316</v>
      </c>
      <c r="T101" s="6">
        <f t="shared" si="15"/>
        <v>-2.1052631600468885E-3</v>
      </c>
      <c r="U101" s="6">
        <v>19399.16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6">
        <v>0</v>
      </c>
      <c r="AK101" s="6">
        <v>121500</v>
      </c>
      <c r="AL101" s="5" t="s">
        <v>45</v>
      </c>
      <c r="AM101" s="5" t="s">
        <v>46</v>
      </c>
      <c r="AN101" s="5"/>
    </row>
    <row r="102" spans="1:40" s="3" customFormat="1" ht="12.75" x14ac:dyDescent="0.2">
      <c r="A102" s="5" t="s">
        <v>32</v>
      </c>
      <c r="B102" s="5" t="s">
        <v>496</v>
      </c>
      <c r="C102" s="5" t="s">
        <v>497</v>
      </c>
      <c r="D102" s="5" t="s">
        <v>498</v>
      </c>
      <c r="E102" s="5" t="s">
        <v>36</v>
      </c>
      <c r="F102" s="5" t="s">
        <v>37</v>
      </c>
      <c r="G102" s="5" t="s">
        <v>104</v>
      </c>
      <c r="H102" s="5" t="s">
        <v>499</v>
      </c>
      <c r="I102" s="5" t="s">
        <v>500</v>
      </c>
      <c r="J102" s="5" t="s">
        <v>156</v>
      </c>
      <c r="K102" s="5" t="s">
        <v>157</v>
      </c>
      <c r="L102" s="5" t="s">
        <v>43</v>
      </c>
      <c r="M102" s="5" t="s">
        <v>1056</v>
      </c>
      <c r="N102" s="5" t="s">
        <v>1020</v>
      </c>
      <c r="O102" s="5" t="s">
        <v>1002</v>
      </c>
      <c r="P102" s="5" t="s">
        <v>158</v>
      </c>
      <c r="Q102" s="3">
        <f t="shared" si="12"/>
        <v>441839.88919667591</v>
      </c>
      <c r="R102" s="8">
        <f t="shared" si="13"/>
        <v>-425889.46814404434</v>
      </c>
      <c r="S102" s="6">
        <f t="shared" si="14"/>
        <v>83949.578947368427</v>
      </c>
      <c r="T102" s="6">
        <f t="shared" si="15"/>
        <v>1.0526315727474866E-3</v>
      </c>
      <c r="U102" s="6">
        <v>15950.42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6">
        <v>0</v>
      </c>
      <c r="AK102" s="6">
        <v>99900</v>
      </c>
      <c r="AL102" s="5" t="s">
        <v>45</v>
      </c>
      <c r="AM102" s="5" t="s">
        <v>46</v>
      </c>
    </row>
    <row r="103" spans="1:40" s="3" customFormat="1" ht="12.75" x14ac:dyDescent="0.2">
      <c r="A103" s="5" t="s">
        <v>32</v>
      </c>
      <c r="B103" s="5" t="s">
        <v>501</v>
      </c>
      <c r="C103" s="5" t="s">
        <v>502</v>
      </c>
      <c r="D103" s="5" t="s">
        <v>498</v>
      </c>
      <c r="E103" s="5" t="s">
        <v>36</v>
      </c>
      <c r="F103" s="5" t="s">
        <v>37</v>
      </c>
      <c r="G103" s="5" t="s">
        <v>104</v>
      </c>
      <c r="H103" s="5" t="s">
        <v>499</v>
      </c>
      <c r="I103" s="5" t="s">
        <v>503</v>
      </c>
      <c r="J103" s="5" t="s">
        <v>156</v>
      </c>
      <c r="K103" s="5" t="s">
        <v>157</v>
      </c>
      <c r="L103" s="5" t="s">
        <v>43</v>
      </c>
      <c r="M103" s="5" t="s">
        <v>1056</v>
      </c>
      <c r="N103" s="5" t="s">
        <v>1020</v>
      </c>
      <c r="O103" s="5" t="s">
        <v>1002</v>
      </c>
      <c r="P103" s="5" t="s">
        <v>158</v>
      </c>
      <c r="Q103" s="3">
        <f t="shared" si="12"/>
        <v>370632.40997229912</v>
      </c>
      <c r="R103" s="8">
        <f t="shared" si="13"/>
        <v>-357252.56786703598</v>
      </c>
      <c r="S103" s="6">
        <f t="shared" si="14"/>
        <v>70420.15789473684</v>
      </c>
      <c r="T103" s="6">
        <f t="shared" si="15"/>
        <v>1.2105263160265167E-2</v>
      </c>
      <c r="U103" s="6">
        <v>13379.83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6">
        <v>0</v>
      </c>
      <c r="AK103" s="6">
        <v>83800</v>
      </c>
      <c r="AL103" s="5" t="s">
        <v>45</v>
      </c>
      <c r="AM103" s="5" t="s">
        <v>46</v>
      </c>
    </row>
    <row r="104" spans="1:40" s="3" customFormat="1" ht="12.75" x14ac:dyDescent="0.2">
      <c r="A104" s="5" t="s">
        <v>32</v>
      </c>
      <c r="B104" s="5" t="s">
        <v>546</v>
      </c>
      <c r="C104" s="5" t="s">
        <v>547</v>
      </c>
      <c r="D104" s="5" t="s">
        <v>548</v>
      </c>
      <c r="E104" s="5" t="s">
        <v>36</v>
      </c>
      <c r="F104" s="5" t="s">
        <v>37</v>
      </c>
      <c r="G104" s="5" t="s">
        <v>104</v>
      </c>
      <c r="H104" s="5" t="s">
        <v>549</v>
      </c>
      <c r="I104" s="5" t="s">
        <v>550</v>
      </c>
      <c r="J104" s="5" t="s">
        <v>156</v>
      </c>
      <c r="K104" s="5" t="s">
        <v>157</v>
      </c>
      <c r="L104" s="5" t="s">
        <v>43</v>
      </c>
      <c r="M104" s="5" t="s">
        <v>1056</v>
      </c>
      <c r="N104" s="5" t="s">
        <v>1020</v>
      </c>
      <c r="O104" s="5" t="s">
        <v>1002</v>
      </c>
      <c r="P104" s="5" t="s">
        <v>158</v>
      </c>
      <c r="Q104" s="3">
        <f t="shared" si="12"/>
        <v>0</v>
      </c>
      <c r="R104" s="8">
        <f t="shared" si="13"/>
        <v>19900</v>
      </c>
      <c r="S104" s="6">
        <f t="shared" si="14"/>
        <v>0</v>
      </c>
      <c r="T104" s="6">
        <f t="shared" si="15"/>
        <v>19900</v>
      </c>
      <c r="U104" s="6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6">
        <v>0</v>
      </c>
      <c r="AK104" s="6">
        <v>19900</v>
      </c>
      <c r="AL104" s="5" t="s">
        <v>45</v>
      </c>
      <c r="AM104" s="5" t="s">
        <v>46</v>
      </c>
      <c r="AN104" s="5"/>
    </row>
    <row r="105" spans="1:40" s="5" customFormat="1" ht="12.75" x14ac:dyDescent="0.2">
      <c r="A105" s="5" t="s">
        <v>32</v>
      </c>
      <c r="B105" s="5" t="s">
        <v>565</v>
      </c>
      <c r="C105" s="5" t="s">
        <v>566</v>
      </c>
      <c r="D105" s="5" t="s">
        <v>567</v>
      </c>
      <c r="E105" s="5" t="s">
        <v>36</v>
      </c>
      <c r="F105" s="5" t="s">
        <v>37</v>
      </c>
      <c r="G105" s="5" t="s">
        <v>104</v>
      </c>
      <c r="H105" s="5" t="s">
        <v>568</v>
      </c>
      <c r="I105" s="5" t="s">
        <v>569</v>
      </c>
      <c r="J105" s="5" t="s">
        <v>156</v>
      </c>
      <c r="K105" s="5" t="s">
        <v>157</v>
      </c>
      <c r="L105" s="5" t="s">
        <v>43</v>
      </c>
      <c r="M105" s="5" t="s">
        <v>1056</v>
      </c>
      <c r="N105" s="5" t="s">
        <v>1020</v>
      </c>
      <c r="O105" s="5" t="s">
        <v>1002</v>
      </c>
      <c r="P105" s="5" t="s">
        <v>158</v>
      </c>
      <c r="Q105" s="3">
        <f t="shared" si="12"/>
        <v>445183.65650969528</v>
      </c>
      <c r="R105" s="8">
        <f t="shared" si="13"/>
        <v>-429112.55124653736</v>
      </c>
      <c r="S105" s="6">
        <f t="shared" si="14"/>
        <v>84584.894736842107</v>
      </c>
      <c r="T105" s="6">
        <f t="shared" si="15"/>
        <v>-2.4736842105994583E-2</v>
      </c>
      <c r="U105" s="6">
        <v>16071.13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6">
        <v>0</v>
      </c>
      <c r="AK105" s="6">
        <v>100656</v>
      </c>
      <c r="AL105" s="5" t="s">
        <v>45</v>
      </c>
      <c r="AM105" s="5" t="s">
        <v>46</v>
      </c>
    </row>
    <row r="106" spans="1:40" s="3" customFormat="1" ht="12.75" x14ac:dyDescent="0.2">
      <c r="A106" s="5" t="s">
        <v>32</v>
      </c>
      <c r="B106" s="5" t="s">
        <v>570</v>
      </c>
      <c r="C106" s="5" t="s">
        <v>571</v>
      </c>
      <c r="D106" s="5" t="s">
        <v>567</v>
      </c>
      <c r="E106" s="5" t="s">
        <v>36</v>
      </c>
      <c r="F106" s="5" t="s">
        <v>37</v>
      </c>
      <c r="G106" s="5" t="s">
        <v>104</v>
      </c>
      <c r="H106" s="5" t="s">
        <v>568</v>
      </c>
      <c r="I106" s="5" t="s">
        <v>572</v>
      </c>
      <c r="J106" s="5" t="s">
        <v>156</v>
      </c>
      <c r="K106" s="5" t="s">
        <v>157</v>
      </c>
      <c r="L106" s="5" t="s">
        <v>43</v>
      </c>
      <c r="M106" s="5" t="s">
        <v>1056</v>
      </c>
      <c r="N106" s="5" t="s">
        <v>1020</v>
      </c>
      <c r="O106" s="5" t="s">
        <v>1002</v>
      </c>
      <c r="P106" s="5" t="s">
        <v>158</v>
      </c>
      <c r="Q106" s="3">
        <f t="shared" si="12"/>
        <v>1815789.7506925208</v>
      </c>
      <c r="R106" s="8">
        <f t="shared" si="13"/>
        <v>-1750239.8033240996</v>
      </c>
      <c r="S106" s="6">
        <f t="shared" si="14"/>
        <v>345000.05263157893</v>
      </c>
      <c r="T106" s="6">
        <f t="shared" si="15"/>
        <v>-6.2631578926811926E-2</v>
      </c>
      <c r="U106" s="6">
        <v>65550.009999999995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6">
        <v>0</v>
      </c>
      <c r="AK106" s="6">
        <v>410550</v>
      </c>
      <c r="AL106" s="5" t="s">
        <v>45</v>
      </c>
      <c r="AM106" s="5" t="s">
        <v>46</v>
      </c>
      <c r="AN106" s="5"/>
    </row>
    <row r="107" spans="1:40" s="3" customFormat="1" ht="12.75" x14ac:dyDescent="0.2">
      <c r="A107" s="5" t="s">
        <v>32</v>
      </c>
      <c r="B107" s="5" t="s">
        <v>583</v>
      </c>
      <c r="C107" s="5" t="s">
        <v>584</v>
      </c>
      <c r="D107" s="5" t="s">
        <v>585</v>
      </c>
      <c r="E107" s="5" t="s">
        <v>36</v>
      </c>
      <c r="F107" s="5" t="s">
        <v>37</v>
      </c>
      <c r="G107" s="5" t="s">
        <v>104</v>
      </c>
      <c r="H107" s="5" t="s">
        <v>586</v>
      </c>
      <c r="I107" s="5" t="s">
        <v>587</v>
      </c>
      <c r="J107" s="5" t="s">
        <v>156</v>
      </c>
      <c r="K107" s="5" t="s">
        <v>157</v>
      </c>
      <c r="L107" s="5" t="s">
        <v>43</v>
      </c>
      <c r="M107" s="5" t="s">
        <v>1056</v>
      </c>
      <c r="N107" s="5" t="s">
        <v>1020</v>
      </c>
      <c r="O107" s="5" t="s">
        <v>1002</v>
      </c>
      <c r="P107" s="5" t="s">
        <v>158</v>
      </c>
      <c r="Q107" s="3">
        <f t="shared" si="12"/>
        <v>303847.92243767309</v>
      </c>
      <c r="R107" s="8">
        <f t="shared" si="13"/>
        <v>-292879.02770083095</v>
      </c>
      <c r="S107" s="6">
        <f t="shared" si="14"/>
        <v>57731.105263157893</v>
      </c>
      <c r="T107" s="6">
        <f t="shared" si="15"/>
        <v>-1.5263157893059542E-2</v>
      </c>
      <c r="U107" s="6">
        <v>10968.91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6">
        <v>0</v>
      </c>
      <c r="AK107" s="6">
        <v>68700</v>
      </c>
      <c r="AL107" s="5" t="s">
        <v>45</v>
      </c>
      <c r="AM107" s="5" t="s">
        <v>46</v>
      </c>
      <c r="AN107" s="5"/>
    </row>
    <row r="108" spans="1:40" s="5" customFormat="1" ht="12.75" x14ac:dyDescent="0.2">
      <c r="A108" s="5" t="s">
        <v>32</v>
      </c>
      <c r="B108" s="5" t="s">
        <v>606</v>
      </c>
      <c r="C108" s="5" t="s">
        <v>607</v>
      </c>
      <c r="D108" s="5" t="s">
        <v>153</v>
      </c>
      <c r="E108" s="5" t="s">
        <v>36</v>
      </c>
      <c r="F108" s="5" t="s">
        <v>37</v>
      </c>
      <c r="G108" s="5" t="s">
        <v>104</v>
      </c>
      <c r="H108" s="5" t="s">
        <v>608</v>
      </c>
      <c r="I108" s="5" t="s">
        <v>609</v>
      </c>
      <c r="J108" s="5" t="s">
        <v>156</v>
      </c>
      <c r="K108" s="5" t="s">
        <v>157</v>
      </c>
      <c r="L108" s="5" t="s">
        <v>43</v>
      </c>
      <c r="M108" s="5" t="s">
        <v>1056</v>
      </c>
      <c r="N108" s="5" t="s">
        <v>1020</v>
      </c>
      <c r="O108" s="5" t="s">
        <v>1002</v>
      </c>
      <c r="P108" s="5" t="s">
        <v>158</v>
      </c>
      <c r="Q108" s="3">
        <f t="shared" si="12"/>
        <v>251216.34349030469</v>
      </c>
      <c r="R108" s="8">
        <f t="shared" si="13"/>
        <v>-242147.44875346258</v>
      </c>
      <c r="S108" s="6">
        <f t="shared" si="14"/>
        <v>47731.105263157893</v>
      </c>
      <c r="T108" s="6">
        <f t="shared" si="15"/>
        <v>-1.5263157893059542E-2</v>
      </c>
      <c r="U108" s="6">
        <v>9068.91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6">
        <v>0</v>
      </c>
      <c r="AK108" s="6">
        <v>56800</v>
      </c>
      <c r="AL108" s="5" t="s">
        <v>45</v>
      </c>
      <c r="AM108" s="5" t="s">
        <v>46</v>
      </c>
      <c r="AN108" s="3"/>
    </row>
    <row r="109" spans="1:40" s="5" customFormat="1" ht="12.75" x14ac:dyDescent="0.2">
      <c r="A109" s="5" t="s">
        <v>32</v>
      </c>
      <c r="B109" s="5" t="s">
        <v>615</v>
      </c>
      <c r="C109" s="5" t="s">
        <v>616</v>
      </c>
      <c r="D109" s="5" t="s">
        <v>229</v>
      </c>
      <c r="E109" s="5" t="s">
        <v>36</v>
      </c>
      <c r="F109" s="5" t="s">
        <v>37</v>
      </c>
      <c r="G109" s="5" t="s">
        <v>104</v>
      </c>
      <c r="H109" s="5" t="s">
        <v>617</v>
      </c>
      <c r="I109" s="5" t="s">
        <v>618</v>
      </c>
      <c r="J109" s="5" t="s">
        <v>156</v>
      </c>
      <c r="K109" s="5" t="s">
        <v>157</v>
      </c>
      <c r="L109" s="5" t="s">
        <v>43</v>
      </c>
      <c r="M109" s="5" t="s">
        <v>1056</v>
      </c>
      <c r="N109" s="5" t="s">
        <v>1020</v>
      </c>
      <c r="O109" s="5" t="s">
        <v>1002</v>
      </c>
      <c r="P109" s="5" t="s">
        <v>158</v>
      </c>
      <c r="Q109" s="3">
        <f t="shared" si="12"/>
        <v>1006191.9667590025</v>
      </c>
      <c r="R109" s="8">
        <f t="shared" si="13"/>
        <v>-969868.4404432131</v>
      </c>
      <c r="S109" s="6">
        <f t="shared" si="14"/>
        <v>191176.4736842105</v>
      </c>
      <c r="T109" s="6">
        <f t="shared" si="15"/>
        <v>-3.6842105037067086E-3</v>
      </c>
      <c r="U109" s="6">
        <v>36323.53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6">
        <v>0</v>
      </c>
      <c r="AK109" s="6">
        <v>227500</v>
      </c>
      <c r="AL109" s="5" t="s">
        <v>45</v>
      </c>
      <c r="AM109" s="5" t="s">
        <v>46</v>
      </c>
      <c r="AN109" s="3"/>
    </row>
    <row r="110" spans="1:40" s="5" customFormat="1" ht="12.75" x14ac:dyDescent="0.2">
      <c r="A110" s="5" t="s">
        <v>32</v>
      </c>
      <c r="B110" s="5" t="s">
        <v>646</v>
      </c>
      <c r="C110" s="5" t="s">
        <v>647</v>
      </c>
      <c r="D110" s="5" t="s">
        <v>229</v>
      </c>
      <c r="E110" s="5" t="s">
        <v>36</v>
      </c>
      <c r="F110" s="5" t="s">
        <v>37</v>
      </c>
      <c r="G110" s="5" t="s">
        <v>104</v>
      </c>
      <c r="H110" s="5" t="s">
        <v>648</v>
      </c>
      <c r="I110" s="5" t="s">
        <v>649</v>
      </c>
      <c r="J110" s="5" t="s">
        <v>156</v>
      </c>
      <c r="K110" s="5" t="s">
        <v>157</v>
      </c>
      <c r="L110" s="5" t="s">
        <v>43</v>
      </c>
      <c r="M110" s="5" t="s">
        <v>1056</v>
      </c>
      <c r="N110" s="5" t="s">
        <v>1020</v>
      </c>
      <c r="O110" s="5" t="s">
        <v>1002</v>
      </c>
      <c r="P110" s="5" t="s">
        <v>158</v>
      </c>
      <c r="Q110" s="3">
        <f t="shared" si="12"/>
        <v>33834.626038781171</v>
      </c>
      <c r="R110" s="8">
        <f t="shared" si="13"/>
        <v>-32613.204986149591</v>
      </c>
      <c r="S110" s="6">
        <f t="shared" si="14"/>
        <v>6428.5789473684217</v>
      </c>
      <c r="T110" s="6">
        <f t="shared" si="15"/>
        <v>-8.9473684217864502E-3</v>
      </c>
      <c r="U110" s="6">
        <v>1221.43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6">
        <v>0</v>
      </c>
      <c r="AK110" s="6">
        <v>7650</v>
      </c>
      <c r="AL110" s="5" t="s">
        <v>45</v>
      </c>
      <c r="AM110" s="5" t="s">
        <v>46</v>
      </c>
      <c r="AN110" s="3"/>
    </row>
    <row r="111" spans="1:40" s="5" customFormat="1" ht="12.75" x14ac:dyDescent="0.2">
      <c r="A111" s="5" t="s">
        <v>32</v>
      </c>
      <c r="B111" s="5" t="s">
        <v>650</v>
      </c>
      <c r="C111" s="5" t="s">
        <v>651</v>
      </c>
      <c r="D111" s="5" t="s">
        <v>567</v>
      </c>
      <c r="E111" s="5" t="s">
        <v>36</v>
      </c>
      <c r="F111" s="5" t="s">
        <v>37</v>
      </c>
      <c r="G111" s="5" t="s">
        <v>38</v>
      </c>
      <c r="H111" s="5" t="s">
        <v>648</v>
      </c>
      <c r="I111" s="5" t="s">
        <v>652</v>
      </c>
      <c r="J111" s="5" t="s">
        <v>156</v>
      </c>
      <c r="K111" s="5" t="s">
        <v>157</v>
      </c>
      <c r="L111" s="5" t="s">
        <v>43</v>
      </c>
      <c r="M111" s="5" t="s">
        <v>1056</v>
      </c>
      <c r="N111" s="5" t="s">
        <v>1020</v>
      </c>
      <c r="O111" s="5" t="s">
        <v>1002</v>
      </c>
      <c r="P111" s="5" t="s">
        <v>158</v>
      </c>
      <c r="Q111" s="3">
        <f t="shared" si="12"/>
        <v>444936.01108033245</v>
      </c>
      <c r="R111" s="8">
        <f t="shared" si="13"/>
        <v>-428873.8531855956</v>
      </c>
      <c r="S111" s="6">
        <f t="shared" si="14"/>
        <v>84537.84210526316</v>
      </c>
      <c r="T111" s="6">
        <f t="shared" si="15"/>
        <v>-3.2105263160701725E-2</v>
      </c>
      <c r="U111" s="6">
        <v>16062.19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6">
        <v>0</v>
      </c>
      <c r="AK111" s="6">
        <v>100600</v>
      </c>
      <c r="AL111" s="5" t="s">
        <v>45</v>
      </c>
      <c r="AM111" s="5" t="s">
        <v>46</v>
      </c>
      <c r="AN111" s="3"/>
    </row>
    <row r="112" spans="1:40" s="3" customFormat="1" ht="12.75" x14ac:dyDescent="0.2">
      <c r="A112" s="5" t="s">
        <v>32</v>
      </c>
      <c r="B112" s="5" t="s">
        <v>697</v>
      </c>
      <c r="C112" s="5" t="s">
        <v>698</v>
      </c>
      <c r="D112" s="5" t="s">
        <v>585</v>
      </c>
      <c r="E112" s="5" t="s">
        <v>36</v>
      </c>
      <c r="F112" s="5" t="s">
        <v>37</v>
      </c>
      <c r="G112" s="5" t="s">
        <v>88</v>
      </c>
      <c r="H112" s="5" t="s">
        <v>695</v>
      </c>
      <c r="I112" s="5" t="s">
        <v>699</v>
      </c>
      <c r="J112" s="5" t="s">
        <v>156</v>
      </c>
      <c r="K112" s="5" t="s">
        <v>157</v>
      </c>
      <c r="L112" s="5" t="s">
        <v>43</v>
      </c>
      <c r="M112" s="5" t="s">
        <v>1056</v>
      </c>
      <c r="N112" s="5" t="s">
        <v>1020</v>
      </c>
      <c r="O112" s="5" t="s">
        <v>1002</v>
      </c>
      <c r="P112" s="5" t="s">
        <v>158</v>
      </c>
      <c r="Q112" s="3">
        <f t="shared" si="12"/>
        <v>263157.89473684214</v>
      </c>
      <c r="R112" s="8">
        <f t="shared" si="13"/>
        <v>-253657.89473684214</v>
      </c>
      <c r="S112" s="6">
        <f t="shared" si="14"/>
        <v>50000</v>
      </c>
      <c r="T112" s="6">
        <f t="shared" si="15"/>
        <v>0</v>
      </c>
      <c r="U112" s="6">
        <v>9500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6">
        <v>0</v>
      </c>
      <c r="AK112" s="6">
        <v>59500</v>
      </c>
      <c r="AL112" s="5" t="s">
        <v>45</v>
      </c>
      <c r="AM112" s="5" t="s">
        <v>46</v>
      </c>
    </row>
    <row r="113" spans="1:40" s="3" customFormat="1" ht="12.75" x14ac:dyDescent="0.2">
      <c r="A113" s="5" t="s">
        <v>32</v>
      </c>
      <c r="B113" s="5" t="s">
        <v>738</v>
      </c>
      <c r="C113" s="5" t="s">
        <v>739</v>
      </c>
      <c r="D113" s="5" t="s">
        <v>229</v>
      </c>
      <c r="E113" s="5" t="s">
        <v>36</v>
      </c>
      <c r="F113" s="5" t="s">
        <v>37</v>
      </c>
      <c r="G113" s="5" t="s">
        <v>104</v>
      </c>
      <c r="H113" s="5" t="s">
        <v>736</v>
      </c>
      <c r="I113" s="5" t="s">
        <v>740</v>
      </c>
      <c r="J113" s="5" t="s">
        <v>156</v>
      </c>
      <c r="K113" s="5" t="s">
        <v>157</v>
      </c>
      <c r="L113" s="5" t="s">
        <v>43</v>
      </c>
      <c r="M113" s="5" t="s">
        <v>1056</v>
      </c>
      <c r="N113" s="5" t="s">
        <v>1020</v>
      </c>
      <c r="O113" s="5" t="s">
        <v>1002</v>
      </c>
      <c r="P113" s="5" t="s">
        <v>158</v>
      </c>
      <c r="Q113" s="3">
        <f t="shared" si="12"/>
        <v>1315789.7506925208</v>
      </c>
      <c r="R113" s="8">
        <f t="shared" si="13"/>
        <v>-1268289.8033240996</v>
      </c>
      <c r="S113" s="6">
        <f t="shared" si="14"/>
        <v>250000.05263157896</v>
      </c>
      <c r="T113" s="6">
        <f t="shared" si="15"/>
        <v>-6.2631578963191714E-2</v>
      </c>
      <c r="U113" s="6">
        <v>47500.01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6">
        <v>0</v>
      </c>
      <c r="AK113" s="6">
        <v>297500</v>
      </c>
      <c r="AL113" s="5" t="s">
        <v>45</v>
      </c>
      <c r="AM113" s="5" t="s">
        <v>46</v>
      </c>
    </row>
    <row r="114" spans="1:40" s="3" customFormat="1" ht="12.75" x14ac:dyDescent="0.2">
      <c r="A114" s="5" t="s">
        <v>32</v>
      </c>
      <c r="B114" s="5" t="s">
        <v>751</v>
      </c>
      <c r="C114" s="5" t="s">
        <v>752</v>
      </c>
      <c r="D114" s="5" t="s">
        <v>567</v>
      </c>
      <c r="E114" s="5" t="s">
        <v>36</v>
      </c>
      <c r="F114" s="5" t="s">
        <v>37</v>
      </c>
      <c r="G114" s="5" t="s">
        <v>38</v>
      </c>
      <c r="H114" s="5" t="s">
        <v>753</v>
      </c>
      <c r="I114" s="5" t="s">
        <v>754</v>
      </c>
      <c r="J114" s="5" t="s">
        <v>156</v>
      </c>
      <c r="K114" s="5" t="s">
        <v>157</v>
      </c>
      <c r="L114" s="5" t="s">
        <v>43</v>
      </c>
      <c r="M114" s="5" t="s">
        <v>1056</v>
      </c>
      <c r="N114" s="5" t="s">
        <v>1020</v>
      </c>
      <c r="O114" s="5" t="s">
        <v>1002</v>
      </c>
      <c r="P114" s="5" t="s">
        <v>158</v>
      </c>
      <c r="Q114" s="3">
        <f t="shared" si="12"/>
        <v>518797.22991689749</v>
      </c>
      <c r="R114" s="8">
        <f t="shared" si="13"/>
        <v>-500068.70360110805</v>
      </c>
      <c r="S114" s="6">
        <f t="shared" si="14"/>
        <v>98571.473684210534</v>
      </c>
      <c r="T114" s="6">
        <f t="shared" si="15"/>
        <v>-5.3684210535720922E-2</v>
      </c>
      <c r="U114" s="6">
        <v>18728.580000000002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6">
        <v>0</v>
      </c>
      <c r="AK114" s="6">
        <v>117300</v>
      </c>
      <c r="AL114" s="5" t="s">
        <v>45</v>
      </c>
      <c r="AM114" s="5" t="s">
        <v>46</v>
      </c>
      <c r="AN114" s="5"/>
    </row>
    <row r="115" spans="1:40" s="3" customFormat="1" ht="12.75" x14ac:dyDescent="0.2">
      <c r="A115" s="5" t="s">
        <v>32</v>
      </c>
      <c r="B115" s="5" t="s">
        <v>925</v>
      </c>
      <c r="C115" s="5" t="s">
        <v>926</v>
      </c>
      <c r="D115" s="5" t="s">
        <v>927</v>
      </c>
      <c r="E115" s="5" t="s">
        <v>36</v>
      </c>
      <c r="F115" s="5" t="s">
        <v>37</v>
      </c>
      <c r="G115" s="5" t="s">
        <v>38</v>
      </c>
      <c r="H115" s="5" t="s">
        <v>928</v>
      </c>
      <c r="I115" s="5" t="s">
        <v>929</v>
      </c>
      <c r="J115" s="5" t="s">
        <v>156</v>
      </c>
      <c r="K115" s="5" t="s">
        <v>157</v>
      </c>
      <c r="L115" s="5" t="s">
        <v>43</v>
      </c>
      <c r="M115" s="5" t="s">
        <v>1056</v>
      </c>
      <c r="N115" s="5" t="s">
        <v>1020</v>
      </c>
      <c r="O115" s="5" t="s">
        <v>1002</v>
      </c>
      <c r="P115" s="5" t="s">
        <v>158</v>
      </c>
      <c r="Q115" s="3">
        <f t="shared" si="12"/>
        <v>374613.01939058176</v>
      </c>
      <c r="R115" s="8">
        <f t="shared" si="13"/>
        <v>-323189.49307479232</v>
      </c>
      <c r="S115" s="6">
        <f t="shared" si="14"/>
        <v>71176.473684210534</v>
      </c>
      <c r="T115" s="6">
        <f t="shared" si="15"/>
        <v>37899.996315789467</v>
      </c>
      <c r="U115" s="6">
        <v>13523.53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6">
        <v>0</v>
      </c>
      <c r="AK115" s="6">
        <v>122600</v>
      </c>
      <c r="AL115" s="5" t="s">
        <v>45</v>
      </c>
      <c r="AM115" s="5" t="s">
        <v>46</v>
      </c>
      <c r="AN115" s="5"/>
    </row>
    <row r="116" spans="1:40" s="3" customFormat="1" ht="12.75" x14ac:dyDescent="0.2">
      <c r="A116" s="5" t="s">
        <v>32</v>
      </c>
      <c r="B116" s="5" t="s">
        <v>930</v>
      </c>
      <c r="C116" s="5" t="s">
        <v>931</v>
      </c>
      <c r="D116" s="5" t="s">
        <v>449</v>
      </c>
      <c r="E116" s="5" t="s">
        <v>36</v>
      </c>
      <c r="F116" s="5" t="s">
        <v>37</v>
      </c>
      <c r="G116" s="5" t="s">
        <v>88</v>
      </c>
      <c r="H116" s="5" t="s">
        <v>932</v>
      </c>
      <c r="I116" s="5" t="s">
        <v>933</v>
      </c>
      <c r="J116" s="5" t="s">
        <v>156</v>
      </c>
      <c r="K116" s="5" t="s">
        <v>157</v>
      </c>
      <c r="L116" s="5" t="s">
        <v>43</v>
      </c>
      <c r="M116" s="5" t="s">
        <v>1056</v>
      </c>
      <c r="N116" s="5" t="s">
        <v>1020</v>
      </c>
      <c r="O116" s="5" t="s">
        <v>1002</v>
      </c>
      <c r="P116" s="5" t="s">
        <v>158</v>
      </c>
      <c r="Q116" s="3">
        <f t="shared" si="12"/>
        <v>861123.26869806089</v>
      </c>
      <c r="R116" s="8">
        <f t="shared" si="13"/>
        <v>-830036.68975069246</v>
      </c>
      <c r="S116" s="6">
        <f t="shared" si="14"/>
        <v>163613.42105263157</v>
      </c>
      <c r="T116" s="6">
        <f t="shared" si="15"/>
        <v>2.894736842790735E-2</v>
      </c>
      <c r="U116" s="6">
        <v>31086.55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6">
        <v>0</v>
      </c>
      <c r="AK116" s="6">
        <v>194700</v>
      </c>
      <c r="AL116" s="5" t="s">
        <v>45</v>
      </c>
      <c r="AM116" s="5" t="s">
        <v>46</v>
      </c>
      <c r="AN116" s="5"/>
    </row>
    <row r="117" spans="1:40" s="3" customFormat="1" ht="12.75" x14ac:dyDescent="0.2">
      <c r="A117" s="5" t="s">
        <v>32</v>
      </c>
      <c r="B117" s="5" t="s">
        <v>934</v>
      </c>
      <c r="C117" s="5" t="s">
        <v>935</v>
      </c>
      <c r="D117" s="5" t="s">
        <v>927</v>
      </c>
      <c r="E117" s="5" t="s">
        <v>36</v>
      </c>
      <c r="F117" s="5" t="s">
        <v>37</v>
      </c>
      <c r="G117" s="5" t="s">
        <v>38</v>
      </c>
      <c r="H117" s="5" t="s">
        <v>936</v>
      </c>
      <c r="I117" s="5" t="s">
        <v>937</v>
      </c>
      <c r="J117" s="5" t="s">
        <v>156</v>
      </c>
      <c r="K117" s="5" t="s">
        <v>157</v>
      </c>
      <c r="L117" s="5" t="s">
        <v>43</v>
      </c>
      <c r="M117" s="5" t="s">
        <v>1056</v>
      </c>
      <c r="N117" s="5" t="s">
        <v>1020</v>
      </c>
      <c r="O117" s="5" t="s">
        <v>1002</v>
      </c>
      <c r="P117" s="5" t="s">
        <v>158</v>
      </c>
      <c r="Q117" s="3">
        <f t="shared" si="12"/>
        <v>57054.293628808868</v>
      </c>
      <c r="R117" s="8">
        <f t="shared" si="13"/>
        <v>-54994.609418282547</v>
      </c>
      <c r="S117" s="6">
        <f t="shared" si="14"/>
        <v>10840.315789473683</v>
      </c>
      <c r="T117" s="6">
        <f t="shared" si="15"/>
        <v>2.4210526316892356E-2</v>
      </c>
      <c r="U117" s="6">
        <v>2059.66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6">
        <v>0</v>
      </c>
      <c r="AK117" s="6">
        <v>12900</v>
      </c>
      <c r="AL117" s="5" t="s">
        <v>45</v>
      </c>
      <c r="AM117" s="5" t="s">
        <v>46</v>
      </c>
      <c r="AN117" s="5"/>
    </row>
    <row r="118" spans="1:40" s="5" customFormat="1" ht="12.75" x14ac:dyDescent="0.2">
      <c r="A118" s="5" t="s">
        <v>32</v>
      </c>
      <c r="B118" s="5" t="s">
        <v>120</v>
      </c>
      <c r="C118" s="5" t="s">
        <v>121</v>
      </c>
      <c r="D118" s="5" t="s">
        <v>122</v>
      </c>
      <c r="E118" s="5" t="s">
        <v>36</v>
      </c>
      <c r="F118" s="5" t="s">
        <v>37</v>
      </c>
      <c r="G118" s="5" t="s">
        <v>88</v>
      </c>
      <c r="H118" s="5" t="s">
        <v>123</v>
      </c>
      <c r="I118" s="5" t="s">
        <v>124</v>
      </c>
      <c r="J118" s="5" t="s">
        <v>125</v>
      </c>
      <c r="K118" s="5" t="s">
        <v>126</v>
      </c>
      <c r="L118" s="5" t="s">
        <v>43</v>
      </c>
      <c r="M118" s="5" t="s">
        <v>1059</v>
      </c>
      <c r="N118" s="5" t="s">
        <v>1020</v>
      </c>
      <c r="O118" s="5" t="s">
        <v>1002</v>
      </c>
      <c r="P118" s="5" t="s">
        <v>127</v>
      </c>
      <c r="Q118" s="3">
        <f t="shared" si="12"/>
        <v>530738.50415512465</v>
      </c>
      <c r="R118" s="8">
        <f t="shared" si="13"/>
        <v>-511578.81994459836</v>
      </c>
      <c r="S118" s="6">
        <f t="shared" si="14"/>
        <v>100840.31578947368</v>
      </c>
      <c r="T118" s="6">
        <f t="shared" si="15"/>
        <v>2.4210526320530334E-2</v>
      </c>
      <c r="U118" s="6">
        <v>19159.66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120000</v>
      </c>
      <c r="AL118" s="5" t="s">
        <v>45</v>
      </c>
      <c r="AM118" s="5" t="s">
        <v>46</v>
      </c>
    </row>
    <row r="119" spans="1:40" s="5" customFormat="1" ht="12.75" x14ac:dyDescent="0.2">
      <c r="A119" s="5" t="s">
        <v>32</v>
      </c>
      <c r="B119" s="5" t="s">
        <v>313</v>
      </c>
      <c r="C119" s="5" t="s">
        <v>314</v>
      </c>
      <c r="D119" s="5" t="s">
        <v>315</v>
      </c>
      <c r="E119" s="5" t="s">
        <v>36</v>
      </c>
      <c r="F119" s="5" t="s">
        <v>37</v>
      </c>
      <c r="G119" s="5" t="s">
        <v>104</v>
      </c>
      <c r="H119" s="5" t="s">
        <v>316</v>
      </c>
      <c r="I119" s="5" t="s">
        <v>317</v>
      </c>
      <c r="J119" s="5" t="s">
        <v>318</v>
      </c>
      <c r="K119" s="5" t="s">
        <v>319</v>
      </c>
      <c r="L119" s="5" t="s">
        <v>43</v>
      </c>
      <c r="M119" s="5" t="s">
        <v>1060</v>
      </c>
      <c r="N119" s="5" t="s">
        <v>1020</v>
      </c>
      <c r="O119" s="5" t="s">
        <v>1002</v>
      </c>
      <c r="P119" s="5" t="s">
        <v>141</v>
      </c>
      <c r="Q119" s="3">
        <f t="shared" si="12"/>
        <v>340557.34072022157</v>
      </c>
      <c r="R119" s="8">
        <f t="shared" si="13"/>
        <v>-328263.23545706365</v>
      </c>
      <c r="S119" s="6">
        <f t="shared" si="14"/>
        <v>64705.894736842107</v>
      </c>
      <c r="T119" s="6">
        <f t="shared" si="15"/>
        <v>-1.4736842107595294E-2</v>
      </c>
      <c r="U119" s="6">
        <v>12294.12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77000</v>
      </c>
      <c r="AL119" s="5" t="s">
        <v>45</v>
      </c>
      <c r="AM119" s="5" t="s">
        <v>46</v>
      </c>
    </row>
    <row r="120" spans="1:40" s="5" customFormat="1" ht="12.75" x14ac:dyDescent="0.2">
      <c r="A120" s="5" t="s">
        <v>32</v>
      </c>
      <c r="B120" s="5" t="s">
        <v>231</v>
      </c>
      <c r="C120" s="5" t="s">
        <v>232</v>
      </c>
      <c r="D120" s="5" t="s">
        <v>233</v>
      </c>
      <c r="E120" s="5" t="s">
        <v>36</v>
      </c>
      <c r="F120" s="5" t="s">
        <v>37</v>
      </c>
      <c r="G120" s="5" t="s">
        <v>88</v>
      </c>
      <c r="H120" s="5" t="s">
        <v>234</v>
      </c>
      <c r="I120" s="5" t="s">
        <v>235</v>
      </c>
      <c r="J120" s="5" t="s">
        <v>236</v>
      </c>
      <c r="K120" s="5" t="s">
        <v>237</v>
      </c>
      <c r="L120" s="5" t="s">
        <v>43</v>
      </c>
      <c r="M120" s="5" t="s">
        <v>1061</v>
      </c>
      <c r="N120" s="5" t="s">
        <v>1020</v>
      </c>
      <c r="O120" s="5" t="s">
        <v>1002</v>
      </c>
      <c r="P120" s="5" t="s">
        <v>238</v>
      </c>
      <c r="Q120" s="3">
        <f t="shared" si="12"/>
        <v>0</v>
      </c>
      <c r="R120" s="8">
        <f t="shared" si="13"/>
        <v>176440</v>
      </c>
      <c r="S120" s="6">
        <f t="shared" si="14"/>
        <v>0</v>
      </c>
      <c r="T120" s="6">
        <f t="shared" si="15"/>
        <v>176440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176440</v>
      </c>
      <c r="AL120" s="5" t="s">
        <v>45</v>
      </c>
      <c r="AM120" s="5" t="s">
        <v>46</v>
      </c>
      <c r="AN120" s="3"/>
    </row>
    <row r="121" spans="1:40" s="5" customFormat="1" ht="12.75" x14ac:dyDescent="0.2">
      <c r="A121" s="5" t="s">
        <v>32</v>
      </c>
      <c r="B121" s="5" t="s">
        <v>203</v>
      </c>
      <c r="C121" s="5" t="s">
        <v>204</v>
      </c>
      <c r="D121" s="5" t="s">
        <v>205</v>
      </c>
      <c r="E121" s="5" t="s">
        <v>36</v>
      </c>
      <c r="F121" s="5" t="s">
        <v>37</v>
      </c>
      <c r="G121" s="5" t="s">
        <v>176</v>
      </c>
      <c r="H121" s="5" t="s">
        <v>206</v>
      </c>
      <c r="I121" s="5" t="s">
        <v>207</v>
      </c>
      <c r="J121" s="5" t="s">
        <v>208</v>
      </c>
      <c r="K121" s="5" t="s">
        <v>209</v>
      </c>
      <c r="L121" s="5" t="s">
        <v>43</v>
      </c>
      <c r="M121" s="5" t="s">
        <v>1062</v>
      </c>
      <c r="N121" s="5" t="s">
        <v>1020</v>
      </c>
      <c r="O121" s="5" t="s">
        <v>1002</v>
      </c>
      <c r="P121" s="5" t="s">
        <v>210</v>
      </c>
      <c r="Q121" s="3">
        <f t="shared" si="12"/>
        <v>941931.57894736854</v>
      </c>
      <c r="R121" s="8">
        <f t="shared" si="13"/>
        <v>-907929.03894736851</v>
      </c>
      <c r="S121" s="6">
        <f t="shared" si="14"/>
        <v>178967</v>
      </c>
      <c r="T121" s="6">
        <f t="shared" si="15"/>
        <v>-1.1899999999950523</v>
      </c>
      <c r="U121" s="6">
        <v>34003.730000000003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212969.54</v>
      </c>
      <c r="AL121" s="5" t="s">
        <v>45</v>
      </c>
      <c r="AM121" s="5" t="s">
        <v>46</v>
      </c>
      <c r="AN121" s="3"/>
    </row>
    <row r="122" spans="1:40" s="5" customFormat="1" ht="12.75" x14ac:dyDescent="0.2">
      <c r="A122" s="5" t="s">
        <v>32</v>
      </c>
      <c r="B122" s="5" t="s">
        <v>211</v>
      </c>
      <c r="C122" s="5" t="s">
        <v>212</v>
      </c>
      <c r="D122" s="5" t="s">
        <v>205</v>
      </c>
      <c r="E122" s="5" t="s">
        <v>36</v>
      </c>
      <c r="F122" s="5" t="s">
        <v>37</v>
      </c>
      <c r="G122" s="5" t="s">
        <v>176</v>
      </c>
      <c r="H122" s="5" t="s">
        <v>206</v>
      </c>
      <c r="I122" s="5" t="s">
        <v>213</v>
      </c>
      <c r="J122" s="5" t="s">
        <v>208</v>
      </c>
      <c r="K122" s="5" t="s">
        <v>209</v>
      </c>
      <c r="L122" s="5" t="s">
        <v>43</v>
      </c>
      <c r="M122" s="5" t="s">
        <v>1062</v>
      </c>
      <c r="N122" s="5" t="s">
        <v>1020</v>
      </c>
      <c r="O122" s="5" t="s">
        <v>1002</v>
      </c>
      <c r="P122" s="5" t="s">
        <v>210</v>
      </c>
      <c r="Q122" s="3">
        <f t="shared" si="12"/>
        <v>358200</v>
      </c>
      <c r="R122" s="8">
        <f t="shared" si="13"/>
        <v>-345267.79</v>
      </c>
      <c r="S122" s="6">
        <f t="shared" si="14"/>
        <v>68058</v>
      </c>
      <c r="T122" s="6">
        <f t="shared" si="15"/>
        <v>1.1900000000059663</v>
      </c>
      <c r="U122" s="6">
        <v>12931.02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80990.210000000006</v>
      </c>
      <c r="AL122" s="5" t="s">
        <v>45</v>
      </c>
      <c r="AM122" s="5" t="s">
        <v>46</v>
      </c>
      <c r="AN122" s="3"/>
    </row>
    <row r="123" spans="1:40" s="5" customFormat="1" ht="12.75" x14ac:dyDescent="0.2">
      <c r="A123" s="5" t="s">
        <v>32</v>
      </c>
      <c r="B123" s="5" t="s">
        <v>610</v>
      </c>
      <c r="C123" s="5" t="s">
        <v>611</v>
      </c>
      <c r="D123" s="5" t="s">
        <v>175</v>
      </c>
      <c r="E123" s="5" t="s">
        <v>36</v>
      </c>
      <c r="F123" s="5" t="s">
        <v>37</v>
      </c>
      <c r="G123" s="5" t="s">
        <v>506</v>
      </c>
      <c r="H123" s="5" t="s">
        <v>608</v>
      </c>
      <c r="I123" s="5" t="s">
        <v>612</v>
      </c>
      <c r="J123" s="5" t="s">
        <v>613</v>
      </c>
      <c r="K123" s="5" t="s">
        <v>614</v>
      </c>
      <c r="L123" s="5" t="s">
        <v>43</v>
      </c>
      <c r="M123" s="5" t="s">
        <v>1063</v>
      </c>
      <c r="N123" s="5" t="s">
        <v>1020</v>
      </c>
      <c r="O123" s="5" t="s">
        <v>1002</v>
      </c>
      <c r="P123" s="5" t="s">
        <v>69</v>
      </c>
      <c r="Q123" s="3">
        <f t="shared" si="12"/>
        <v>617565.65096952906</v>
      </c>
      <c r="R123" s="8">
        <f t="shared" si="13"/>
        <v>-595271.50465373963</v>
      </c>
      <c r="S123" s="6">
        <f t="shared" si="14"/>
        <v>117337.47368421052</v>
      </c>
      <c r="T123" s="6">
        <f t="shared" si="15"/>
        <v>2.6315789476939244E-2</v>
      </c>
      <c r="U123" s="6">
        <v>22294.12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139631.62</v>
      </c>
      <c r="AL123" s="5" t="s">
        <v>45</v>
      </c>
      <c r="AM123" s="5" t="s">
        <v>46</v>
      </c>
      <c r="AN123" s="3"/>
    </row>
    <row r="124" spans="1:40" s="5" customFormat="1" ht="12.75" x14ac:dyDescent="0.2">
      <c r="A124" s="5" t="s">
        <v>32</v>
      </c>
      <c r="B124" s="5" t="s">
        <v>623</v>
      </c>
      <c r="C124" s="5" t="s">
        <v>624</v>
      </c>
      <c r="D124" s="5" t="s">
        <v>175</v>
      </c>
      <c r="E124" s="5" t="s">
        <v>36</v>
      </c>
      <c r="F124" s="5" t="s">
        <v>37</v>
      </c>
      <c r="G124" s="5" t="s">
        <v>38</v>
      </c>
      <c r="H124" s="5" t="s">
        <v>621</v>
      </c>
      <c r="I124" s="5" t="s">
        <v>625</v>
      </c>
      <c r="J124" s="5" t="s">
        <v>613</v>
      </c>
      <c r="K124" s="5" t="s">
        <v>614</v>
      </c>
      <c r="L124" s="5" t="s">
        <v>43</v>
      </c>
      <c r="M124" s="5" t="s">
        <v>1063</v>
      </c>
      <c r="N124" s="5" t="s">
        <v>1020</v>
      </c>
      <c r="O124" s="5" t="s">
        <v>1002</v>
      </c>
      <c r="P124" s="5" t="s">
        <v>69</v>
      </c>
      <c r="Q124" s="3">
        <f t="shared" si="12"/>
        <v>199026.86980609418</v>
      </c>
      <c r="R124" s="8">
        <f t="shared" si="13"/>
        <v>-191841.97506925208</v>
      </c>
      <c r="S124" s="6">
        <f t="shared" si="14"/>
        <v>37815.105263157893</v>
      </c>
      <c r="T124" s="6">
        <f t="shared" si="15"/>
        <v>2.4736842106904078E-2</v>
      </c>
      <c r="U124" s="6">
        <v>7184.87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45000</v>
      </c>
      <c r="AL124" s="5" t="s">
        <v>45</v>
      </c>
      <c r="AM124" s="5" t="s">
        <v>46</v>
      </c>
      <c r="AN124" s="3"/>
    </row>
    <row r="125" spans="1:40" s="3" customFormat="1" ht="12.75" x14ac:dyDescent="0.2">
      <c r="A125" s="5" t="s">
        <v>32</v>
      </c>
      <c r="B125" s="5" t="s">
        <v>711</v>
      </c>
      <c r="C125" s="5" t="s">
        <v>712</v>
      </c>
      <c r="D125" s="5" t="s">
        <v>175</v>
      </c>
      <c r="E125" s="5" t="s">
        <v>36</v>
      </c>
      <c r="F125" s="5" t="s">
        <v>37</v>
      </c>
      <c r="G125" s="5" t="s">
        <v>38</v>
      </c>
      <c r="H125" s="5" t="s">
        <v>713</v>
      </c>
      <c r="I125" s="5" t="s">
        <v>714</v>
      </c>
      <c r="J125" s="5" t="s">
        <v>715</v>
      </c>
      <c r="K125" s="5" t="s">
        <v>716</v>
      </c>
      <c r="L125" s="5" t="s">
        <v>43</v>
      </c>
      <c r="M125" s="5" t="s">
        <v>1064</v>
      </c>
      <c r="N125" s="5" t="s">
        <v>1020</v>
      </c>
      <c r="O125" s="5" t="s">
        <v>1065</v>
      </c>
      <c r="P125" s="5" t="s">
        <v>717</v>
      </c>
      <c r="Q125" s="3">
        <f t="shared" si="12"/>
        <v>0</v>
      </c>
      <c r="R125" s="8">
        <f t="shared" si="13"/>
        <v>147279.04000000001</v>
      </c>
      <c r="S125" s="6">
        <f t="shared" si="14"/>
        <v>0</v>
      </c>
      <c r="T125" s="6">
        <f t="shared" si="15"/>
        <v>147279.04000000001</v>
      </c>
      <c r="U125" s="6">
        <v>0</v>
      </c>
      <c r="V125" s="6">
        <v>0</v>
      </c>
      <c r="W125" s="6">
        <v>0</v>
      </c>
      <c r="X125" s="6">
        <v>9985.0400000000009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147279.04000000001</v>
      </c>
      <c r="AL125" s="5" t="s">
        <v>45</v>
      </c>
      <c r="AM125" s="5" t="s">
        <v>46</v>
      </c>
      <c r="AN125" s="5"/>
    </row>
    <row r="126" spans="1:40" s="3" customFormat="1" ht="12.75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R126" s="8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5"/>
      <c r="AM126" s="5"/>
      <c r="AN126" s="5"/>
    </row>
    <row r="127" spans="1:40" s="3" customFormat="1" ht="12.75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R127" s="8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5"/>
      <c r="AM127" s="5"/>
      <c r="AN127" s="5"/>
    </row>
    <row r="128" spans="1:40" s="3" customFormat="1" ht="12.75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R128" s="8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5"/>
      <c r="AM128" s="5"/>
      <c r="AN128" s="5"/>
    </row>
    <row r="129" spans="1:39" s="3" customFormat="1" ht="12.75" x14ac:dyDescent="0.2">
      <c r="A129" s="5" t="s">
        <v>350</v>
      </c>
      <c r="B129" s="5" t="s">
        <v>351</v>
      </c>
      <c r="C129" s="5" t="s">
        <v>352</v>
      </c>
      <c r="D129" s="5" t="s">
        <v>353</v>
      </c>
      <c r="E129" s="5" t="s">
        <v>36</v>
      </c>
      <c r="F129" s="5" t="s">
        <v>37</v>
      </c>
      <c r="G129" s="5" t="s">
        <v>37</v>
      </c>
      <c r="H129" s="5" t="s">
        <v>342</v>
      </c>
      <c r="I129" s="5" t="s">
        <v>354</v>
      </c>
      <c r="J129" s="5" t="s">
        <v>344</v>
      </c>
      <c r="K129" s="5" t="s">
        <v>345</v>
      </c>
      <c r="L129" s="5" t="s">
        <v>43</v>
      </c>
      <c r="M129" s="5" t="s">
        <v>1023</v>
      </c>
      <c r="N129" s="5" t="s">
        <v>1020</v>
      </c>
      <c r="O129" s="5" t="s">
        <v>1002</v>
      </c>
      <c r="P129" s="5" t="s">
        <v>69</v>
      </c>
      <c r="Q129" s="3">
        <f>+S129/19*100</f>
        <v>44228.254847645425</v>
      </c>
      <c r="R129" s="8">
        <f>+AK129-Q129-S129</f>
        <v>-42631.623268698058</v>
      </c>
      <c r="S129" s="6">
        <f>+U129/19*100</f>
        <v>8403.3684210526317</v>
      </c>
      <c r="T129" s="6">
        <f>+AK129-S129-U129</f>
        <v>-8.4210526317747281E-3</v>
      </c>
      <c r="U129" s="6">
        <v>1596.64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10000</v>
      </c>
      <c r="AL129" s="5" t="s">
        <v>45</v>
      </c>
      <c r="AM129" s="5" t="s">
        <v>46</v>
      </c>
    </row>
    <row r="130" spans="1:39" s="3" customFormat="1" ht="12.75" x14ac:dyDescent="0.2">
      <c r="A130" s="5" t="s">
        <v>350</v>
      </c>
      <c r="B130" s="5" t="s">
        <v>355</v>
      </c>
      <c r="C130" s="5" t="s">
        <v>356</v>
      </c>
      <c r="D130" s="5" t="s">
        <v>353</v>
      </c>
      <c r="E130" s="5" t="s">
        <v>36</v>
      </c>
      <c r="F130" s="5" t="s">
        <v>37</v>
      </c>
      <c r="G130" s="5" t="s">
        <v>37</v>
      </c>
      <c r="H130" s="5" t="s">
        <v>342</v>
      </c>
      <c r="I130" s="5" t="s">
        <v>357</v>
      </c>
      <c r="J130" s="5" t="s">
        <v>344</v>
      </c>
      <c r="K130" s="5" t="s">
        <v>345</v>
      </c>
      <c r="L130" s="5" t="s">
        <v>43</v>
      </c>
      <c r="M130" s="5" t="s">
        <v>1023</v>
      </c>
      <c r="N130" s="5" t="s">
        <v>1020</v>
      </c>
      <c r="O130" s="5" t="s">
        <v>1002</v>
      </c>
      <c r="P130" s="5" t="s">
        <v>69</v>
      </c>
      <c r="Q130" s="3">
        <f>+S130/19*100</f>
        <v>468819.11357340711</v>
      </c>
      <c r="R130" s="8">
        <f>+AK130-Q130-S130</f>
        <v>-451894.74515235447</v>
      </c>
      <c r="S130" s="6">
        <f>+U130/19*100</f>
        <v>89075.631578947359</v>
      </c>
      <c r="T130" s="6">
        <f>+AK130-S130-U130</f>
        <v>-1.5789473582117353E-3</v>
      </c>
      <c r="U130" s="6">
        <v>16924.37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106000</v>
      </c>
      <c r="AL130" s="5" t="s">
        <v>45</v>
      </c>
      <c r="AM130" s="5" t="s">
        <v>46</v>
      </c>
    </row>
    <row r="131" spans="1:39" s="3" customFormat="1" ht="12.75" x14ac:dyDescent="0.2">
      <c r="A131" s="5" t="s">
        <v>350</v>
      </c>
      <c r="B131" s="5" t="s">
        <v>879</v>
      </c>
      <c r="C131" s="5" t="s">
        <v>880</v>
      </c>
      <c r="D131" s="5" t="s">
        <v>785</v>
      </c>
      <c r="E131" s="5" t="s">
        <v>36</v>
      </c>
      <c r="F131" s="5" t="s">
        <v>37</v>
      </c>
      <c r="G131" s="5" t="s">
        <v>88</v>
      </c>
      <c r="H131" s="5" t="s">
        <v>874</v>
      </c>
      <c r="I131" s="5" t="s">
        <v>881</v>
      </c>
      <c r="J131" s="5" t="s">
        <v>132</v>
      </c>
      <c r="K131" s="5" t="s">
        <v>882</v>
      </c>
      <c r="L131" s="5" t="s">
        <v>43</v>
      </c>
      <c r="M131" s="5" t="s">
        <v>1054</v>
      </c>
      <c r="N131" s="5" t="s">
        <v>1020</v>
      </c>
      <c r="O131" s="5" t="s">
        <v>1002</v>
      </c>
      <c r="P131" s="5" t="s">
        <v>44</v>
      </c>
      <c r="Q131" s="3">
        <f>+S131/19*100</f>
        <v>70765.096952908585</v>
      </c>
      <c r="R131" s="8">
        <f>+AK131-Q131-S131</f>
        <v>-64210.465373961219</v>
      </c>
      <c r="S131" s="6">
        <f>+U131/19*100</f>
        <v>13445.368421052632</v>
      </c>
      <c r="T131" s="6">
        <f>+AK131-S131-U131</f>
        <v>4000.0115789473684</v>
      </c>
      <c r="U131" s="6">
        <v>2554.62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20000</v>
      </c>
      <c r="AL131" s="5" t="s">
        <v>45</v>
      </c>
      <c r="AM131" s="5" t="s">
        <v>46</v>
      </c>
    </row>
    <row r="132" spans="1:39" s="3" customFormat="1" ht="12.75" x14ac:dyDescent="0.2">
      <c r="A132" s="5" t="s">
        <v>350</v>
      </c>
      <c r="B132" s="5" t="s">
        <v>783</v>
      </c>
      <c r="C132" s="5" t="s">
        <v>784</v>
      </c>
      <c r="D132" s="5" t="s">
        <v>785</v>
      </c>
      <c r="E132" s="5" t="s">
        <v>36</v>
      </c>
      <c r="F132" s="5" t="s">
        <v>37</v>
      </c>
      <c r="G132" s="5" t="s">
        <v>88</v>
      </c>
      <c r="H132" s="5" t="s">
        <v>781</v>
      </c>
      <c r="I132" s="5" t="s">
        <v>786</v>
      </c>
      <c r="J132" s="5" t="s">
        <v>132</v>
      </c>
      <c r="K132" s="5" t="s">
        <v>461</v>
      </c>
      <c r="L132" s="5" t="s">
        <v>43</v>
      </c>
      <c r="M132" s="5" t="s">
        <v>1013</v>
      </c>
      <c r="N132" s="5" t="s">
        <v>1020</v>
      </c>
      <c r="O132" s="5" t="s">
        <v>1002</v>
      </c>
      <c r="P132" s="5" t="s">
        <v>44</v>
      </c>
      <c r="Q132" s="3">
        <f>+S132/19*100</f>
        <v>411410.80332409975</v>
      </c>
      <c r="R132" s="8">
        <f>+AK132-Q132-S132</f>
        <v>-396558.85595567868</v>
      </c>
      <c r="S132" s="6">
        <f>+U132/19*100</f>
        <v>78168.052631578947</v>
      </c>
      <c r="T132" s="6">
        <f>+AK132-S132-U132</f>
        <v>1.7368421053106431E-2</v>
      </c>
      <c r="U132" s="6">
        <v>14851.93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6">
        <v>0</v>
      </c>
      <c r="AK132" s="6">
        <v>93020</v>
      </c>
      <c r="AL132" s="5" t="s">
        <v>45</v>
      </c>
      <c r="AM132" s="5" t="s">
        <v>46</v>
      </c>
    </row>
    <row r="133" spans="1:39" s="5" customFormat="1" ht="12.75" x14ac:dyDescent="0.2">
      <c r="A133" s="5" t="s">
        <v>350</v>
      </c>
      <c r="B133" s="5" t="s">
        <v>442</v>
      </c>
      <c r="C133" s="5" t="s">
        <v>443</v>
      </c>
      <c r="D133" s="5" t="s">
        <v>444</v>
      </c>
      <c r="E133" s="5" t="s">
        <v>36</v>
      </c>
      <c r="F133" s="5" t="s">
        <v>37</v>
      </c>
      <c r="G133" s="5" t="s">
        <v>38</v>
      </c>
      <c r="H133" s="5" t="s">
        <v>445</v>
      </c>
      <c r="I133" s="5" t="s">
        <v>446</v>
      </c>
      <c r="J133" s="5" t="s">
        <v>156</v>
      </c>
      <c r="K133" s="5" t="s">
        <v>157</v>
      </c>
      <c r="L133" s="5" t="s">
        <v>43</v>
      </c>
      <c r="M133" s="5" t="s">
        <v>1056</v>
      </c>
      <c r="N133" s="5" t="s">
        <v>1020</v>
      </c>
      <c r="O133" s="5" t="s">
        <v>1002</v>
      </c>
      <c r="P133" s="5" t="s">
        <v>158</v>
      </c>
      <c r="Q133" s="3">
        <f>+S133/19*100</f>
        <v>251658.44875346264</v>
      </c>
      <c r="R133" s="8">
        <f>+AK133-Q133-S133</f>
        <v>-242573.55401662053</v>
      </c>
      <c r="S133" s="6">
        <f>+U133/19*100</f>
        <v>47815.1052631579</v>
      </c>
      <c r="T133" s="6">
        <f>+AK133-S133-U133</f>
        <v>2.4736842098718625E-2</v>
      </c>
      <c r="U133" s="6">
        <v>9084.8700000000008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6">
        <v>0</v>
      </c>
      <c r="AK133" s="6">
        <v>56900</v>
      </c>
      <c r="AL133" s="5" t="s">
        <v>45</v>
      </c>
      <c r="AM133" s="5" t="s">
        <v>46</v>
      </c>
    </row>
    <row r="134" spans="1:39" s="5" customFormat="1" ht="12.75" x14ac:dyDescent="0.2">
      <c r="Q134" s="3"/>
      <c r="R134" s="8"/>
      <c r="S134" s="6"/>
      <c r="T134" s="6"/>
      <c r="U134" s="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6"/>
      <c r="AK134" s="6"/>
    </row>
    <row r="135" spans="1:39" s="5" customFormat="1" ht="12.75" x14ac:dyDescent="0.2">
      <c r="Q135" s="3"/>
      <c r="R135" s="8"/>
      <c r="S135" s="6"/>
      <c r="T135" s="6"/>
      <c r="U135" s="6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6"/>
      <c r="AK135" s="6"/>
    </row>
    <row r="136" spans="1:39" s="5" customFormat="1" ht="12.75" x14ac:dyDescent="0.2">
      <c r="Q136" s="3"/>
      <c r="R136" s="8"/>
      <c r="S136" s="6"/>
      <c r="T136" s="6"/>
      <c r="U136" s="6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6"/>
      <c r="AK136" s="6"/>
    </row>
    <row r="137" spans="1:39" s="5" customFormat="1" ht="12.75" x14ac:dyDescent="0.2">
      <c r="Q137" s="3"/>
      <c r="R137" s="8"/>
      <c r="S137" s="6"/>
      <c r="T137" s="6"/>
      <c r="U137" s="6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6"/>
      <c r="AK137" s="6"/>
    </row>
    <row r="138" spans="1:39" s="5" customFormat="1" ht="12.75" x14ac:dyDescent="0.2">
      <c r="Q138" s="3"/>
      <c r="R138" s="8"/>
      <c r="S138" s="6"/>
      <c r="T138" s="6"/>
      <c r="U138" s="6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6"/>
      <c r="AK138" s="6"/>
    </row>
    <row r="139" spans="1:39" s="5" customFormat="1" ht="12.75" x14ac:dyDescent="0.2">
      <c r="Q139" s="3"/>
      <c r="R139" s="8"/>
      <c r="S139" s="6"/>
      <c r="T139" s="6"/>
      <c r="U139" s="6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6"/>
      <c r="AK139" s="6"/>
    </row>
    <row r="140" spans="1:39" s="5" customFormat="1" ht="12.75" x14ac:dyDescent="0.2">
      <c r="Q140" s="3"/>
      <c r="R140" s="8"/>
      <c r="S140" s="6"/>
      <c r="T140" s="6"/>
      <c r="U140" s="6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6"/>
      <c r="AK140" s="6"/>
    </row>
    <row r="141" spans="1:39" s="5" customFormat="1" ht="12.75" x14ac:dyDescent="0.2">
      <c r="Q141" s="3"/>
      <c r="R141" s="8"/>
      <c r="S141" s="6"/>
      <c r="T141" s="6"/>
      <c r="U141" s="6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6"/>
      <c r="AK141" s="6"/>
    </row>
    <row r="142" spans="1:39" s="5" customFormat="1" ht="12.75" x14ac:dyDescent="0.2">
      <c r="Q142" s="3"/>
      <c r="R142" s="8"/>
      <c r="S142" s="6"/>
      <c r="T142" s="6"/>
      <c r="U142" s="6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6"/>
      <c r="AK142" s="6"/>
    </row>
    <row r="143" spans="1:39" s="5" customFormat="1" ht="12.75" x14ac:dyDescent="0.2">
      <c r="Q143" s="3"/>
      <c r="R143" s="8"/>
      <c r="S143" s="6"/>
      <c r="T143" s="6"/>
      <c r="U143" s="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6"/>
      <c r="AK143" s="6"/>
    </row>
    <row r="144" spans="1:39" s="5" customFormat="1" ht="12.75" x14ac:dyDescent="0.2">
      <c r="Q144" s="3"/>
      <c r="R144" s="8"/>
      <c r="S144" s="6"/>
      <c r="T144" s="6"/>
      <c r="U144" s="6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6"/>
      <c r="AK144" s="6"/>
    </row>
    <row r="145" spans="1:39" s="5" customFormat="1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1"/>
      <c r="AM145" s="1"/>
    </row>
    <row r="146" spans="1:39" s="5" customFormat="1" ht="12.75" x14ac:dyDescent="0.2">
      <c r="A146" s="3" t="s">
        <v>61</v>
      </c>
      <c r="B146" s="3" t="s">
        <v>62</v>
      </c>
      <c r="C146" s="3" t="s">
        <v>63</v>
      </c>
      <c r="D146" s="3" t="s">
        <v>64</v>
      </c>
      <c r="E146" s="3" t="s">
        <v>36</v>
      </c>
      <c r="F146" s="3" t="s">
        <v>37</v>
      </c>
      <c r="G146" s="3" t="s">
        <v>65</v>
      </c>
      <c r="H146" s="3" t="s">
        <v>57</v>
      </c>
      <c r="I146" s="3" t="s">
        <v>66</v>
      </c>
      <c r="J146" s="3" t="s">
        <v>67</v>
      </c>
      <c r="K146" s="3" t="s">
        <v>68</v>
      </c>
      <c r="L146" s="3" t="s">
        <v>43</v>
      </c>
      <c r="M146" s="3" t="s">
        <v>1006</v>
      </c>
      <c r="N146" s="3" t="s">
        <v>1020</v>
      </c>
      <c r="O146" s="3" t="s">
        <v>1002</v>
      </c>
      <c r="P146" s="3" t="s">
        <v>69</v>
      </c>
      <c r="Q146" s="3">
        <f t="shared" ref="Q146:Q177" si="16">+S146/19*100</f>
        <v>123839.05817174516</v>
      </c>
      <c r="R146" s="8">
        <f t="shared" ref="R146:R177" si="17">+AK146-Q146-S146</f>
        <v>-119368.47922437673</v>
      </c>
      <c r="S146" s="4">
        <f>+U146/19*100</f>
        <v>23529.42105263158</v>
      </c>
      <c r="T146" s="4">
        <f t="shared" ref="T146:T177" si="18">+AK146-S146-U146</f>
        <v>-1.1052631580241723E-2</v>
      </c>
      <c r="U146" s="4">
        <v>4470.59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28000</v>
      </c>
      <c r="AL146" s="3" t="s">
        <v>45</v>
      </c>
      <c r="AM146" s="3" t="s">
        <v>46</v>
      </c>
    </row>
    <row r="147" spans="1:39" s="5" customFormat="1" ht="12.75" x14ac:dyDescent="0.2">
      <c r="A147" s="3" t="s">
        <v>32</v>
      </c>
      <c r="B147" s="3" t="s">
        <v>796</v>
      </c>
      <c r="C147" s="3" t="s">
        <v>797</v>
      </c>
      <c r="D147" s="3" t="s">
        <v>798</v>
      </c>
      <c r="E147" s="3" t="s">
        <v>36</v>
      </c>
      <c r="F147" s="3" t="s">
        <v>73</v>
      </c>
      <c r="G147" s="3" t="s">
        <v>37</v>
      </c>
      <c r="H147" s="3" t="s">
        <v>781</v>
      </c>
      <c r="I147" s="3" t="s">
        <v>799</v>
      </c>
      <c r="J147" s="3" t="s">
        <v>800</v>
      </c>
      <c r="K147" s="3" t="s">
        <v>801</v>
      </c>
      <c r="L147" s="3" t="s">
        <v>43</v>
      </c>
      <c r="M147" s="3" t="s">
        <v>997</v>
      </c>
      <c r="N147" s="3" t="s">
        <v>1020</v>
      </c>
      <c r="O147" s="3" t="s">
        <v>1002</v>
      </c>
      <c r="P147" s="3" t="s">
        <v>44</v>
      </c>
      <c r="Q147" s="3">
        <f t="shared" si="16"/>
        <v>24467880.88642659</v>
      </c>
      <c r="R147" s="8">
        <f t="shared" si="17"/>
        <v>-23584590.354847644</v>
      </c>
      <c r="S147" s="4">
        <f t="shared" ref="S147:S177" si="19">+U147/19*100</f>
        <v>4648897.3684210526</v>
      </c>
      <c r="T147" s="4">
        <f t="shared" si="18"/>
        <v>3.157894778996706E-2</v>
      </c>
      <c r="U147" s="4">
        <v>883290.5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5532187.9000000004</v>
      </c>
      <c r="AL147" s="3" t="s">
        <v>45</v>
      </c>
      <c r="AM147" s="3" t="s">
        <v>46</v>
      </c>
    </row>
    <row r="148" spans="1:39" s="5" customFormat="1" ht="12.75" x14ac:dyDescent="0.2">
      <c r="A148" s="3" t="s">
        <v>32</v>
      </c>
      <c r="B148" s="3" t="s">
        <v>428</v>
      </c>
      <c r="C148" s="3" t="s">
        <v>429</v>
      </c>
      <c r="D148" s="3" t="s">
        <v>430</v>
      </c>
      <c r="E148" s="3" t="s">
        <v>36</v>
      </c>
      <c r="F148" s="3" t="s">
        <v>73</v>
      </c>
      <c r="G148" s="3" t="s">
        <v>176</v>
      </c>
      <c r="H148" s="3" t="s">
        <v>431</v>
      </c>
      <c r="I148" s="3" t="s">
        <v>432</v>
      </c>
      <c r="J148" s="3" t="s">
        <v>433</v>
      </c>
      <c r="K148" s="3" t="s">
        <v>434</v>
      </c>
      <c r="L148" s="3" t="s">
        <v>43</v>
      </c>
      <c r="M148" s="3" t="s">
        <v>1001</v>
      </c>
      <c r="N148" s="3" t="s">
        <v>1020</v>
      </c>
      <c r="O148" s="3" t="s">
        <v>1002</v>
      </c>
      <c r="P148" s="3" t="s">
        <v>69</v>
      </c>
      <c r="Q148" s="3">
        <f t="shared" si="16"/>
        <v>2158337.1191135733</v>
      </c>
      <c r="R148" s="8">
        <f t="shared" si="17"/>
        <v>-2080421.1717451522</v>
      </c>
      <c r="S148" s="4">
        <f t="shared" si="19"/>
        <v>410084.05263157893</v>
      </c>
      <c r="T148" s="4">
        <f t="shared" si="18"/>
        <v>-2.2631578933214769E-2</v>
      </c>
      <c r="U148" s="4">
        <v>77915.97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488000</v>
      </c>
      <c r="AL148" s="3" t="s">
        <v>45</v>
      </c>
      <c r="AM148" s="3" t="s">
        <v>46</v>
      </c>
    </row>
    <row r="149" spans="1:39" s="5" customFormat="1" ht="12.75" x14ac:dyDescent="0.2">
      <c r="A149" s="3" t="s">
        <v>32</v>
      </c>
      <c r="B149" s="3" t="s">
        <v>480</v>
      </c>
      <c r="C149" s="3" t="s">
        <v>481</v>
      </c>
      <c r="D149" s="3" t="s">
        <v>430</v>
      </c>
      <c r="E149" s="3" t="s">
        <v>36</v>
      </c>
      <c r="F149" s="3" t="s">
        <v>37</v>
      </c>
      <c r="G149" s="3" t="s">
        <v>65</v>
      </c>
      <c r="H149" s="3" t="s">
        <v>482</v>
      </c>
      <c r="I149" s="3" t="s">
        <v>483</v>
      </c>
      <c r="J149" s="3" t="s">
        <v>433</v>
      </c>
      <c r="K149" s="3" t="s">
        <v>434</v>
      </c>
      <c r="L149" s="3" t="s">
        <v>43</v>
      </c>
      <c r="M149" s="3" t="s">
        <v>1001</v>
      </c>
      <c r="N149" s="3" t="s">
        <v>1020</v>
      </c>
      <c r="O149" s="3" t="s">
        <v>1002</v>
      </c>
      <c r="P149" s="3" t="s">
        <v>69</v>
      </c>
      <c r="Q149" s="3">
        <f t="shared" si="16"/>
        <v>796108.03324099712</v>
      </c>
      <c r="R149" s="8">
        <f t="shared" si="17"/>
        <v>-767368.55955678655</v>
      </c>
      <c r="S149" s="4">
        <f t="shared" si="19"/>
        <v>151260.52631578947</v>
      </c>
      <c r="T149" s="4">
        <f t="shared" si="18"/>
        <v>-2.6315789466025308E-2</v>
      </c>
      <c r="U149" s="4">
        <v>28739.5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180000</v>
      </c>
      <c r="AL149" s="3" t="s">
        <v>45</v>
      </c>
      <c r="AM149" s="3" t="s">
        <v>46</v>
      </c>
    </row>
    <row r="150" spans="1:39" s="5" customFormat="1" ht="12.75" x14ac:dyDescent="0.2">
      <c r="A150" s="3" t="s">
        <v>32</v>
      </c>
      <c r="B150" s="3" t="s">
        <v>488</v>
      </c>
      <c r="C150" s="3" t="s">
        <v>489</v>
      </c>
      <c r="D150" s="3" t="s">
        <v>430</v>
      </c>
      <c r="E150" s="3" t="s">
        <v>36</v>
      </c>
      <c r="F150" s="3" t="s">
        <v>37</v>
      </c>
      <c r="G150" s="3" t="s">
        <v>65</v>
      </c>
      <c r="H150" s="3" t="s">
        <v>490</v>
      </c>
      <c r="I150" s="3" t="s">
        <v>491</v>
      </c>
      <c r="J150" s="3" t="s">
        <v>433</v>
      </c>
      <c r="K150" s="3" t="s">
        <v>434</v>
      </c>
      <c r="L150" s="3" t="s">
        <v>43</v>
      </c>
      <c r="M150" s="3" t="s">
        <v>1001</v>
      </c>
      <c r="N150" s="3" t="s">
        <v>1020</v>
      </c>
      <c r="O150" s="3" t="s">
        <v>1002</v>
      </c>
      <c r="P150" s="3" t="s">
        <v>69</v>
      </c>
      <c r="Q150" s="3">
        <f t="shared" si="16"/>
        <v>1954887.2576177283</v>
      </c>
      <c r="R150" s="8">
        <f t="shared" si="17"/>
        <v>-1884315.8365650966</v>
      </c>
      <c r="S150" s="4">
        <f t="shared" si="19"/>
        <v>371428.57894736837</v>
      </c>
      <c r="T150" s="4">
        <f t="shared" si="18"/>
        <v>-8.9473683619871736E-3</v>
      </c>
      <c r="U150" s="4">
        <v>70571.429999999993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442000</v>
      </c>
      <c r="AL150" s="3" t="s">
        <v>45</v>
      </c>
      <c r="AM150" s="3" t="s">
        <v>46</v>
      </c>
    </row>
    <row r="151" spans="1:39" s="5" customFormat="1" ht="12.75" x14ac:dyDescent="0.2">
      <c r="A151" s="3" t="s">
        <v>32</v>
      </c>
      <c r="B151" s="3" t="s">
        <v>837</v>
      </c>
      <c r="C151" s="3" t="s">
        <v>838</v>
      </c>
      <c r="D151" s="3" t="s">
        <v>430</v>
      </c>
      <c r="E151" s="3" t="s">
        <v>36</v>
      </c>
      <c r="F151" s="3" t="s">
        <v>37</v>
      </c>
      <c r="G151" s="3" t="s">
        <v>65</v>
      </c>
      <c r="H151" s="3" t="s">
        <v>839</v>
      </c>
      <c r="I151" s="3" t="s">
        <v>840</v>
      </c>
      <c r="J151" s="3" t="s">
        <v>433</v>
      </c>
      <c r="K151" s="3" t="s">
        <v>434</v>
      </c>
      <c r="L151" s="3" t="s">
        <v>43</v>
      </c>
      <c r="M151" s="3" t="s">
        <v>1001</v>
      </c>
      <c r="N151" s="3" t="s">
        <v>1020</v>
      </c>
      <c r="O151" s="3" t="s">
        <v>1002</v>
      </c>
      <c r="P151" s="3" t="s">
        <v>69</v>
      </c>
      <c r="Q151" s="3">
        <f t="shared" si="16"/>
        <v>1127819.6675900277</v>
      </c>
      <c r="R151" s="8">
        <f t="shared" si="17"/>
        <v>-1087105.4044321328</v>
      </c>
      <c r="S151" s="4">
        <f t="shared" si="19"/>
        <v>214285.73684210528</v>
      </c>
      <c r="T151" s="4">
        <f t="shared" si="18"/>
        <v>-2.6842105282412376E-2</v>
      </c>
      <c r="U151" s="4">
        <v>40714.29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255000</v>
      </c>
      <c r="AL151" s="3" t="s">
        <v>45</v>
      </c>
      <c r="AM151" s="3" t="s">
        <v>46</v>
      </c>
    </row>
    <row r="152" spans="1:39" s="5" customFormat="1" ht="12.75" x14ac:dyDescent="0.2">
      <c r="A152" s="3" t="s">
        <v>32</v>
      </c>
      <c r="B152" s="3" t="s">
        <v>790</v>
      </c>
      <c r="C152" s="3" t="s">
        <v>791</v>
      </c>
      <c r="D152" s="3" t="s">
        <v>792</v>
      </c>
      <c r="E152" s="3" t="s">
        <v>36</v>
      </c>
      <c r="F152" s="3" t="s">
        <v>37</v>
      </c>
      <c r="G152" s="3" t="s">
        <v>176</v>
      </c>
      <c r="H152" s="3" t="s">
        <v>781</v>
      </c>
      <c r="I152" s="3" t="s">
        <v>793</v>
      </c>
      <c r="J152" s="3" t="s">
        <v>794</v>
      </c>
      <c r="K152" s="3" t="s">
        <v>795</v>
      </c>
      <c r="L152" s="3" t="s">
        <v>43</v>
      </c>
      <c r="M152" s="3" t="s">
        <v>1003</v>
      </c>
      <c r="N152" s="3" t="s">
        <v>1020</v>
      </c>
      <c r="O152" s="3" t="s">
        <v>1002</v>
      </c>
      <c r="P152" s="3" t="s">
        <v>69</v>
      </c>
      <c r="Q152" s="3">
        <f t="shared" si="16"/>
        <v>1508452.6315789474</v>
      </c>
      <c r="R152" s="8">
        <f t="shared" si="17"/>
        <v>-1453997.4915789473</v>
      </c>
      <c r="S152" s="4">
        <f t="shared" si="19"/>
        <v>286606</v>
      </c>
      <c r="T152" s="4">
        <f t="shared" si="18"/>
        <v>0</v>
      </c>
      <c r="U152" s="4">
        <v>54455.14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341061.14</v>
      </c>
      <c r="AL152" s="3" t="s">
        <v>45</v>
      </c>
      <c r="AM152" s="3" t="s">
        <v>46</v>
      </c>
    </row>
    <row r="153" spans="1:39" s="5" customFormat="1" ht="12.75" x14ac:dyDescent="0.2">
      <c r="A153" s="3" t="s">
        <v>32</v>
      </c>
      <c r="B153" s="3" t="s">
        <v>893</v>
      </c>
      <c r="C153" s="3" t="s">
        <v>894</v>
      </c>
      <c r="D153" s="3" t="s">
        <v>895</v>
      </c>
      <c r="E153" s="3" t="s">
        <v>36</v>
      </c>
      <c r="F153" s="3" t="s">
        <v>37</v>
      </c>
      <c r="G153" s="3" t="s">
        <v>176</v>
      </c>
      <c r="H153" s="3" t="s">
        <v>896</v>
      </c>
      <c r="I153" s="3" t="s">
        <v>897</v>
      </c>
      <c r="J153" s="3" t="s">
        <v>794</v>
      </c>
      <c r="K153" s="3" t="s">
        <v>795</v>
      </c>
      <c r="L153" s="3" t="s">
        <v>43</v>
      </c>
      <c r="M153" s="3" t="s">
        <v>1003</v>
      </c>
      <c r="N153" s="3" t="s">
        <v>1020</v>
      </c>
      <c r="O153" s="3" t="s">
        <v>1002</v>
      </c>
      <c r="P153" s="3" t="s">
        <v>69</v>
      </c>
      <c r="Q153" s="3">
        <f t="shared" si="16"/>
        <v>1603678.9473684209</v>
      </c>
      <c r="R153" s="8">
        <f t="shared" si="17"/>
        <v>-1545786.1373684208</v>
      </c>
      <c r="S153" s="4">
        <f t="shared" si="19"/>
        <v>304699</v>
      </c>
      <c r="T153" s="4">
        <f t="shared" si="18"/>
        <v>0</v>
      </c>
      <c r="U153" s="4">
        <v>57892.81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362591.81</v>
      </c>
      <c r="AL153" s="3" t="s">
        <v>45</v>
      </c>
      <c r="AM153" s="3" t="s">
        <v>46</v>
      </c>
    </row>
    <row r="154" spans="1:39" s="5" customFormat="1" ht="12.75" x14ac:dyDescent="0.2">
      <c r="A154" s="3" t="s">
        <v>32</v>
      </c>
      <c r="B154" s="3" t="s">
        <v>173</v>
      </c>
      <c r="C154" s="3" t="s">
        <v>174</v>
      </c>
      <c r="D154" s="3" t="s">
        <v>175</v>
      </c>
      <c r="E154" s="3" t="s">
        <v>36</v>
      </c>
      <c r="F154" s="3" t="s">
        <v>73</v>
      </c>
      <c r="G154" s="3" t="s">
        <v>176</v>
      </c>
      <c r="H154" s="3" t="s">
        <v>177</v>
      </c>
      <c r="I154" s="3" t="s">
        <v>178</v>
      </c>
      <c r="J154" s="3" t="s">
        <v>67</v>
      </c>
      <c r="K154" s="3" t="s">
        <v>68</v>
      </c>
      <c r="L154" s="3" t="s">
        <v>43</v>
      </c>
      <c r="M154" s="3" t="s">
        <v>1006</v>
      </c>
      <c r="N154" s="3" t="s">
        <v>1020</v>
      </c>
      <c r="O154" s="3" t="s">
        <v>1002</v>
      </c>
      <c r="P154" s="3" t="s">
        <v>69</v>
      </c>
      <c r="Q154" s="3">
        <f t="shared" si="16"/>
        <v>170057.61772853183</v>
      </c>
      <c r="R154" s="8">
        <f t="shared" si="17"/>
        <v>-163918.56509695287</v>
      </c>
      <c r="S154" s="4">
        <f t="shared" si="19"/>
        <v>32310.94736842105</v>
      </c>
      <c r="T154" s="4">
        <f t="shared" si="18"/>
        <v>-2.7368421049686731E-2</v>
      </c>
      <c r="U154" s="4">
        <v>6139.08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38450</v>
      </c>
      <c r="AL154" s="3" t="s">
        <v>45</v>
      </c>
      <c r="AM154" s="3" t="s">
        <v>46</v>
      </c>
    </row>
    <row r="155" spans="1:39" s="5" customFormat="1" ht="12.75" x14ac:dyDescent="0.2">
      <c r="A155" s="3" t="s">
        <v>32</v>
      </c>
      <c r="B155" s="3" t="s">
        <v>223</v>
      </c>
      <c r="C155" s="3" t="s">
        <v>224</v>
      </c>
      <c r="D155" s="3" t="s">
        <v>175</v>
      </c>
      <c r="E155" s="3" t="s">
        <v>36</v>
      </c>
      <c r="F155" s="3" t="s">
        <v>73</v>
      </c>
      <c r="G155" s="3" t="s">
        <v>176</v>
      </c>
      <c r="H155" s="3" t="s">
        <v>225</v>
      </c>
      <c r="I155" s="3" t="s">
        <v>226</v>
      </c>
      <c r="J155" s="3" t="s">
        <v>67</v>
      </c>
      <c r="K155" s="3" t="s">
        <v>68</v>
      </c>
      <c r="L155" s="3" t="s">
        <v>43</v>
      </c>
      <c r="M155" s="3" t="s">
        <v>1006</v>
      </c>
      <c r="N155" s="3" t="s">
        <v>1020</v>
      </c>
      <c r="O155" s="3" t="s">
        <v>1002</v>
      </c>
      <c r="P155" s="3" t="s">
        <v>69</v>
      </c>
      <c r="Q155" s="3">
        <f t="shared" si="16"/>
        <v>3825740.720221607</v>
      </c>
      <c r="R155" s="8">
        <f t="shared" si="17"/>
        <v>-3687631.4570637122</v>
      </c>
      <c r="S155" s="4">
        <f t="shared" si="19"/>
        <v>726890.73684210528</v>
      </c>
      <c r="T155" s="4">
        <f t="shared" si="18"/>
        <v>2.3157894727773964E-2</v>
      </c>
      <c r="U155" s="4">
        <v>138109.24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865000</v>
      </c>
      <c r="AL155" s="3" t="s">
        <v>45</v>
      </c>
      <c r="AM155" s="3" t="s">
        <v>46</v>
      </c>
    </row>
    <row r="156" spans="1:39" s="5" customFormat="1" ht="12.75" x14ac:dyDescent="0.2">
      <c r="A156" s="3" t="s">
        <v>32</v>
      </c>
      <c r="B156" s="3" t="s">
        <v>260</v>
      </c>
      <c r="C156" s="3" t="s">
        <v>261</v>
      </c>
      <c r="D156" s="3" t="s">
        <v>175</v>
      </c>
      <c r="E156" s="3" t="s">
        <v>36</v>
      </c>
      <c r="F156" s="3" t="s">
        <v>73</v>
      </c>
      <c r="G156" s="3" t="s">
        <v>176</v>
      </c>
      <c r="H156" s="3" t="s">
        <v>262</v>
      </c>
      <c r="I156" s="3" t="s">
        <v>263</v>
      </c>
      <c r="J156" s="3" t="s">
        <v>67</v>
      </c>
      <c r="K156" s="3" t="s">
        <v>68</v>
      </c>
      <c r="L156" s="3" t="s">
        <v>43</v>
      </c>
      <c r="M156" s="3" t="s">
        <v>1006</v>
      </c>
      <c r="N156" s="3" t="s">
        <v>1020</v>
      </c>
      <c r="O156" s="3" t="s">
        <v>1002</v>
      </c>
      <c r="P156" s="3" t="s">
        <v>69</v>
      </c>
      <c r="Q156" s="3">
        <f t="shared" si="16"/>
        <v>486510.52631578944</v>
      </c>
      <c r="R156" s="8">
        <f t="shared" si="17"/>
        <v>-468947.52631578944</v>
      </c>
      <c r="S156" s="4">
        <f t="shared" si="19"/>
        <v>92436.999999999985</v>
      </c>
      <c r="T156" s="4">
        <f t="shared" si="18"/>
        <v>-2.9999999984283932E-2</v>
      </c>
      <c r="U156" s="4">
        <v>17563.03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110000</v>
      </c>
      <c r="AL156" s="3" t="s">
        <v>45</v>
      </c>
      <c r="AM156" s="3" t="s">
        <v>46</v>
      </c>
    </row>
    <row r="157" spans="1:39" s="5" customFormat="1" ht="12.75" x14ac:dyDescent="0.2">
      <c r="A157" s="3" t="s">
        <v>32</v>
      </c>
      <c r="B157" s="3" t="s">
        <v>298</v>
      </c>
      <c r="C157" s="3" t="s">
        <v>299</v>
      </c>
      <c r="D157" s="3" t="s">
        <v>175</v>
      </c>
      <c r="E157" s="3" t="s">
        <v>36</v>
      </c>
      <c r="F157" s="3" t="s">
        <v>73</v>
      </c>
      <c r="G157" s="3" t="s">
        <v>176</v>
      </c>
      <c r="H157" s="3" t="s">
        <v>300</v>
      </c>
      <c r="I157" s="3" t="s">
        <v>301</v>
      </c>
      <c r="J157" s="3" t="s">
        <v>67</v>
      </c>
      <c r="K157" s="3" t="s">
        <v>68</v>
      </c>
      <c r="L157" s="3" t="s">
        <v>43</v>
      </c>
      <c r="M157" s="3" t="s">
        <v>1006</v>
      </c>
      <c r="N157" s="3" t="s">
        <v>1020</v>
      </c>
      <c r="O157" s="3" t="s">
        <v>1002</v>
      </c>
      <c r="P157" s="3" t="s">
        <v>69</v>
      </c>
      <c r="Q157" s="3">
        <f t="shared" si="16"/>
        <v>2330827.1468144045</v>
      </c>
      <c r="R157" s="8">
        <f t="shared" si="17"/>
        <v>-2246684.3047091411</v>
      </c>
      <c r="S157" s="4">
        <f t="shared" si="19"/>
        <v>442857.15789473685</v>
      </c>
      <c r="T157" s="4">
        <f t="shared" si="18"/>
        <v>-1.7894736854941584E-2</v>
      </c>
      <c r="U157" s="4">
        <v>84142.86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527000</v>
      </c>
      <c r="AL157" s="3" t="s">
        <v>45</v>
      </c>
      <c r="AM157" s="3" t="s">
        <v>46</v>
      </c>
    </row>
    <row r="158" spans="1:39" s="5" customFormat="1" ht="12.75" x14ac:dyDescent="0.2">
      <c r="A158" s="3" t="s">
        <v>32</v>
      </c>
      <c r="B158" s="3" t="s">
        <v>653</v>
      </c>
      <c r="C158" s="3" t="s">
        <v>654</v>
      </c>
      <c r="D158" s="3" t="s">
        <v>655</v>
      </c>
      <c r="E158" s="3" t="s">
        <v>36</v>
      </c>
      <c r="F158" s="3" t="s">
        <v>37</v>
      </c>
      <c r="G158" s="3" t="s">
        <v>176</v>
      </c>
      <c r="H158" s="3" t="s">
        <v>648</v>
      </c>
      <c r="I158" s="3" t="s">
        <v>656</v>
      </c>
      <c r="J158" s="3" t="s">
        <v>657</v>
      </c>
      <c r="K158" s="3" t="s">
        <v>658</v>
      </c>
      <c r="L158" s="3" t="s">
        <v>43</v>
      </c>
      <c r="M158" s="3" t="s">
        <v>1007</v>
      </c>
      <c r="N158" s="3" t="s">
        <v>1020</v>
      </c>
      <c r="O158" s="3" t="s">
        <v>1002</v>
      </c>
      <c r="P158" s="3" t="s">
        <v>69</v>
      </c>
      <c r="Q158" s="3">
        <f t="shared" si="16"/>
        <v>331047.36842105264</v>
      </c>
      <c r="R158" s="8">
        <f t="shared" si="17"/>
        <v>-319096.55842105264</v>
      </c>
      <c r="S158" s="4">
        <f t="shared" si="19"/>
        <v>62899</v>
      </c>
      <c r="T158" s="4">
        <f t="shared" si="18"/>
        <v>0</v>
      </c>
      <c r="U158" s="4">
        <v>11950.81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74849.81</v>
      </c>
      <c r="AL158" s="3" t="s">
        <v>45</v>
      </c>
      <c r="AM158" s="3" t="s">
        <v>46</v>
      </c>
    </row>
    <row r="159" spans="1:39" s="5" customFormat="1" ht="14.25" x14ac:dyDescent="0.2">
      <c r="A159" s="3" t="s">
        <v>32</v>
      </c>
      <c r="B159" s="3" t="s">
        <v>659</v>
      </c>
      <c r="C159" s="3" t="s">
        <v>660</v>
      </c>
      <c r="D159" s="3" t="s">
        <v>560</v>
      </c>
      <c r="E159" s="3" t="s">
        <v>36</v>
      </c>
      <c r="F159" s="3" t="s">
        <v>37</v>
      </c>
      <c r="G159" s="3" t="s">
        <v>88</v>
      </c>
      <c r="H159" s="3" t="s">
        <v>648</v>
      </c>
      <c r="I159" s="3" t="s">
        <v>661</v>
      </c>
      <c r="J159" s="3" t="s">
        <v>662</v>
      </c>
      <c r="K159" s="3" t="s">
        <v>663</v>
      </c>
      <c r="L159" s="3" t="s">
        <v>43</v>
      </c>
      <c r="M159" s="3" t="s">
        <v>1037</v>
      </c>
      <c r="N159" s="3" t="s">
        <v>1020</v>
      </c>
      <c r="O159" s="3" t="s">
        <v>1002</v>
      </c>
      <c r="P159" s="3" t="s">
        <v>100</v>
      </c>
      <c r="Q159" s="3">
        <f t="shared" si="16"/>
        <v>1870853.4626038778</v>
      </c>
      <c r="R159" s="8">
        <f t="shared" si="17"/>
        <v>-1803315.6204986146</v>
      </c>
      <c r="S159" s="4">
        <f t="shared" si="19"/>
        <v>355462.1578947368</v>
      </c>
      <c r="T159" s="4">
        <f t="shared" si="18"/>
        <v>3.210526320617646E-2</v>
      </c>
      <c r="U159" s="4">
        <v>67537.81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423000</v>
      </c>
      <c r="AL159" s="3" t="s">
        <v>45</v>
      </c>
      <c r="AM159" s="3" t="s">
        <v>46</v>
      </c>
    </row>
    <row r="160" spans="1:39" s="5" customFormat="1" ht="14.25" x14ac:dyDescent="0.2">
      <c r="A160" s="3" t="s">
        <v>32</v>
      </c>
      <c r="B160" s="3" t="s">
        <v>700</v>
      </c>
      <c r="C160" s="3" t="s">
        <v>701</v>
      </c>
      <c r="D160" s="3" t="s">
        <v>560</v>
      </c>
      <c r="E160" s="3" t="s">
        <v>36</v>
      </c>
      <c r="F160" s="3" t="s">
        <v>37</v>
      </c>
      <c r="G160" s="3" t="s">
        <v>88</v>
      </c>
      <c r="H160" s="3" t="s">
        <v>702</v>
      </c>
      <c r="I160" s="3" t="s">
        <v>703</v>
      </c>
      <c r="J160" s="3" t="s">
        <v>662</v>
      </c>
      <c r="K160" s="3" t="s">
        <v>663</v>
      </c>
      <c r="L160" s="3" t="s">
        <v>43</v>
      </c>
      <c r="M160" s="3" t="s">
        <v>1037</v>
      </c>
      <c r="N160" s="3" t="s">
        <v>1020</v>
      </c>
      <c r="O160" s="3" t="s">
        <v>1002</v>
      </c>
      <c r="P160" s="3" t="s">
        <v>100</v>
      </c>
      <c r="Q160" s="3">
        <f t="shared" si="16"/>
        <v>380362.8808864266</v>
      </c>
      <c r="R160" s="8">
        <f t="shared" si="17"/>
        <v>-366631.82825484767</v>
      </c>
      <c r="S160" s="4">
        <f t="shared" si="19"/>
        <v>72268.947368421053</v>
      </c>
      <c r="T160" s="4">
        <f t="shared" si="18"/>
        <v>-4.7368421053761267E-2</v>
      </c>
      <c r="U160" s="4">
        <v>13731.1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86000</v>
      </c>
      <c r="AL160" s="3" t="s">
        <v>45</v>
      </c>
      <c r="AM160" s="3" t="s">
        <v>46</v>
      </c>
    </row>
    <row r="161" spans="1:39" s="5" customFormat="1" ht="14.25" x14ac:dyDescent="0.2">
      <c r="A161" s="3" t="s">
        <v>32</v>
      </c>
      <c r="B161" s="3" t="s">
        <v>734</v>
      </c>
      <c r="C161" s="3" t="s">
        <v>735</v>
      </c>
      <c r="D161" s="3" t="s">
        <v>560</v>
      </c>
      <c r="E161" s="3" t="s">
        <v>36</v>
      </c>
      <c r="F161" s="3" t="s">
        <v>37</v>
      </c>
      <c r="G161" s="3" t="s">
        <v>88</v>
      </c>
      <c r="H161" s="3" t="s">
        <v>736</v>
      </c>
      <c r="I161" s="3" t="s">
        <v>737</v>
      </c>
      <c r="J161" s="3" t="s">
        <v>662</v>
      </c>
      <c r="K161" s="3" t="s">
        <v>663</v>
      </c>
      <c r="L161" s="3" t="s">
        <v>43</v>
      </c>
      <c r="M161" s="3" t="s">
        <v>1037</v>
      </c>
      <c r="N161" s="3" t="s">
        <v>1020</v>
      </c>
      <c r="O161" s="3" t="s">
        <v>1002</v>
      </c>
      <c r="P161" s="3" t="s">
        <v>100</v>
      </c>
      <c r="Q161" s="3">
        <f t="shared" si="16"/>
        <v>243255.40166204993</v>
      </c>
      <c r="R161" s="8">
        <f t="shared" si="17"/>
        <v>-234473.92797783943</v>
      </c>
      <c r="S161" s="4">
        <f t="shared" si="19"/>
        <v>46218.526315789481</v>
      </c>
      <c r="T161" s="4">
        <f t="shared" si="18"/>
        <v>-4.631578948101378E-2</v>
      </c>
      <c r="U161" s="4">
        <v>8781.52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55000</v>
      </c>
      <c r="AL161" s="3" t="s">
        <v>45</v>
      </c>
      <c r="AM161" s="3" t="s">
        <v>46</v>
      </c>
    </row>
    <row r="162" spans="1:39" s="5" customFormat="1" ht="14.25" x14ac:dyDescent="0.2">
      <c r="A162" s="3" t="s">
        <v>32</v>
      </c>
      <c r="B162" s="3" t="s">
        <v>250</v>
      </c>
      <c r="C162" s="3" t="s">
        <v>251</v>
      </c>
      <c r="D162" s="3" t="s">
        <v>252</v>
      </c>
      <c r="E162" s="3" t="s">
        <v>36</v>
      </c>
      <c r="F162" s="3" t="s">
        <v>37</v>
      </c>
      <c r="G162" s="3" t="s">
        <v>37</v>
      </c>
      <c r="H162" s="3" t="s">
        <v>242</v>
      </c>
      <c r="I162" s="3" t="s">
        <v>253</v>
      </c>
      <c r="J162" s="3" t="s">
        <v>254</v>
      </c>
      <c r="K162" s="3" t="s">
        <v>255</v>
      </c>
      <c r="L162" s="3" t="s">
        <v>43</v>
      </c>
      <c r="M162" s="3" t="s">
        <v>1037</v>
      </c>
      <c r="N162" s="3" t="s">
        <v>1020</v>
      </c>
      <c r="O162" s="3" t="s">
        <v>1002</v>
      </c>
      <c r="P162" s="3" t="s">
        <v>100</v>
      </c>
      <c r="Q162" s="3">
        <f t="shared" si="16"/>
        <v>115789.47368421052</v>
      </c>
      <c r="R162" s="8">
        <f t="shared" si="17"/>
        <v>-111609.47368421052</v>
      </c>
      <c r="S162" s="4">
        <f t="shared" si="19"/>
        <v>22000</v>
      </c>
      <c r="T162" s="4">
        <f t="shared" si="18"/>
        <v>0</v>
      </c>
      <c r="U162" s="4">
        <v>4180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26180</v>
      </c>
      <c r="AL162" s="3" t="s">
        <v>45</v>
      </c>
      <c r="AM162" s="3" t="s">
        <v>46</v>
      </c>
    </row>
    <row r="163" spans="1:39" s="5" customFormat="1" ht="14.25" x14ac:dyDescent="0.2">
      <c r="A163" s="3" t="s">
        <v>32</v>
      </c>
      <c r="B163" s="3" t="s">
        <v>902</v>
      </c>
      <c r="C163" s="3" t="s">
        <v>903</v>
      </c>
      <c r="D163" s="3" t="s">
        <v>252</v>
      </c>
      <c r="E163" s="3" t="s">
        <v>36</v>
      </c>
      <c r="F163" s="3" t="s">
        <v>37</v>
      </c>
      <c r="G163" s="3" t="s">
        <v>37</v>
      </c>
      <c r="H163" s="3" t="s">
        <v>904</v>
      </c>
      <c r="I163" s="3" t="s">
        <v>905</v>
      </c>
      <c r="J163" s="3" t="s">
        <v>254</v>
      </c>
      <c r="K163" s="3" t="s">
        <v>255</v>
      </c>
      <c r="L163" s="3" t="s">
        <v>43</v>
      </c>
      <c r="M163" s="3" t="s">
        <v>1037</v>
      </c>
      <c r="N163" s="3" t="s">
        <v>1020</v>
      </c>
      <c r="O163" s="3" t="s">
        <v>1002</v>
      </c>
      <c r="P163" s="3" t="s">
        <v>100</v>
      </c>
      <c r="Q163" s="3">
        <f t="shared" si="16"/>
        <v>51136.842105263153</v>
      </c>
      <c r="R163" s="8">
        <f t="shared" si="17"/>
        <v>-49290.802105263152</v>
      </c>
      <c r="S163" s="4">
        <f t="shared" si="19"/>
        <v>9716</v>
      </c>
      <c r="T163" s="4">
        <f t="shared" si="18"/>
        <v>0</v>
      </c>
      <c r="U163" s="4">
        <v>1846.04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11562.04</v>
      </c>
      <c r="AL163" s="3" t="s">
        <v>45</v>
      </c>
      <c r="AM163" s="3" t="s">
        <v>46</v>
      </c>
    </row>
    <row r="164" spans="1:39" s="5" customFormat="1" ht="12.75" x14ac:dyDescent="0.2">
      <c r="A164" s="3" t="s">
        <v>32</v>
      </c>
      <c r="B164" s="3" t="s">
        <v>192</v>
      </c>
      <c r="C164" s="3" t="s">
        <v>193</v>
      </c>
      <c r="D164" s="3" t="s">
        <v>194</v>
      </c>
      <c r="E164" s="3" t="s">
        <v>36</v>
      </c>
      <c r="F164" s="3" t="s">
        <v>37</v>
      </c>
      <c r="G164" s="3" t="s">
        <v>88</v>
      </c>
      <c r="H164" s="3" t="s">
        <v>195</v>
      </c>
      <c r="I164" s="3" t="s">
        <v>196</v>
      </c>
      <c r="J164" s="3" t="s">
        <v>132</v>
      </c>
      <c r="K164" s="3" t="s">
        <v>197</v>
      </c>
      <c r="L164" s="3" t="s">
        <v>43</v>
      </c>
      <c r="M164" s="3" t="s">
        <v>1027</v>
      </c>
      <c r="N164" s="3" t="s">
        <v>1020</v>
      </c>
      <c r="O164" s="3" t="s">
        <v>1002</v>
      </c>
      <c r="P164" s="3" t="s">
        <v>44</v>
      </c>
      <c r="Q164" s="3">
        <f t="shared" si="16"/>
        <v>137107.47922437673</v>
      </c>
      <c r="R164" s="8">
        <f t="shared" si="17"/>
        <v>-132157.9002770083</v>
      </c>
      <c r="S164" s="4">
        <f t="shared" si="19"/>
        <v>26050.421052631576</v>
      </c>
      <c r="T164" s="4">
        <f t="shared" si="18"/>
        <v>-1.0526315763854655E-3</v>
      </c>
      <c r="U164" s="4">
        <v>4949.58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31000</v>
      </c>
      <c r="AL164" s="3" t="s">
        <v>45</v>
      </c>
      <c r="AM164" s="3" t="s">
        <v>46</v>
      </c>
    </row>
    <row r="165" spans="1:39" s="5" customFormat="1" ht="12.75" x14ac:dyDescent="0.2">
      <c r="A165" s="3" t="s">
        <v>32</v>
      </c>
      <c r="B165" s="3" t="s">
        <v>805</v>
      </c>
      <c r="C165" s="3" t="s">
        <v>806</v>
      </c>
      <c r="D165" s="3" t="s">
        <v>807</v>
      </c>
      <c r="E165" s="3" t="s">
        <v>36</v>
      </c>
      <c r="F165" s="3" t="s">
        <v>37</v>
      </c>
      <c r="G165" s="3" t="s">
        <v>38</v>
      </c>
      <c r="H165" s="3" t="s">
        <v>808</v>
      </c>
      <c r="I165" s="3" t="s">
        <v>809</v>
      </c>
      <c r="J165" s="3" t="s">
        <v>810</v>
      </c>
      <c r="K165" s="3" t="s">
        <v>811</v>
      </c>
      <c r="L165" s="3" t="s">
        <v>43</v>
      </c>
      <c r="M165" s="3" t="s">
        <v>1008</v>
      </c>
      <c r="N165" s="3" t="s">
        <v>1020</v>
      </c>
      <c r="O165" s="3" t="s">
        <v>1002</v>
      </c>
      <c r="P165" s="3" t="s">
        <v>100</v>
      </c>
      <c r="Q165" s="3">
        <f t="shared" si="16"/>
        <v>840332.40997229912</v>
      </c>
      <c r="R165" s="8">
        <f t="shared" si="17"/>
        <v>-809995.56786703598</v>
      </c>
      <c r="S165" s="4">
        <f t="shared" si="19"/>
        <v>159663.15789473683</v>
      </c>
      <c r="T165" s="4">
        <f t="shared" si="18"/>
        <v>0.84210526317474432</v>
      </c>
      <c r="U165" s="4">
        <v>30336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190000</v>
      </c>
      <c r="AL165" s="3" t="s">
        <v>45</v>
      </c>
      <c r="AM165" s="3" t="s">
        <v>46</v>
      </c>
    </row>
    <row r="166" spans="1:39" s="5" customFormat="1" ht="12.75" x14ac:dyDescent="0.2">
      <c r="A166" s="3" t="s">
        <v>32</v>
      </c>
      <c r="B166" s="3" t="s">
        <v>558</v>
      </c>
      <c r="C166" s="3" t="s">
        <v>559</v>
      </c>
      <c r="D166" s="3" t="s">
        <v>560</v>
      </c>
      <c r="E166" s="3" t="s">
        <v>36</v>
      </c>
      <c r="F166" s="3" t="s">
        <v>37</v>
      </c>
      <c r="G166" s="3" t="s">
        <v>88</v>
      </c>
      <c r="H166" s="3" t="s">
        <v>561</v>
      </c>
      <c r="I166" s="3" t="s">
        <v>562</v>
      </c>
      <c r="J166" s="3" t="s">
        <v>563</v>
      </c>
      <c r="K166" s="3" t="s">
        <v>564</v>
      </c>
      <c r="L166" s="3" t="s">
        <v>43</v>
      </c>
      <c r="M166" s="3" t="s">
        <v>1009</v>
      </c>
      <c r="N166" s="3" t="s">
        <v>1020</v>
      </c>
      <c r="O166" s="3" t="s">
        <v>1002</v>
      </c>
      <c r="P166" s="3" t="s">
        <v>100</v>
      </c>
      <c r="Q166" s="3">
        <f t="shared" si="16"/>
        <v>145953.18559556786</v>
      </c>
      <c r="R166" s="8">
        <f t="shared" si="17"/>
        <v>-129284.29085872576</v>
      </c>
      <c r="S166" s="4">
        <f t="shared" si="19"/>
        <v>27731.105263157893</v>
      </c>
      <c r="T166" s="4">
        <f t="shared" si="18"/>
        <v>11399.984736842107</v>
      </c>
      <c r="U166" s="4">
        <v>5268.91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44400</v>
      </c>
      <c r="AL166" s="3" t="s">
        <v>45</v>
      </c>
      <c r="AM166" s="3" t="s">
        <v>46</v>
      </c>
    </row>
    <row r="167" spans="1:39" s="5" customFormat="1" ht="12.75" x14ac:dyDescent="0.2">
      <c r="A167" s="3" t="s">
        <v>32</v>
      </c>
      <c r="B167" s="3" t="s">
        <v>675</v>
      </c>
      <c r="C167" s="3" t="s">
        <v>676</v>
      </c>
      <c r="D167" s="3" t="s">
        <v>560</v>
      </c>
      <c r="E167" s="3" t="s">
        <v>36</v>
      </c>
      <c r="F167" s="3" t="s">
        <v>37</v>
      </c>
      <c r="G167" s="3" t="s">
        <v>37</v>
      </c>
      <c r="H167" s="3" t="s">
        <v>677</v>
      </c>
      <c r="I167" s="3" t="s">
        <v>678</v>
      </c>
      <c r="J167" s="3" t="s">
        <v>563</v>
      </c>
      <c r="K167" s="3" t="s">
        <v>564</v>
      </c>
      <c r="L167" s="3" t="s">
        <v>43</v>
      </c>
      <c r="M167" s="3" t="s">
        <v>1009</v>
      </c>
      <c r="N167" s="3" t="s">
        <v>1020</v>
      </c>
      <c r="O167" s="3" t="s">
        <v>1002</v>
      </c>
      <c r="P167" s="3" t="s">
        <v>100</v>
      </c>
      <c r="Q167" s="3">
        <f t="shared" si="16"/>
        <v>80495.290858725755</v>
      </c>
      <c r="R167" s="8">
        <f t="shared" si="17"/>
        <v>-46089.396121883648</v>
      </c>
      <c r="S167" s="4">
        <f t="shared" si="19"/>
        <v>15294.105263157893</v>
      </c>
      <c r="T167" s="4">
        <f t="shared" si="18"/>
        <v>31500.014736842106</v>
      </c>
      <c r="U167" s="4">
        <v>2905.88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49700</v>
      </c>
      <c r="AL167" s="3" t="s">
        <v>45</v>
      </c>
      <c r="AM167" s="3" t="s">
        <v>46</v>
      </c>
    </row>
    <row r="168" spans="1:39" s="5" customFormat="1" ht="12.75" x14ac:dyDescent="0.2">
      <c r="A168" s="3" t="s">
        <v>32</v>
      </c>
      <c r="B168" s="3" t="s">
        <v>889</v>
      </c>
      <c r="C168" s="3" t="s">
        <v>890</v>
      </c>
      <c r="D168" s="3" t="s">
        <v>560</v>
      </c>
      <c r="E168" s="3" t="s">
        <v>36</v>
      </c>
      <c r="F168" s="3" t="s">
        <v>37</v>
      </c>
      <c r="G168" s="3" t="s">
        <v>104</v>
      </c>
      <c r="H168" s="3" t="s">
        <v>891</v>
      </c>
      <c r="I168" s="3" t="s">
        <v>892</v>
      </c>
      <c r="J168" s="3" t="s">
        <v>563</v>
      </c>
      <c r="K168" s="3" t="s">
        <v>564</v>
      </c>
      <c r="L168" s="3" t="s">
        <v>43</v>
      </c>
      <c r="M168" s="3" t="s">
        <v>1009</v>
      </c>
      <c r="N168" s="3" t="s">
        <v>1020</v>
      </c>
      <c r="O168" s="3" t="s">
        <v>1002</v>
      </c>
      <c r="P168" s="3" t="s">
        <v>100</v>
      </c>
      <c r="Q168" s="3">
        <f t="shared" si="16"/>
        <v>1680672.0221606651</v>
      </c>
      <c r="R168" s="8">
        <f t="shared" si="17"/>
        <v>-1618499.7063711914</v>
      </c>
      <c r="S168" s="4">
        <f t="shared" si="19"/>
        <v>319327.68421052635</v>
      </c>
      <c r="T168" s="4">
        <f t="shared" si="18"/>
        <v>1500.0557894736485</v>
      </c>
      <c r="U168" s="4">
        <v>60672.26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381500</v>
      </c>
      <c r="AL168" s="3" t="s">
        <v>45</v>
      </c>
      <c r="AM168" s="3" t="s">
        <v>46</v>
      </c>
    </row>
    <row r="169" spans="1:39" s="5" customFormat="1" ht="12.75" x14ac:dyDescent="0.2">
      <c r="A169" s="3" t="s">
        <v>32</v>
      </c>
      <c r="B169" s="3" t="s">
        <v>898</v>
      </c>
      <c r="C169" s="3" t="s">
        <v>899</v>
      </c>
      <c r="D169" s="3" t="s">
        <v>560</v>
      </c>
      <c r="E169" s="3" t="s">
        <v>36</v>
      </c>
      <c r="F169" s="3" t="s">
        <v>37</v>
      </c>
      <c r="G169" s="3" t="s">
        <v>104</v>
      </c>
      <c r="H169" s="3" t="s">
        <v>900</v>
      </c>
      <c r="I169" s="3" t="s">
        <v>901</v>
      </c>
      <c r="J169" s="3" t="s">
        <v>563</v>
      </c>
      <c r="K169" s="3" t="s">
        <v>564</v>
      </c>
      <c r="L169" s="3" t="s">
        <v>43</v>
      </c>
      <c r="M169" s="3" t="s">
        <v>1009</v>
      </c>
      <c r="N169" s="3" t="s">
        <v>1020</v>
      </c>
      <c r="O169" s="3" t="s">
        <v>1002</v>
      </c>
      <c r="P169" s="3" t="s">
        <v>100</v>
      </c>
      <c r="Q169" s="3">
        <f t="shared" si="16"/>
        <v>97301.939058171745</v>
      </c>
      <c r="R169" s="8">
        <f t="shared" si="17"/>
        <v>-88189.307479224371</v>
      </c>
      <c r="S169" s="4">
        <f t="shared" si="19"/>
        <v>18487.36842105263</v>
      </c>
      <c r="T169" s="4">
        <f t="shared" si="18"/>
        <v>5600.0315789473698</v>
      </c>
      <c r="U169" s="4">
        <v>3512.6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27600</v>
      </c>
      <c r="AL169" s="3" t="s">
        <v>45</v>
      </c>
      <c r="AM169" s="3" t="s">
        <v>46</v>
      </c>
    </row>
    <row r="170" spans="1:39" s="5" customFormat="1" ht="12.75" x14ac:dyDescent="0.2">
      <c r="A170" s="3" t="s">
        <v>32</v>
      </c>
      <c r="B170" s="3" t="s">
        <v>186</v>
      </c>
      <c r="C170" s="3" t="s">
        <v>187</v>
      </c>
      <c r="D170" s="3" t="s">
        <v>188</v>
      </c>
      <c r="E170" s="3" t="s">
        <v>36</v>
      </c>
      <c r="F170" s="3" t="s">
        <v>37</v>
      </c>
      <c r="G170" s="3" t="s">
        <v>38</v>
      </c>
      <c r="H170" s="3" t="s">
        <v>182</v>
      </c>
      <c r="I170" s="3" t="s">
        <v>189</v>
      </c>
      <c r="J170" s="3" t="s">
        <v>190</v>
      </c>
      <c r="K170" s="3" t="s">
        <v>191</v>
      </c>
      <c r="L170" s="3" t="s">
        <v>43</v>
      </c>
      <c r="M170" s="3" t="s">
        <v>1010</v>
      </c>
      <c r="N170" s="3" t="s">
        <v>1020</v>
      </c>
      <c r="O170" s="3" t="s">
        <v>1002</v>
      </c>
      <c r="P170" s="3" t="s">
        <v>44</v>
      </c>
      <c r="Q170" s="3">
        <f t="shared" si="16"/>
        <v>507590.85872576176</v>
      </c>
      <c r="R170" s="8">
        <f t="shared" si="17"/>
        <v>-489266.77388365648</v>
      </c>
      <c r="S170" s="4">
        <f t="shared" si="19"/>
        <v>96442.263157894733</v>
      </c>
      <c r="T170" s="4">
        <f t="shared" si="18"/>
        <v>5.4842105266288854E-2</v>
      </c>
      <c r="U170" s="4">
        <v>18324.03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114766.348</v>
      </c>
      <c r="AL170" s="3" t="s">
        <v>45</v>
      </c>
      <c r="AM170" s="3" t="s">
        <v>46</v>
      </c>
    </row>
    <row r="171" spans="1:39" s="5" customFormat="1" ht="12.75" x14ac:dyDescent="0.2">
      <c r="A171" s="3" t="s">
        <v>32</v>
      </c>
      <c r="B171" s="3" t="s">
        <v>220</v>
      </c>
      <c r="C171" s="3" t="s">
        <v>221</v>
      </c>
      <c r="D171" s="3" t="s">
        <v>188</v>
      </c>
      <c r="E171" s="3" t="s">
        <v>36</v>
      </c>
      <c r="F171" s="3" t="s">
        <v>37</v>
      </c>
      <c r="G171" s="3" t="s">
        <v>38</v>
      </c>
      <c r="H171" s="3" t="s">
        <v>206</v>
      </c>
      <c r="I171" s="3" t="s">
        <v>222</v>
      </c>
      <c r="J171" s="3" t="s">
        <v>190</v>
      </c>
      <c r="K171" s="3" t="s">
        <v>191</v>
      </c>
      <c r="L171" s="3" t="s">
        <v>43</v>
      </c>
      <c r="M171" s="3" t="s">
        <v>1010</v>
      </c>
      <c r="N171" s="3" t="s">
        <v>1020</v>
      </c>
      <c r="O171" s="3" t="s">
        <v>1002</v>
      </c>
      <c r="P171" s="3" t="s">
        <v>44</v>
      </c>
      <c r="Q171" s="3">
        <f t="shared" si="16"/>
        <v>134024.37673130195</v>
      </c>
      <c r="R171" s="8">
        <f t="shared" si="17"/>
        <v>-129186.07331024931</v>
      </c>
      <c r="S171" s="4">
        <f t="shared" si="19"/>
        <v>25464.631578947367</v>
      </c>
      <c r="T171" s="4">
        <f t="shared" si="18"/>
        <v>2.3421052635058004E-2</v>
      </c>
      <c r="U171" s="4">
        <v>4838.28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30302.935000000001</v>
      </c>
      <c r="AL171" s="3" t="s">
        <v>45</v>
      </c>
      <c r="AM171" s="3" t="s">
        <v>46</v>
      </c>
    </row>
    <row r="172" spans="1:39" s="5" customFormat="1" ht="12.75" x14ac:dyDescent="0.2">
      <c r="A172" s="3" t="s">
        <v>32</v>
      </c>
      <c r="B172" s="3" t="s">
        <v>256</v>
      </c>
      <c r="C172" s="3" t="s">
        <v>257</v>
      </c>
      <c r="D172" s="3" t="s">
        <v>188</v>
      </c>
      <c r="E172" s="3" t="s">
        <v>36</v>
      </c>
      <c r="F172" s="3" t="s">
        <v>37</v>
      </c>
      <c r="G172" s="3" t="s">
        <v>65</v>
      </c>
      <c r="H172" s="3" t="s">
        <v>258</v>
      </c>
      <c r="I172" s="3" t="s">
        <v>259</v>
      </c>
      <c r="J172" s="3" t="s">
        <v>190</v>
      </c>
      <c r="K172" s="3" t="s">
        <v>191</v>
      </c>
      <c r="L172" s="3" t="s">
        <v>43</v>
      </c>
      <c r="M172" s="3" t="s">
        <v>1010</v>
      </c>
      <c r="N172" s="3" t="s">
        <v>1020</v>
      </c>
      <c r="O172" s="3" t="s">
        <v>1002</v>
      </c>
      <c r="P172" s="3" t="s">
        <v>44</v>
      </c>
      <c r="Q172" s="3">
        <f t="shared" si="16"/>
        <v>1037286.426592798</v>
      </c>
      <c r="R172" s="8">
        <f t="shared" si="17"/>
        <v>-999840.42464542959</v>
      </c>
      <c r="S172" s="4">
        <f t="shared" si="19"/>
        <v>197084.4210526316</v>
      </c>
      <c r="T172" s="4">
        <f t="shared" si="18"/>
        <v>-3.8052631593018305E-2</v>
      </c>
      <c r="U172" s="4">
        <v>37446.04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234530.42300000001</v>
      </c>
      <c r="AL172" s="3" t="s">
        <v>45</v>
      </c>
      <c r="AM172" s="3" t="s">
        <v>46</v>
      </c>
    </row>
    <row r="173" spans="1:39" s="5" customFormat="1" ht="12.75" x14ac:dyDescent="0.2">
      <c r="A173" s="3" t="s">
        <v>32</v>
      </c>
      <c r="B173" s="3" t="s">
        <v>372</v>
      </c>
      <c r="C173" s="3" t="s">
        <v>373</v>
      </c>
      <c r="D173" s="3" t="s">
        <v>188</v>
      </c>
      <c r="E173" s="3" t="s">
        <v>36</v>
      </c>
      <c r="F173" s="3" t="s">
        <v>37</v>
      </c>
      <c r="G173" s="3" t="s">
        <v>38</v>
      </c>
      <c r="H173" s="3" t="s">
        <v>374</v>
      </c>
      <c r="I173" s="3" t="s">
        <v>375</v>
      </c>
      <c r="J173" s="3" t="s">
        <v>190</v>
      </c>
      <c r="K173" s="3" t="s">
        <v>191</v>
      </c>
      <c r="L173" s="3" t="s">
        <v>43</v>
      </c>
      <c r="M173" s="3" t="s">
        <v>1010</v>
      </c>
      <c r="N173" s="3" t="s">
        <v>1020</v>
      </c>
      <c r="O173" s="3" t="s">
        <v>1002</v>
      </c>
      <c r="P173" s="3" t="s">
        <v>44</v>
      </c>
      <c r="Q173" s="3">
        <f t="shared" si="16"/>
        <v>16869.252077562327</v>
      </c>
      <c r="R173" s="8">
        <f t="shared" si="17"/>
        <v>-16260.28997229917</v>
      </c>
      <c r="S173" s="4">
        <f t="shared" si="19"/>
        <v>3205.1578947368421</v>
      </c>
      <c r="T173" s="4">
        <f t="shared" si="18"/>
        <v>-1.7894736842208658E-2</v>
      </c>
      <c r="U173" s="4">
        <v>608.98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3814.12</v>
      </c>
      <c r="AL173" s="3" t="s">
        <v>45</v>
      </c>
      <c r="AM173" s="3" t="s">
        <v>46</v>
      </c>
    </row>
    <row r="174" spans="1:39" s="5" customFormat="1" ht="12.75" x14ac:dyDescent="0.2">
      <c r="A174" s="3" t="s">
        <v>32</v>
      </c>
      <c r="B174" s="3" t="s">
        <v>399</v>
      </c>
      <c r="C174" s="3" t="s">
        <v>400</v>
      </c>
      <c r="D174" s="3" t="s">
        <v>188</v>
      </c>
      <c r="E174" s="3" t="s">
        <v>36</v>
      </c>
      <c r="F174" s="3" t="s">
        <v>37</v>
      </c>
      <c r="G174" s="3" t="s">
        <v>38</v>
      </c>
      <c r="H174" s="3" t="s">
        <v>401</v>
      </c>
      <c r="I174" s="3" t="s">
        <v>402</v>
      </c>
      <c r="J174" s="3" t="s">
        <v>190</v>
      </c>
      <c r="K174" s="3" t="s">
        <v>191</v>
      </c>
      <c r="L174" s="3" t="s">
        <v>43</v>
      </c>
      <c r="M174" s="3" t="s">
        <v>1010</v>
      </c>
      <c r="N174" s="3" t="s">
        <v>1020</v>
      </c>
      <c r="O174" s="3" t="s">
        <v>1002</v>
      </c>
      <c r="P174" s="3" t="s">
        <v>44</v>
      </c>
      <c r="Q174" s="3">
        <f t="shared" si="16"/>
        <v>12144.598337950138</v>
      </c>
      <c r="R174" s="8">
        <f t="shared" si="17"/>
        <v>-11706.196022160664</v>
      </c>
      <c r="S174" s="4">
        <f t="shared" si="19"/>
        <v>2307.4736842105262</v>
      </c>
      <c r="T174" s="4">
        <f t="shared" si="18"/>
        <v>-1.7684210526056177E-2</v>
      </c>
      <c r="U174" s="4">
        <v>438.42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2745.8760000000002</v>
      </c>
      <c r="AL174" s="3" t="s">
        <v>45</v>
      </c>
      <c r="AM174" s="3" t="s">
        <v>46</v>
      </c>
    </row>
    <row r="175" spans="1:39" s="5" customFormat="1" ht="12.75" x14ac:dyDescent="0.2">
      <c r="A175" s="3" t="s">
        <v>32</v>
      </c>
      <c r="B175" s="3" t="s">
        <v>504</v>
      </c>
      <c r="C175" s="3" t="s">
        <v>505</v>
      </c>
      <c r="D175" s="3" t="s">
        <v>188</v>
      </c>
      <c r="E175" s="3" t="s">
        <v>36</v>
      </c>
      <c r="F175" s="3" t="s">
        <v>37</v>
      </c>
      <c r="G175" s="3" t="s">
        <v>506</v>
      </c>
      <c r="H175" s="3" t="s">
        <v>507</v>
      </c>
      <c r="I175" s="3" t="s">
        <v>508</v>
      </c>
      <c r="J175" s="3" t="s">
        <v>190</v>
      </c>
      <c r="K175" s="3" t="s">
        <v>191</v>
      </c>
      <c r="L175" s="3" t="s">
        <v>43</v>
      </c>
      <c r="M175" s="3" t="s">
        <v>1010</v>
      </c>
      <c r="N175" s="3" t="s">
        <v>1020</v>
      </c>
      <c r="O175" s="3" t="s">
        <v>1002</v>
      </c>
      <c r="P175" s="3" t="s">
        <v>44</v>
      </c>
      <c r="Q175" s="3">
        <f t="shared" si="16"/>
        <v>262283.93351800559</v>
      </c>
      <c r="R175" s="8">
        <f t="shared" si="17"/>
        <v>-252815.44538642667</v>
      </c>
      <c r="S175" s="4">
        <f t="shared" si="19"/>
        <v>49833.947368421061</v>
      </c>
      <c r="T175" s="4">
        <f t="shared" si="18"/>
        <v>3.8131578938191524E-2</v>
      </c>
      <c r="U175" s="4">
        <v>9468.4500000000007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59302.4355</v>
      </c>
      <c r="AL175" s="3" t="s">
        <v>45</v>
      </c>
      <c r="AM175" s="3" t="s">
        <v>46</v>
      </c>
    </row>
    <row r="176" spans="1:39" s="5" customFormat="1" ht="12.75" x14ac:dyDescent="0.2">
      <c r="A176" s="3" t="s">
        <v>32</v>
      </c>
      <c r="B176" s="3" t="s">
        <v>512</v>
      </c>
      <c r="C176" s="3" t="s">
        <v>513</v>
      </c>
      <c r="D176" s="3" t="s">
        <v>188</v>
      </c>
      <c r="E176" s="3" t="s">
        <v>36</v>
      </c>
      <c r="F176" s="3" t="s">
        <v>37</v>
      </c>
      <c r="G176" s="3" t="s">
        <v>38</v>
      </c>
      <c r="H176" s="3" t="s">
        <v>514</v>
      </c>
      <c r="I176" s="3" t="s">
        <v>515</v>
      </c>
      <c r="J176" s="3" t="s">
        <v>190</v>
      </c>
      <c r="K176" s="3" t="s">
        <v>191</v>
      </c>
      <c r="L176" s="3" t="s">
        <v>43</v>
      </c>
      <c r="M176" s="3" t="s">
        <v>1010</v>
      </c>
      <c r="N176" s="3" t="s">
        <v>1020</v>
      </c>
      <c r="O176" s="3" t="s">
        <v>1002</v>
      </c>
      <c r="P176" s="3" t="s">
        <v>44</v>
      </c>
      <c r="Q176" s="3">
        <f t="shared" si="16"/>
        <v>1022103.324099723</v>
      </c>
      <c r="R176" s="8">
        <f t="shared" si="17"/>
        <v>-985205.36067867046</v>
      </c>
      <c r="S176" s="4">
        <f t="shared" si="19"/>
        <v>194199.63157894739</v>
      </c>
      <c r="T176" s="4">
        <f t="shared" si="18"/>
        <v>3.3421052612538915E-2</v>
      </c>
      <c r="U176" s="4">
        <v>36897.93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231097.595</v>
      </c>
      <c r="AL176" s="3" t="s">
        <v>45</v>
      </c>
      <c r="AM176" s="3" t="s">
        <v>46</v>
      </c>
    </row>
    <row r="177" spans="1:40" s="5" customFormat="1" ht="12.75" x14ac:dyDescent="0.2">
      <c r="A177" s="3" t="s">
        <v>32</v>
      </c>
      <c r="B177" s="3" t="s">
        <v>519</v>
      </c>
      <c r="C177" s="3" t="s">
        <v>520</v>
      </c>
      <c r="D177" s="3" t="s">
        <v>188</v>
      </c>
      <c r="E177" s="3" t="s">
        <v>36</v>
      </c>
      <c r="F177" s="3" t="s">
        <v>37</v>
      </c>
      <c r="G177" s="3" t="s">
        <v>65</v>
      </c>
      <c r="H177" s="3" t="s">
        <v>521</v>
      </c>
      <c r="I177" s="3" t="s">
        <v>522</v>
      </c>
      <c r="J177" s="3" t="s">
        <v>190</v>
      </c>
      <c r="K177" s="3" t="s">
        <v>191</v>
      </c>
      <c r="L177" s="3" t="s">
        <v>43</v>
      </c>
      <c r="M177" s="3" t="s">
        <v>1010</v>
      </c>
      <c r="N177" s="3" t="s">
        <v>1020</v>
      </c>
      <c r="O177" s="3" t="s">
        <v>1002</v>
      </c>
      <c r="P177" s="3" t="s">
        <v>44</v>
      </c>
      <c r="Q177" s="3">
        <f t="shared" si="16"/>
        <v>2160054.293628809</v>
      </c>
      <c r="R177" s="8">
        <f t="shared" si="17"/>
        <v>-2082076.2714182828</v>
      </c>
      <c r="S177" s="4">
        <f t="shared" si="19"/>
        <v>410410.31578947371</v>
      </c>
      <c r="T177" s="4">
        <f t="shared" si="18"/>
        <v>6.2210526273702271E-2</v>
      </c>
      <c r="U177" s="4">
        <v>77977.960000000006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488388.33799999999</v>
      </c>
      <c r="AL177" s="3" t="s">
        <v>45</v>
      </c>
      <c r="AM177" s="3" t="s">
        <v>46</v>
      </c>
    </row>
    <row r="178" spans="1:40" s="5" customFormat="1" ht="12.75" x14ac:dyDescent="0.2">
      <c r="A178" s="3" t="s">
        <v>32</v>
      </c>
      <c r="B178" s="3" t="s">
        <v>529</v>
      </c>
      <c r="C178" s="3" t="s">
        <v>530</v>
      </c>
      <c r="D178" s="3" t="s">
        <v>188</v>
      </c>
      <c r="E178" s="3" t="s">
        <v>36</v>
      </c>
      <c r="F178" s="3" t="s">
        <v>37</v>
      </c>
      <c r="G178" s="3" t="s">
        <v>38</v>
      </c>
      <c r="H178" s="3" t="s">
        <v>531</v>
      </c>
      <c r="I178" s="3" t="s">
        <v>532</v>
      </c>
      <c r="J178" s="3" t="s">
        <v>190</v>
      </c>
      <c r="K178" s="3" t="s">
        <v>191</v>
      </c>
      <c r="L178" s="3" t="s">
        <v>43</v>
      </c>
      <c r="M178" s="3" t="s">
        <v>1010</v>
      </c>
      <c r="N178" s="3" t="s">
        <v>1020</v>
      </c>
      <c r="O178" s="3" t="s">
        <v>1002</v>
      </c>
      <c r="P178" s="3" t="s">
        <v>44</v>
      </c>
      <c r="Q178" s="3">
        <f t="shared" ref="Q178:Q209" si="20">+S178/19*100</f>
        <v>182773.13019390582</v>
      </c>
      <c r="R178" s="8">
        <f t="shared" ref="R178:R209" si="21">+AK178-Q178-S178</f>
        <v>-176175.02593074791</v>
      </c>
      <c r="S178" s="4">
        <f t="shared" ref="S178:S209" si="22">+U178/19*100</f>
        <v>34726.894736842107</v>
      </c>
      <c r="T178" s="4">
        <f t="shared" ref="T178:T209" si="23">+AK178-S178-U178</f>
        <v>-5.7368421030332684E-3</v>
      </c>
      <c r="U178" s="4">
        <v>6598.11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41324.999000000003</v>
      </c>
      <c r="AL178" s="3" t="s">
        <v>45</v>
      </c>
      <c r="AM178" s="3" t="s">
        <v>46</v>
      </c>
    </row>
    <row r="179" spans="1:40" s="5" customFormat="1" ht="12.75" x14ac:dyDescent="0.2">
      <c r="A179" s="3" t="s">
        <v>32</v>
      </c>
      <c r="B179" s="3" t="s">
        <v>579</v>
      </c>
      <c r="C179" s="3" t="s">
        <v>580</v>
      </c>
      <c r="D179" s="3" t="s">
        <v>188</v>
      </c>
      <c r="E179" s="3" t="s">
        <v>36</v>
      </c>
      <c r="F179" s="3" t="s">
        <v>37</v>
      </c>
      <c r="G179" s="3" t="s">
        <v>38</v>
      </c>
      <c r="H179" s="3" t="s">
        <v>581</v>
      </c>
      <c r="I179" s="3" t="s">
        <v>582</v>
      </c>
      <c r="J179" s="3" t="s">
        <v>190</v>
      </c>
      <c r="K179" s="3" t="s">
        <v>191</v>
      </c>
      <c r="L179" s="3" t="s">
        <v>43</v>
      </c>
      <c r="M179" s="3" t="s">
        <v>1010</v>
      </c>
      <c r="N179" s="3" t="s">
        <v>1020</v>
      </c>
      <c r="O179" s="3" t="s">
        <v>1002</v>
      </c>
      <c r="P179" s="3" t="s">
        <v>44</v>
      </c>
      <c r="Q179" s="3">
        <f t="shared" si="20"/>
        <v>319544.87534626044</v>
      </c>
      <c r="R179" s="8">
        <f t="shared" si="21"/>
        <v>-308009.28166204994</v>
      </c>
      <c r="S179" s="4">
        <f t="shared" si="22"/>
        <v>60713.526315789481</v>
      </c>
      <c r="T179" s="4">
        <f t="shared" si="23"/>
        <v>2.3684210515057202E-2</v>
      </c>
      <c r="U179" s="4">
        <v>11535.57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72249.119999999995</v>
      </c>
      <c r="AL179" s="3" t="s">
        <v>45</v>
      </c>
      <c r="AM179" s="3" t="s">
        <v>46</v>
      </c>
    </row>
    <row r="180" spans="1:40" s="5" customFormat="1" ht="12.75" x14ac:dyDescent="0.2">
      <c r="A180" s="3" t="s">
        <v>32</v>
      </c>
      <c r="B180" s="3" t="s">
        <v>285</v>
      </c>
      <c r="C180" s="3" t="s">
        <v>286</v>
      </c>
      <c r="D180" s="3" t="s">
        <v>287</v>
      </c>
      <c r="E180" s="3" t="s">
        <v>36</v>
      </c>
      <c r="F180" s="3" t="s">
        <v>73</v>
      </c>
      <c r="G180" s="3" t="s">
        <v>65</v>
      </c>
      <c r="H180" s="3" t="s">
        <v>280</v>
      </c>
      <c r="I180" s="3" t="s">
        <v>288</v>
      </c>
      <c r="J180" s="3" t="s">
        <v>289</v>
      </c>
      <c r="K180" s="3" t="s">
        <v>290</v>
      </c>
      <c r="L180" s="3" t="s">
        <v>43</v>
      </c>
      <c r="M180" s="3" t="s">
        <v>1011</v>
      </c>
      <c r="N180" s="3" t="s">
        <v>1020</v>
      </c>
      <c r="O180" s="3" t="s">
        <v>1002</v>
      </c>
      <c r="P180" s="3" t="s">
        <v>100</v>
      </c>
      <c r="Q180" s="3">
        <f t="shared" si="20"/>
        <v>2147058.4487534626</v>
      </c>
      <c r="R180" s="8">
        <f t="shared" si="21"/>
        <v>-2069549.2240166205</v>
      </c>
      <c r="S180" s="4">
        <f t="shared" si="22"/>
        <v>407941.10526315792</v>
      </c>
      <c r="T180" s="4">
        <f t="shared" si="23"/>
        <v>0.41473684209631756</v>
      </c>
      <c r="U180" s="4">
        <v>77508.81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485450.33</v>
      </c>
      <c r="AL180" s="3" t="s">
        <v>45</v>
      </c>
      <c r="AM180" s="3" t="s">
        <v>46</v>
      </c>
    </row>
    <row r="181" spans="1:40" s="5" customFormat="1" ht="12.75" x14ac:dyDescent="0.2">
      <c r="A181" s="3" t="s">
        <v>32</v>
      </c>
      <c r="B181" s="3" t="s">
        <v>309</v>
      </c>
      <c r="C181" s="3" t="s">
        <v>310</v>
      </c>
      <c r="D181" s="3" t="s">
        <v>287</v>
      </c>
      <c r="E181" s="3" t="s">
        <v>36</v>
      </c>
      <c r="F181" s="3" t="s">
        <v>73</v>
      </c>
      <c r="G181" s="3" t="s">
        <v>65</v>
      </c>
      <c r="H181" s="3" t="s">
        <v>311</v>
      </c>
      <c r="I181" s="3" t="s">
        <v>312</v>
      </c>
      <c r="J181" s="3" t="s">
        <v>289</v>
      </c>
      <c r="K181" s="3" t="s">
        <v>290</v>
      </c>
      <c r="L181" s="3" t="s">
        <v>43</v>
      </c>
      <c r="M181" s="3" t="s">
        <v>1011</v>
      </c>
      <c r="N181" s="3" t="s">
        <v>1020</v>
      </c>
      <c r="O181" s="3" t="s">
        <v>1002</v>
      </c>
      <c r="P181" s="3" t="s">
        <v>100</v>
      </c>
      <c r="Q181" s="3">
        <f t="shared" si="20"/>
        <v>32139713.850415509</v>
      </c>
      <c r="R181" s="8">
        <f t="shared" si="21"/>
        <v>-30979466.181994453</v>
      </c>
      <c r="S181" s="4">
        <f t="shared" si="22"/>
        <v>6106545.6315789465</v>
      </c>
      <c r="T181" s="4">
        <f t="shared" si="23"/>
        <v>3.9984210534021258</v>
      </c>
      <c r="U181" s="4">
        <v>1160243.67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7266793.2999999998</v>
      </c>
      <c r="AL181" s="3" t="s">
        <v>45</v>
      </c>
      <c r="AM181" s="3" t="s">
        <v>46</v>
      </c>
    </row>
    <row r="182" spans="1:40" s="5" customFormat="1" ht="12.75" x14ac:dyDescent="0.2">
      <c r="A182" s="3" t="s">
        <v>32</v>
      </c>
      <c r="B182" s="3" t="s">
        <v>320</v>
      </c>
      <c r="C182" s="3" t="s">
        <v>321</v>
      </c>
      <c r="D182" s="3" t="s">
        <v>287</v>
      </c>
      <c r="E182" s="3" t="s">
        <v>36</v>
      </c>
      <c r="F182" s="3" t="s">
        <v>37</v>
      </c>
      <c r="G182" s="3" t="s">
        <v>38</v>
      </c>
      <c r="H182" s="3" t="s">
        <v>322</v>
      </c>
      <c r="I182" s="3" t="s">
        <v>323</v>
      </c>
      <c r="J182" s="3" t="s">
        <v>289</v>
      </c>
      <c r="K182" s="3" t="s">
        <v>290</v>
      </c>
      <c r="L182" s="3" t="s">
        <v>43</v>
      </c>
      <c r="M182" s="3" t="s">
        <v>1011</v>
      </c>
      <c r="N182" s="3" t="s">
        <v>1020</v>
      </c>
      <c r="O182" s="3" t="s">
        <v>1002</v>
      </c>
      <c r="P182" s="3" t="s">
        <v>100</v>
      </c>
      <c r="Q182" s="3">
        <f t="shared" si="20"/>
        <v>221140.99722991686</v>
      </c>
      <c r="R182" s="8">
        <f t="shared" si="21"/>
        <v>-213157.77670360106</v>
      </c>
      <c r="S182" s="4">
        <f t="shared" si="22"/>
        <v>42016.789473684206</v>
      </c>
      <c r="T182" s="4">
        <f t="shared" si="23"/>
        <v>3.0526315796123527E-2</v>
      </c>
      <c r="U182" s="4">
        <v>7983.19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50000.01</v>
      </c>
      <c r="AL182" s="3" t="s">
        <v>45</v>
      </c>
      <c r="AM182" s="3" t="s">
        <v>46</v>
      </c>
    </row>
    <row r="183" spans="1:40" s="5" customFormat="1" ht="12.75" x14ac:dyDescent="0.2">
      <c r="A183" s="3" t="s">
        <v>32</v>
      </c>
      <c r="B183" s="3" t="s">
        <v>393</v>
      </c>
      <c r="C183" s="3" t="s">
        <v>394</v>
      </c>
      <c r="D183" s="3" t="s">
        <v>395</v>
      </c>
      <c r="E183" s="3" t="s">
        <v>36</v>
      </c>
      <c r="F183" s="3" t="s">
        <v>37</v>
      </c>
      <c r="G183" s="3" t="s">
        <v>37</v>
      </c>
      <c r="H183" s="3" t="s">
        <v>385</v>
      </c>
      <c r="I183" s="3" t="s">
        <v>396</v>
      </c>
      <c r="J183" s="3" t="s">
        <v>397</v>
      </c>
      <c r="K183" s="3" t="s">
        <v>398</v>
      </c>
      <c r="L183" s="3" t="s">
        <v>43</v>
      </c>
      <c r="M183" s="3" t="s">
        <v>1012</v>
      </c>
      <c r="N183" s="3" t="s">
        <v>1020</v>
      </c>
      <c r="O183" s="3" t="s">
        <v>1002</v>
      </c>
      <c r="P183" s="3" t="s">
        <v>44</v>
      </c>
      <c r="Q183" s="3">
        <f t="shared" si="20"/>
        <v>1105705.540166205</v>
      </c>
      <c r="R183" s="8">
        <f t="shared" si="21"/>
        <v>-1065789.5927977839</v>
      </c>
      <c r="S183" s="4">
        <f t="shared" si="22"/>
        <v>210084.05263157896</v>
      </c>
      <c r="T183" s="4">
        <f t="shared" si="23"/>
        <v>-2.2631578962318599E-2</v>
      </c>
      <c r="U183" s="4">
        <v>39915.97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250000</v>
      </c>
      <c r="AL183" s="3" t="s">
        <v>45</v>
      </c>
      <c r="AM183" s="3" t="s">
        <v>46</v>
      </c>
    </row>
    <row r="184" spans="1:40" s="5" customFormat="1" ht="12.75" x14ac:dyDescent="0.2">
      <c r="A184" s="3" t="s">
        <v>32</v>
      </c>
      <c r="B184" s="3" t="s">
        <v>728</v>
      </c>
      <c r="C184" s="3" t="s">
        <v>729</v>
      </c>
      <c r="D184" s="3" t="s">
        <v>730</v>
      </c>
      <c r="E184" s="3" t="s">
        <v>36</v>
      </c>
      <c r="F184" s="3" t="s">
        <v>73</v>
      </c>
      <c r="G184" s="3" t="s">
        <v>176</v>
      </c>
      <c r="H184" s="3" t="s">
        <v>721</v>
      </c>
      <c r="I184" s="3" t="s">
        <v>731</v>
      </c>
      <c r="J184" s="3" t="s">
        <v>732</v>
      </c>
      <c r="K184" s="3" t="s">
        <v>733</v>
      </c>
      <c r="L184" s="3" t="s">
        <v>43</v>
      </c>
      <c r="M184" s="3" t="s">
        <v>1028</v>
      </c>
      <c r="N184" s="3" t="s">
        <v>1020</v>
      </c>
      <c r="O184" s="3" t="s">
        <v>1002</v>
      </c>
      <c r="P184" s="3" t="s">
        <v>100</v>
      </c>
      <c r="Q184" s="3">
        <f t="shared" si="20"/>
        <v>2576293.6288088639</v>
      </c>
      <c r="R184" s="8">
        <f t="shared" si="21"/>
        <v>-2483289.418282548</v>
      </c>
      <c r="S184" s="4">
        <f t="shared" si="22"/>
        <v>489495.78947368416</v>
      </c>
      <c r="T184" s="4">
        <f t="shared" si="23"/>
        <v>1.0526315847528167E-2</v>
      </c>
      <c r="U184" s="4">
        <v>93004.2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582500</v>
      </c>
      <c r="AL184" s="3" t="s">
        <v>45</v>
      </c>
      <c r="AM184" s="3" t="s">
        <v>46</v>
      </c>
    </row>
    <row r="185" spans="1:40" s="5" customFormat="1" ht="12.75" x14ac:dyDescent="0.2">
      <c r="A185" s="3" t="s">
        <v>32</v>
      </c>
      <c r="B185" s="3" t="s">
        <v>841</v>
      </c>
      <c r="C185" s="3" t="s">
        <v>842</v>
      </c>
      <c r="D185" s="3" t="s">
        <v>730</v>
      </c>
      <c r="E185" s="3" t="s">
        <v>36</v>
      </c>
      <c r="F185" s="3" t="s">
        <v>73</v>
      </c>
      <c r="G185" s="3" t="s">
        <v>176</v>
      </c>
      <c r="H185" s="3" t="s">
        <v>839</v>
      </c>
      <c r="I185" s="3" t="s">
        <v>843</v>
      </c>
      <c r="J185" s="3" t="s">
        <v>732</v>
      </c>
      <c r="K185" s="3" t="s">
        <v>733</v>
      </c>
      <c r="L185" s="3" t="s">
        <v>43</v>
      </c>
      <c r="M185" s="3" t="s">
        <v>1028</v>
      </c>
      <c r="N185" s="3" t="s">
        <v>1020</v>
      </c>
      <c r="O185" s="3" t="s">
        <v>1002</v>
      </c>
      <c r="P185" s="3" t="s">
        <v>100</v>
      </c>
      <c r="Q185" s="3">
        <f t="shared" si="20"/>
        <v>5537372.853185595</v>
      </c>
      <c r="R185" s="8">
        <f t="shared" si="21"/>
        <v>-5337473.6952908579</v>
      </c>
      <c r="S185" s="4">
        <f t="shared" si="22"/>
        <v>1052100.8421052631</v>
      </c>
      <c r="T185" s="4">
        <f t="shared" si="23"/>
        <v>-2.1052631491329521E-3</v>
      </c>
      <c r="U185" s="4">
        <v>199899.16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1252000</v>
      </c>
      <c r="AL185" s="3" t="s">
        <v>45</v>
      </c>
      <c r="AM185" s="3" t="s">
        <v>46</v>
      </c>
    </row>
    <row r="186" spans="1:40" s="5" customFormat="1" ht="12.75" x14ac:dyDescent="0.2">
      <c r="A186" s="3" t="s">
        <v>32</v>
      </c>
      <c r="B186" s="3" t="s">
        <v>469</v>
      </c>
      <c r="C186" s="3" t="s">
        <v>470</v>
      </c>
      <c r="D186" s="3" t="s">
        <v>471</v>
      </c>
      <c r="E186" s="3" t="s">
        <v>36</v>
      </c>
      <c r="F186" s="3" t="s">
        <v>73</v>
      </c>
      <c r="G186" s="3" t="s">
        <v>37</v>
      </c>
      <c r="H186" s="3" t="s">
        <v>472</v>
      </c>
      <c r="I186" s="3" t="s">
        <v>473</v>
      </c>
      <c r="J186" s="3" t="s">
        <v>474</v>
      </c>
      <c r="K186" s="3" t="s">
        <v>475</v>
      </c>
      <c r="L186" s="3" t="s">
        <v>43</v>
      </c>
      <c r="M186" s="3" t="s">
        <v>1029</v>
      </c>
      <c r="N186" s="3" t="s">
        <v>1020</v>
      </c>
      <c r="O186" s="3" t="s">
        <v>1002</v>
      </c>
      <c r="P186" s="3" t="s">
        <v>69</v>
      </c>
      <c r="Q186" s="3">
        <f t="shared" si="20"/>
        <v>259177.28531855956</v>
      </c>
      <c r="R186" s="8">
        <f t="shared" si="21"/>
        <v>-249820.96952908588</v>
      </c>
      <c r="S186" s="4">
        <f t="shared" si="22"/>
        <v>49243.684210526313</v>
      </c>
      <c r="T186" s="4">
        <f t="shared" si="23"/>
        <v>1.5789473687618738E-2</v>
      </c>
      <c r="U186" s="4">
        <v>9356.2999999999993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58600</v>
      </c>
      <c r="AL186" s="3" t="s">
        <v>45</v>
      </c>
      <c r="AM186" s="3" t="s">
        <v>46</v>
      </c>
    </row>
    <row r="187" spans="1:40" s="5" customFormat="1" ht="12.75" x14ac:dyDescent="0.2">
      <c r="A187" s="3" t="s">
        <v>32</v>
      </c>
      <c r="B187" s="3" t="s">
        <v>476</v>
      </c>
      <c r="C187" s="3" t="s">
        <v>477</v>
      </c>
      <c r="D187" s="3" t="s">
        <v>471</v>
      </c>
      <c r="E187" s="3" t="s">
        <v>36</v>
      </c>
      <c r="F187" s="3" t="s">
        <v>73</v>
      </c>
      <c r="G187" s="3" t="s">
        <v>37</v>
      </c>
      <c r="H187" s="3" t="s">
        <v>478</v>
      </c>
      <c r="I187" s="3" t="s">
        <v>479</v>
      </c>
      <c r="J187" s="3" t="s">
        <v>474</v>
      </c>
      <c r="K187" s="3" t="s">
        <v>475</v>
      </c>
      <c r="L187" s="3" t="s">
        <v>43</v>
      </c>
      <c r="M187" s="3" t="s">
        <v>1029</v>
      </c>
      <c r="N187" s="3" t="s">
        <v>1020</v>
      </c>
      <c r="O187" s="3" t="s">
        <v>1002</v>
      </c>
      <c r="P187" s="3" t="s">
        <v>69</v>
      </c>
      <c r="Q187" s="3">
        <f t="shared" si="20"/>
        <v>214949.03047091412</v>
      </c>
      <c r="R187" s="8">
        <f t="shared" si="21"/>
        <v>-207189.3462603878</v>
      </c>
      <c r="S187" s="4">
        <f t="shared" si="22"/>
        <v>40840.31578947368</v>
      </c>
      <c r="T187" s="4">
        <f t="shared" si="23"/>
        <v>2.4210526320530334E-2</v>
      </c>
      <c r="U187" s="4">
        <v>7759.66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48600</v>
      </c>
      <c r="AL187" s="3" t="s">
        <v>45</v>
      </c>
      <c r="AM187" s="3" t="s">
        <v>46</v>
      </c>
    </row>
    <row r="188" spans="1:40" s="5" customFormat="1" ht="12.75" x14ac:dyDescent="0.2">
      <c r="A188" s="3" t="s">
        <v>32</v>
      </c>
      <c r="B188" s="3" t="s">
        <v>639</v>
      </c>
      <c r="C188" s="3" t="s">
        <v>640</v>
      </c>
      <c r="D188" s="3" t="s">
        <v>471</v>
      </c>
      <c r="E188" s="3" t="s">
        <v>36</v>
      </c>
      <c r="F188" s="3" t="s">
        <v>37</v>
      </c>
      <c r="G188" s="3" t="s">
        <v>506</v>
      </c>
      <c r="H188" s="3" t="s">
        <v>637</v>
      </c>
      <c r="I188" s="3" t="s">
        <v>641</v>
      </c>
      <c r="J188" s="3" t="s">
        <v>474</v>
      </c>
      <c r="K188" s="3" t="s">
        <v>475</v>
      </c>
      <c r="L188" s="3" t="s">
        <v>43</v>
      </c>
      <c r="M188" s="3" t="s">
        <v>1029</v>
      </c>
      <c r="N188" s="3" t="s">
        <v>1020</v>
      </c>
      <c r="O188" s="3" t="s">
        <v>1002</v>
      </c>
      <c r="P188" s="3" t="s">
        <v>69</v>
      </c>
      <c r="Q188" s="3">
        <f t="shared" si="20"/>
        <v>265369.25207756233</v>
      </c>
      <c r="R188" s="8">
        <f t="shared" si="21"/>
        <v>-255789.40997229918</v>
      </c>
      <c r="S188" s="4">
        <f t="shared" si="22"/>
        <v>50420.15789473684</v>
      </c>
      <c r="T188" s="4">
        <f t="shared" si="23"/>
        <v>1.2105263160265167E-2</v>
      </c>
      <c r="U188" s="4">
        <v>9579.83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60000</v>
      </c>
      <c r="AL188" s="3" t="s">
        <v>45</v>
      </c>
      <c r="AM188" s="3" t="s">
        <v>46</v>
      </c>
    </row>
    <row r="189" spans="1:40" s="5" customFormat="1" ht="12.75" x14ac:dyDescent="0.2">
      <c r="A189" s="3" t="s">
        <v>32</v>
      </c>
      <c r="B189" s="3" t="s">
        <v>679</v>
      </c>
      <c r="C189" s="3" t="s">
        <v>680</v>
      </c>
      <c r="D189" s="3" t="s">
        <v>471</v>
      </c>
      <c r="E189" s="3" t="s">
        <v>36</v>
      </c>
      <c r="F189" s="3" t="s">
        <v>37</v>
      </c>
      <c r="G189" s="3" t="s">
        <v>506</v>
      </c>
      <c r="H189" s="3" t="s">
        <v>677</v>
      </c>
      <c r="I189" s="3" t="s">
        <v>681</v>
      </c>
      <c r="J189" s="3" t="s">
        <v>474</v>
      </c>
      <c r="K189" s="3" t="s">
        <v>475</v>
      </c>
      <c r="L189" s="3" t="s">
        <v>43</v>
      </c>
      <c r="M189" s="3" t="s">
        <v>1029</v>
      </c>
      <c r="N189" s="3" t="s">
        <v>1020</v>
      </c>
      <c r="O189" s="3" t="s">
        <v>1002</v>
      </c>
      <c r="P189" s="3" t="s">
        <v>69</v>
      </c>
      <c r="Q189" s="3">
        <f t="shared" si="20"/>
        <v>70765.096952908585</v>
      </c>
      <c r="R189" s="8">
        <f t="shared" si="21"/>
        <v>-68210.465373961211</v>
      </c>
      <c r="S189" s="4">
        <f t="shared" si="22"/>
        <v>13445.368421052632</v>
      </c>
      <c r="T189" s="4">
        <f t="shared" si="23"/>
        <v>1.1578947368434456E-2</v>
      </c>
      <c r="U189" s="4">
        <v>2554.62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16000</v>
      </c>
      <c r="AL189" s="3" t="s">
        <v>45</v>
      </c>
      <c r="AM189" s="3" t="s">
        <v>46</v>
      </c>
    </row>
    <row r="190" spans="1:40" s="5" customFormat="1" ht="12.75" x14ac:dyDescent="0.2">
      <c r="A190" s="3" t="s">
        <v>32</v>
      </c>
      <c r="B190" s="3" t="s">
        <v>682</v>
      </c>
      <c r="C190" s="3" t="s">
        <v>683</v>
      </c>
      <c r="D190" s="3" t="s">
        <v>471</v>
      </c>
      <c r="E190" s="3" t="s">
        <v>36</v>
      </c>
      <c r="F190" s="3" t="s">
        <v>37</v>
      </c>
      <c r="G190" s="3" t="s">
        <v>506</v>
      </c>
      <c r="H190" s="3" t="s">
        <v>677</v>
      </c>
      <c r="I190" s="3" t="s">
        <v>684</v>
      </c>
      <c r="J190" s="3" t="s">
        <v>474</v>
      </c>
      <c r="K190" s="3" t="s">
        <v>475</v>
      </c>
      <c r="L190" s="3" t="s">
        <v>43</v>
      </c>
      <c r="M190" s="3" t="s">
        <v>1029</v>
      </c>
      <c r="N190" s="3" t="s">
        <v>1020</v>
      </c>
      <c r="O190" s="3" t="s">
        <v>1002</v>
      </c>
      <c r="P190" s="3" t="s">
        <v>69</v>
      </c>
      <c r="Q190" s="3">
        <f t="shared" si="20"/>
        <v>283060.66481994459</v>
      </c>
      <c r="R190" s="8">
        <f t="shared" si="21"/>
        <v>-272842.19113573409</v>
      </c>
      <c r="S190" s="4">
        <f t="shared" si="22"/>
        <v>53781.526315789473</v>
      </c>
      <c r="T190" s="4">
        <f t="shared" si="23"/>
        <v>-1.6315789473082987E-2</v>
      </c>
      <c r="U190" s="4">
        <v>10218.49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64000</v>
      </c>
      <c r="AL190" s="3" t="s">
        <v>45</v>
      </c>
      <c r="AM190" s="3" t="s">
        <v>46</v>
      </c>
    </row>
    <row r="191" spans="1:40" s="5" customFormat="1" ht="12.75" x14ac:dyDescent="0.2">
      <c r="A191" s="3" t="s">
        <v>32</v>
      </c>
      <c r="B191" s="3" t="s">
        <v>690</v>
      </c>
      <c r="C191" s="3" t="s">
        <v>691</v>
      </c>
      <c r="D191" s="3" t="s">
        <v>471</v>
      </c>
      <c r="E191" s="3" t="s">
        <v>36</v>
      </c>
      <c r="F191" s="3" t="s">
        <v>37</v>
      </c>
      <c r="G191" s="3" t="s">
        <v>506</v>
      </c>
      <c r="H191" s="3" t="s">
        <v>688</v>
      </c>
      <c r="I191" s="3" t="s">
        <v>692</v>
      </c>
      <c r="J191" s="3" t="s">
        <v>474</v>
      </c>
      <c r="K191" s="3" t="s">
        <v>475</v>
      </c>
      <c r="L191" s="3" t="s">
        <v>43</v>
      </c>
      <c r="M191" s="3" t="s">
        <v>1029</v>
      </c>
      <c r="N191" s="3" t="s">
        <v>1020</v>
      </c>
      <c r="O191" s="3" t="s">
        <v>1002</v>
      </c>
      <c r="P191" s="3" t="s">
        <v>69</v>
      </c>
      <c r="Q191" s="3">
        <f t="shared" si="20"/>
        <v>1597523.2686980609</v>
      </c>
      <c r="R191" s="8">
        <f t="shared" si="21"/>
        <v>-1539852.6897506923</v>
      </c>
      <c r="S191" s="4">
        <f t="shared" si="22"/>
        <v>303529.42105263157</v>
      </c>
      <c r="T191" s="4">
        <f t="shared" si="23"/>
        <v>-1.1052631569327787E-2</v>
      </c>
      <c r="U191" s="4">
        <v>57670.59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361200</v>
      </c>
      <c r="AL191" s="3" t="s">
        <v>45</v>
      </c>
      <c r="AM191" s="3" t="s">
        <v>46</v>
      </c>
    </row>
    <row r="192" spans="1:40" s="5" customFormat="1" ht="12.75" x14ac:dyDescent="0.2">
      <c r="A192" s="3" t="s">
        <v>32</v>
      </c>
      <c r="B192" s="3" t="s">
        <v>128</v>
      </c>
      <c r="C192" s="3" t="s">
        <v>129</v>
      </c>
      <c r="D192" s="3" t="s">
        <v>130</v>
      </c>
      <c r="E192" s="3" t="s">
        <v>36</v>
      </c>
      <c r="F192" s="3" t="s">
        <v>37</v>
      </c>
      <c r="G192" s="3" t="s">
        <v>88</v>
      </c>
      <c r="H192" s="3" t="s">
        <v>123</v>
      </c>
      <c r="I192" s="3" t="s">
        <v>131</v>
      </c>
      <c r="J192" s="3" t="s">
        <v>132</v>
      </c>
      <c r="K192" s="3" t="s">
        <v>133</v>
      </c>
      <c r="L192" s="3">
        <v>901786517</v>
      </c>
      <c r="M192" s="3" t="s">
        <v>1047</v>
      </c>
      <c r="N192" s="3" t="s">
        <v>1020</v>
      </c>
      <c r="O192" s="3" t="s">
        <v>1002</v>
      </c>
      <c r="P192" s="3" t="s">
        <v>44</v>
      </c>
      <c r="Q192" s="3">
        <f t="shared" si="20"/>
        <v>172490.02770083104</v>
      </c>
      <c r="R192" s="8">
        <f t="shared" si="21"/>
        <v>-166263.13296398893</v>
      </c>
      <c r="S192" s="4">
        <f t="shared" si="22"/>
        <v>32773.105263157893</v>
      </c>
      <c r="T192" s="4">
        <f t="shared" si="23"/>
        <v>4.7368421064675204E-3</v>
      </c>
      <c r="U192" s="4">
        <v>6226.89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39000</v>
      </c>
      <c r="AL192" s="3" t="s">
        <v>45</v>
      </c>
      <c r="AM192" s="3" t="s">
        <v>46</v>
      </c>
      <c r="AN192" s="3"/>
    </row>
    <row r="193" spans="1:40" s="5" customFormat="1" ht="12.75" x14ac:dyDescent="0.2">
      <c r="A193" s="3" t="s">
        <v>32</v>
      </c>
      <c r="B193" s="3" t="s">
        <v>403</v>
      </c>
      <c r="C193" s="3" t="s">
        <v>404</v>
      </c>
      <c r="D193" s="3" t="s">
        <v>130</v>
      </c>
      <c r="E193" s="3" t="s">
        <v>36</v>
      </c>
      <c r="F193" s="3" t="s">
        <v>37</v>
      </c>
      <c r="G193" s="3" t="s">
        <v>88</v>
      </c>
      <c r="H193" s="3" t="s">
        <v>401</v>
      </c>
      <c r="I193" s="3" t="s">
        <v>405</v>
      </c>
      <c r="J193" s="3" t="s">
        <v>132</v>
      </c>
      <c r="K193" s="3" t="s">
        <v>133</v>
      </c>
      <c r="L193" s="3" t="s">
        <v>43</v>
      </c>
      <c r="M193" s="3" t="s">
        <v>1047</v>
      </c>
      <c r="N193" s="3" t="s">
        <v>1020</v>
      </c>
      <c r="O193" s="3" t="s">
        <v>1002</v>
      </c>
      <c r="P193" s="3" t="s">
        <v>44</v>
      </c>
      <c r="Q193" s="3">
        <f t="shared" si="20"/>
        <v>108359.27977839335</v>
      </c>
      <c r="R193" s="8">
        <f t="shared" si="21"/>
        <v>-104447.54293628808</v>
      </c>
      <c r="S193" s="4">
        <f t="shared" si="22"/>
        <v>20588.263157894737</v>
      </c>
      <c r="T193" s="4">
        <f t="shared" si="23"/>
        <v>-3.3157894736632443E-2</v>
      </c>
      <c r="U193" s="4">
        <v>3911.77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24500</v>
      </c>
      <c r="AL193" s="3" t="s">
        <v>45</v>
      </c>
      <c r="AM193" s="3" t="s">
        <v>46</v>
      </c>
      <c r="AN193" s="3"/>
    </row>
    <row r="194" spans="1:40" s="3" customFormat="1" ht="12.75" x14ac:dyDescent="0.2">
      <c r="A194" s="3" t="s">
        <v>32</v>
      </c>
      <c r="B194" s="3" t="s">
        <v>551</v>
      </c>
      <c r="C194" s="3" t="s">
        <v>552</v>
      </c>
      <c r="D194" s="3" t="s">
        <v>130</v>
      </c>
      <c r="E194" s="3" t="s">
        <v>36</v>
      </c>
      <c r="F194" s="3" t="s">
        <v>37</v>
      </c>
      <c r="G194" s="3" t="s">
        <v>88</v>
      </c>
      <c r="H194" s="3" t="s">
        <v>553</v>
      </c>
      <c r="I194" s="3" t="s">
        <v>554</v>
      </c>
      <c r="J194" s="3" t="s">
        <v>132</v>
      </c>
      <c r="K194" s="3" t="s">
        <v>133</v>
      </c>
      <c r="L194" s="3" t="s">
        <v>43</v>
      </c>
      <c r="M194" s="3" t="s">
        <v>1047</v>
      </c>
      <c r="N194" s="3" t="s">
        <v>1020</v>
      </c>
      <c r="O194" s="3" t="s">
        <v>1002</v>
      </c>
      <c r="P194" s="3" t="s">
        <v>44</v>
      </c>
      <c r="Q194" s="3">
        <f t="shared" si="20"/>
        <v>66342.38227146813</v>
      </c>
      <c r="R194" s="8">
        <f t="shared" si="21"/>
        <v>-63947.434903047077</v>
      </c>
      <c r="S194" s="4">
        <f t="shared" si="22"/>
        <v>12605.052631578947</v>
      </c>
      <c r="T194" s="4">
        <f t="shared" si="23"/>
        <v>-1.2631578946638911E-2</v>
      </c>
      <c r="U194" s="4">
        <v>2394.96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15000</v>
      </c>
      <c r="AL194" s="3" t="s">
        <v>45</v>
      </c>
      <c r="AM194" s="3" t="s">
        <v>46</v>
      </c>
    </row>
    <row r="195" spans="1:40" s="3" customFormat="1" ht="12.75" x14ac:dyDescent="0.2">
      <c r="A195" s="3" t="s">
        <v>32</v>
      </c>
      <c r="B195" s="3" t="s">
        <v>555</v>
      </c>
      <c r="C195" s="3" t="s">
        <v>556</v>
      </c>
      <c r="D195" s="3" t="s">
        <v>130</v>
      </c>
      <c r="E195" s="3" t="s">
        <v>36</v>
      </c>
      <c r="F195" s="3" t="s">
        <v>37</v>
      </c>
      <c r="G195" s="3" t="s">
        <v>88</v>
      </c>
      <c r="H195" s="3" t="s">
        <v>553</v>
      </c>
      <c r="I195" s="3" t="s">
        <v>557</v>
      </c>
      <c r="J195" s="3" t="s">
        <v>132</v>
      </c>
      <c r="K195" s="3" t="s">
        <v>133</v>
      </c>
      <c r="L195" s="3" t="s">
        <v>43</v>
      </c>
      <c r="M195" s="3" t="s">
        <v>1047</v>
      </c>
      <c r="N195" s="3" t="s">
        <v>1020</v>
      </c>
      <c r="O195" s="3" t="s">
        <v>1002</v>
      </c>
      <c r="P195" s="3" t="s">
        <v>44</v>
      </c>
      <c r="Q195" s="3">
        <f t="shared" si="20"/>
        <v>173816.89750692519</v>
      </c>
      <c r="R195" s="8">
        <f t="shared" si="21"/>
        <v>-164542.10803324098</v>
      </c>
      <c r="S195" s="4">
        <f t="shared" si="22"/>
        <v>33025.210526315786</v>
      </c>
      <c r="T195" s="4">
        <f t="shared" si="23"/>
        <v>2999.9994736842136</v>
      </c>
      <c r="U195" s="4">
        <v>6274.79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42300</v>
      </c>
      <c r="AL195" s="3" t="s">
        <v>45</v>
      </c>
      <c r="AM195" s="3" t="s">
        <v>46</v>
      </c>
    </row>
    <row r="196" spans="1:40" s="3" customFormat="1" ht="12.75" x14ac:dyDescent="0.2">
      <c r="A196" s="3" t="s">
        <v>32</v>
      </c>
      <c r="B196" s="3" t="s">
        <v>816</v>
      </c>
      <c r="C196" s="3" t="s">
        <v>817</v>
      </c>
      <c r="D196" s="3" t="s">
        <v>130</v>
      </c>
      <c r="E196" s="3" t="s">
        <v>36</v>
      </c>
      <c r="F196" s="3" t="s">
        <v>37</v>
      </c>
      <c r="G196" s="3" t="s">
        <v>88</v>
      </c>
      <c r="H196" s="3" t="s">
        <v>814</v>
      </c>
      <c r="I196" s="3" t="s">
        <v>818</v>
      </c>
      <c r="J196" s="3" t="s">
        <v>132</v>
      </c>
      <c r="K196" s="3" t="s">
        <v>133</v>
      </c>
      <c r="L196" s="3" t="s">
        <v>43</v>
      </c>
      <c r="M196" s="3" t="s">
        <v>1047</v>
      </c>
      <c r="N196" s="3" t="s">
        <v>1020</v>
      </c>
      <c r="O196" s="3" t="s">
        <v>1002</v>
      </c>
      <c r="P196" s="3" t="s">
        <v>44</v>
      </c>
      <c r="Q196" s="3">
        <f t="shared" si="20"/>
        <v>281733.7950138505</v>
      </c>
      <c r="R196" s="8">
        <f t="shared" si="21"/>
        <v>-271563.21606648207</v>
      </c>
      <c r="S196" s="4">
        <f t="shared" si="22"/>
        <v>53529.421052631587</v>
      </c>
      <c r="T196" s="4">
        <f t="shared" si="23"/>
        <v>-1.1052631587517681E-2</v>
      </c>
      <c r="U196" s="4">
        <v>10170.59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63700</v>
      </c>
      <c r="AL196" s="3" t="s">
        <v>45</v>
      </c>
      <c r="AM196" s="3" t="s">
        <v>46</v>
      </c>
    </row>
    <row r="197" spans="1:40" s="3" customFormat="1" ht="12.75" x14ac:dyDescent="0.2">
      <c r="A197" s="3" t="s">
        <v>32</v>
      </c>
      <c r="B197" s="3" t="s">
        <v>70</v>
      </c>
      <c r="C197" s="3" t="s">
        <v>71</v>
      </c>
      <c r="D197" s="3" t="s">
        <v>72</v>
      </c>
      <c r="E197" s="3" t="s">
        <v>36</v>
      </c>
      <c r="F197" s="3" t="s">
        <v>73</v>
      </c>
      <c r="G197" s="3" t="s">
        <v>74</v>
      </c>
      <c r="H197" s="3" t="s">
        <v>57</v>
      </c>
      <c r="I197" s="3" t="s">
        <v>75</v>
      </c>
      <c r="J197" s="3" t="s">
        <v>76</v>
      </c>
      <c r="K197" s="3" t="s">
        <v>77</v>
      </c>
      <c r="L197" s="3" t="s">
        <v>43</v>
      </c>
      <c r="M197" s="3" t="s">
        <v>1014</v>
      </c>
      <c r="N197" s="3" t="s">
        <v>1057</v>
      </c>
      <c r="O197" s="3" t="s">
        <v>1058</v>
      </c>
      <c r="P197" s="3" t="s">
        <v>69</v>
      </c>
      <c r="Q197" s="3">
        <f t="shared" si="20"/>
        <v>2277052.354570637</v>
      </c>
      <c r="R197" s="8">
        <f t="shared" si="21"/>
        <v>-2194850.8219390581</v>
      </c>
      <c r="S197" s="4">
        <f t="shared" si="22"/>
        <v>432639.94736842107</v>
      </c>
      <c r="T197" s="4">
        <f t="shared" si="23"/>
        <v>-5.7368421083083376E-2</v>
      </c>
      <c r="U197" s="4">
        <v>82201.59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514841.48</v>
      </c>
      <c r="AL197" s="3" t="s">
        <v>45</v>
      </c>
      <c r="AM197" s="3" t="s">
        <v>46</v>
      </c>
    </row>
    <row r="198" spans="1:40" s="3" customFormat="1" ht="12.75" x14ac:dyDescent="0.2">
      <c r="A198" s="3" t="s">
        <v>32</v>
      </c>
      <c r="B198" s="3" t="s">
        <v>78</v>
      </c>
      <c r="C198" s="3" t="s">
        <v>79</v>
      </c>
      <c r="D198" s="3" t="s">
        <v>72</v>
      </c>
      <c r="E198" s="3" t="s">
        <v>36</v>
      </c>
      <c r="F198" s="3" t="s">
        <v>37</v>
      </c>
      <c r="G198" s="3" t="s">
        <v>74</v>
      </c>
      <c r="H198" s="3" t="s">
        <v>57</v>
      </c>
      <c r="I198" s="3" t="s">
        <v>80</v>
      </c>
      <c r="J198" s="3" t="s">
        <v>76</v>
      </c>
      <c r="K198" s="3" t="s">
        <v>77</v>
      </c>
      <c r="L198" s="3" t="s">
        <v>43</v>
      </c>
      <c r="M198" s="3" t="s">
        <v>1014</v>
      </c>
      <c r="N198" s="3" t="s">
        <v>1057</v>
      </c>
      <c r="O198" s="3" t="s">
        <v>1058</v>
      </c>
      <c r="P198" s="3" t="s">
        <v>69</v>
      </c>
      <c r="Q198" s="3">
        <f t="shared" si="20"/>
        <v>1851844.5983379502</v>
      </c>
      <c r="R198" s="8">
        <f t="shared" si="21"/>
        <v>-1784992.9820221607</v>
      </c>
      <c r="S198" s="4">
        <f t="shared" si="22"/>
        <v>351850.4736842105</v>
      </c>
      <c r="T198" s="4">
        <f t="shared" si="23"/>
        <v>2.6315789524232969E-2</v>
      </c>
      <c r="U198" s="4">
        <v>66851.59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418702.09</v>
      </c>
      <c r="AL198" s="3" t="s">
        <v>45</v>
      </c>
      <c r="AM198" s="3" t="s">
        <v>46</v>
      </c>
    </row>
    <row r="199" spans="1:40" s="3" customFormat="1" ht="12.75" x14ac:dyDescent="0.2">
      <c r="A199" s="3" t="s">
        <v>32</v>
      </c>
      <c r="B199" s="3" t="s">
        <v>81</v>
      </c>
      <c r="C199" s="3" t="s">
        <v>82</v>
      </c>
      <c r="D199" s="3" t="s">
        <v>72</v>
      </c>
      <c r="E199" s="3" t="s">
        <v>36</v>
      </c>
      <c r="F199" s="3" t="s">
        <v>37</v>
      </c>
      <c r="G199" s="3" t="s">
        <v>74</v>
      </c>
      <c r="H199" s="3" t="s">
        <v>83</v>
      </c>
      <c r="I199" s="3" t="s">
        <v>84</v>
      </c>
      <c r="J199" s="3" t="s">
        <v>76</v>
      </c>
      <c r="K199" s="3" t="s">
        <v>77</v>
      </c>
      <c r="L199" s="3" t="s">
        <v>43</v>
      </c>
      <c r="M199" s="3" t="s">
        <v>1014</v>
      </c>
      <c r="N199" s="3" t="s">
        <v>1057</v>
      </c>
      <c r="O199" s="3" t="s">
        <v>1058</v>
      </c>
      <c r="P199" s="3" t="s">
        <v>69</v>
      </c>
      <c r="Q199" s="3">
        <f t="shared" si="20"/>
        <v>1300126.3157894735</v>
      </c>
      <c r="R199" s="8">
        <f t="shared" si="21"/>
        <v>-1253191.7557894734</v>
      </c>
      <c r="S199" s="4">
        <f t="shared" si="22"/>
        <v>247023.99999999997</v>
      </c>
      <c r="T199" s="4">
        <f t="shared" si="23"/>
        <v>0</v>
      </c>
      <c r="U199" s="4">
        <v>46934.559999999998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293958.56</v>
      </c>
      <c r="AL199" s="3" t="s">
        <v>45</v>
      </c>
      <c r="AM199" s="3" t="s">
        <v>46</v>
      </c>
    </row>
    <row r="200" spans="1:40" s="3" customFormat="1" ht="12.75" x14ac:dyDescent="0.2">
      <c r="A200" s="3" t="s">
        <v>32</v>
      </c>
      <c r="B200" s="3" t="s">
        <v>166</v>
      </c>
      <c r="C200" s="3" t="s">
        <v>167</v>
      </c>
      <c r="D200" s="3" t="s">
        <v>72</v>
      </c>
      <c r="E200" s="3" t="s">
        <v>36</v>
      </c>
      <c r="F200" s="3" t="s">
        <v>37</v>
      </c>
      <c r="G200" s="3" t="s">
        <v>74</v>
      </c>
      <c r="H200" s="3" t="s">
        <v>168</v>
      </c>
      <c r="I200" s="3" t="s">
        <v>169</v>
      </c>
      <c r="J200" s="3" t="s">
        <v>76</v>
      </c>
      <c r="K200" s="3" t="s">
        <v>77</v>
      </c>
      <c r="L200" s="3" t="s">
        <v>43</v>
      </c>
      <c r="M200" s="3" t="s">
        <v>1014</v>
      </c>
      <c r="N200" s="3" t="s">
        <v>1057</v>
      </c>
      <c r="O200" s="3" t="s">
        <v>1058</v>
      </c>
      <c r="P200" s="3" t="s">
        <v>69</v>
      </c>
      <c r="Q200" s="3">
        <f t="shared" si="20"/>
        <v>2440421.0526315789</v>
      </c>
      <c r="R200" s="8">
        <f t="shared" si="21"/>
        <v>-2352321.8526315792</v>
      </c>
      <c r="S200" s="4">
        <f t="shared" si="22"/>
        <v>463680</v>
      </c>
      <c r="T200" s="4">
        <f t="shared" si="23"/>
        <v>0</v>
      </c>
      <c r="U200" s="4">
        <v>88099.199999999997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551779.19999999995</v>
      </c>
      <c r="AL200" s="3" t="s">
        <v>45</v>
      </c>
      <c r="AM200" s="3" t="s">
        <v>46</v>
      </c>
    </row>
    <row r="201" spans="1:40" s="3" customFormat="1" ht="12.75" x14ac:dyDescent="0.2">
      <c r="A201" s="3" t="s">
        <v>32</v>
      </c>
      <c r="B201" s="3" t="s">
        <v>170</v>
      </c>
      <c r="C201" s="3" t="s">
        <v>171</v>
      </c>
      <c r="D201" s="3" t="s">
        <v>72</v>
      </c>
      <c r="E201" s="3" t="s">
        <v>36</v>
      </c>
      <c r="F201" s="3" t="s">
        <v>73</v>
      </c>
      <c r="G201" s="3" t="s">
        <v>74</v>
      </c>
      <c r="H201" s="3" t="s">
        <v>168</v>
      </c>
      <c r="I201" s="3" t="s">
        <v>172</v>
      </c>
      <c r="J201" s="3" t="s">
        <v>76</v>
      </c>
      <c r="K201" s="3" t="s">
        <v>77</v>
      </c>
      <c r="L201" s="3" t="s">
        <v>43</v>
      </c>
      <c r="M201" s="3" t="s">
        <v>1014</v>
      </c>
      <c r="N201" s="3" t="s">
        <v>1057</v>
      </c>
      <c r="O201" s="3" t="s">
        <v>1058</v>
      </c>
      <c r="P201" s="3" t="s">
        <v>69</v>
      </c>
      <c r="Q201" s="3">
        <f t="shared" si="20"/>
        <v>3658005.2631578939</v>
      </c>
      <c r="R201" s="8">
        <f t="shared" si="21"/>
        <v>-3525951.2731578937</v>
      </c>
      <c r="S201" s="4">
        <f t="shared" si="22"/>
        <v>695020.99999999988</v>
      </c>
      <c r="T201" s="4">
        <f t="shared" si="23"/>
        <v>0</v>
      </c>
      <c r="U201" s="4">
        <v>132053.99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827074.99</v>
      </c>
      <c r="AL201" s="3" t="s">
        <v>45</v>
      </c>
      <c r="AM201" s="3" t="s">
        <v>46</v>
      </c>
    </row>
    <row r="202" spans="1:40" s="3" customFormat="1" ht="12.75" x14ac:dyDescent="0.2">
      <c r="A202" s="3" t="s">
        <v>32</v>
      </c>
      <c r="B202" s="3" t="s">
        <v>747</v>
      </c>
      <c r="C202" s="3" t="s">
        <v>748</v>
      </c>
      <c r="D202" s="3" t="s">
        <v>72</v>
      </c>
      <c r="E202" s="3" t="s">
        <v>36</v>
      </c>
      <c r="F202" s="3" t="s">
        <v>73</v>
      </c>
      <c r="G202" s="3" t="s">
        <v>74</v>
      </c>
      <c r="H202" s="3" t="s">
        <v>749</v>
      </c>
      <c r="I202" s="3" t="s">
        <v>750</v>
      </c>
      <c r="J202" s="3" t="s">
        <v>76</v>
      </c>
      <c r="K202" s="3" t="s">
        <v>77</v>
      </c>
      <c r="L202" s="3" t="s">
        <v>43</v>
      </c>
      <c r="M202" s="3" t="s">
        <v>1014</v>
      </c>
      <c r="N202" s="3" t="s">
        <v>1057</v>
      </c>
      <c r="O202" s="3" t="s">
        <v>1058</v>
      </c>
      <c r="P202" s="3" t="s">
        <v>69</v>
      </c>
      <c r="Q202" s="3">
        <f t="shared" si="20"/>
        <v>2559063.1578947366</v>
      </c>
      <c r="R202" s="8">
        <f t="shared" si="21"/>
        <v>-2466680.9778947365</v>
      </c>
      <c r="S202" s="4">
        <f t="shared" si="22"/>
        <v>486221.99999999994</v>
      </c>
      <c r="T202" s="4">
        <f t="shared" si="23"/>
        <v>1.1641532182693481E-10</v>
      </c>
      <c r="U202" s="4">
        <v>92382.18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578604.18000000005</v>
      </c>
      <c r="AL202" s="3" t="s">
        <v>45</v>
      </c>
      <c r="AM202" s="3" t="s">
        <v>46</v>
      </c>
    </row>
    <row r="203" spans="1:40" s="3" customFormat="1" ht="12.75" x14ac:dyDescent="0.2">
      <c r="A203" s="3" t="s">
        <v>32</v>
      </c>
      <c r="B203" s="3" t="s">
        <v>802</v>
      </c>
      <c r="C203" s="3" t="s">
        <v>803</v>
      </c>
      <c r="D203" s="3" t="s">
        <v>72</v>
      </c>
      <c r="E203" s="3" t="s">
        <v>36</v>
      </c>
      <c r="F203" s="3" t="s">
        <v>73</v>
      </c>
      <c r="G203" s="3" t="s">
        <v>74</v>
      </c>
      <c r="H203" s="3" t="s">
        <v>781</v>
      </c>
      <c r="I203" s="3" t="s">
        <v>804</v>
      </c>
      <c r="J203" s="3" t="s">
        <v>76</v>
      </c>
      <c r="K203" s="3" t="s">
        <v>77</v>
      </c>
      <c r="L203" s="3" t="s">
        <v>43</v>
      </c>
      <c r="M203" s="3" t="s">
        <v>1014</v>
      </c>
      <c r="N203" s="3" t="s">
        <v>1057</v>
      </c>
      <c r="O203" s="3" t="s">
        <v>1058</v>
      </c>
      <c r="P203" s="3" t="s">
        <v>69</v>
      </c>
      <c r="Q203" s="3">
        <f t="shared" si="20"/>
        <v>3264326.3157894728</v>
      </c>
      <c r="R203" s="8">
        <f t="shared" si="21"/>
        <v>-3146484.1357894726</v>
      </c>
      <c r="S203" s="4">
        <f t="shared" si="22"/>
        <v>620221.99999999988</v>
      </c>
      <c r="T203" s="4">
        <f t="shared" si="23"/>
        <v>1.7462298274040222E-10</v>
      </c>
      <c r="U203" s="4">
        <v>117842.18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738064.18</v>
      </c>
      <c r="AL203" s="3" t="s">
        <v>45</v>
      </c>
      <c r="AM203" s="3" t="s">
        <v>46</v>
      </c>
    </row>
    <row r="204" spans="1:40" s="3" customFormat="1" ht="12.75" x14ac:dyDescent="0.2">
      <c r="A204" s="3" t="s">
        <v>32</v>
      </c>
      <c r="B204" s="3" t="s">
        <v>851</v>
      </c>
      <c r="C204" s="3" t="s">
        <v>852</v>
      </c>
      <c r="D204" s="3" t="s">
        <v>72</v>
      </c>
      <c r="E204" s="3" t="s">
        <v>36</v>
      </c>
      <c r="F204" s="3" t="s">
        <v>73</v>
      </c>
      <c r="G204" s="3" t="s">
        <v>74</v>
      </c>
      <c r="H204" s="3" t="s">
        <v>847</v>
      </c>
      <c r="I204" s="3" t="s">
        <v>853</v>
      </c>
      <c r="J204" s="3" t="s">
        <v>76</v>
      </c>
      <c r="K204" s="3" t="s">
        <v>77</v>
      </c>
      <c r="L204" s="3" t="s">
        <v>43</v>
      </c>
      <c r="M204" s="3" t="s">
        <v>1014</v>
      </c>
      <c r="N204" s="3" t="s">
        <v>1057</v>
      </c>
      <c r="O204" s="3" t="s">
        <v>1058</v>
      </c>
      <c r="P204" s="3" t="s">
        <v>69</v>
      </c>
      <c r="Q204" s="3">
        <f t="shared" si="20"/>
        <v>2290484.2105263155</v>
      </c>
      <c r="R204" s="8">
        <f t="shared" si="21"/>
        <v>-2207797.7305263155</v>
      </c>
      <c r="S204" s="4">
        <f t="shared" si="22"/>
        <v>435192</v>
      </c>
      <c r="T204" s="4">
        <f t="shared" si="23"/>
        <v>0</v>
      </c>
      <c r="U204" s="4">
        <v>82686.48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517878.48</v>
      </c>
      <c r="AL204" s="3" t="s">
        <v>45</v>
      </c>
      <c r="AM204" s="3" t="s">
        <v>46</v>
      </c>
    </row>
    <row r="205" spans="1:40" s="3" customFormat="1" ht="12.75" x14ac:dyDescent="0.2">
      <c r="A205" s="3" t="s">
        <v>32</v>
      </c>
      <c r="B205" s="3" t="s">
        <v>857</v>
      </c>
      <c r="C205" s="3" t="s">
        <v>858</v>
      </c>
      <c r="D205" s="3" t="s">
        <v>72</v>
      </c>
      <c r="E205" s="3" t="s">
        <v>36</v>
      </c>
      <c r="F205" s="3" t="s">
        <v>73</v>
      </c>
      <c r="G205" s="3" t="s">
        <v>74</v>
      </c>
      <c r="H205" s="3" t="s">
        <v>847</v>
      </c>
      <c r="I205" s="3" t="s">
        <v>859</v>
      </c>
      <c r="J205" s="3" t="s">
        <v>76</v>
      </c>
      <c r="K205" s="3" t="s">
        <v>77</v>
      </c>
      <c r="L205" s="3" t="s">
        <v>43</v>
      </c>
      <c r="M205" s="3" t="s">
        <v>1014</v>
      </c>
      <c r="N205" s="3" t="s">
        <v>1057</v>
      </c>
      <c r="O205" s="3" t="s">
        <v>1058</v>
      </c>
      <c r="P205" s="3" t="s">
        <v>69</v>
      </c>
      <c r="Q205" s="3">
        <f t="shared" si="20"/>
        <v>2657426.3157894732</v>
      </c>
      <c r="R205" s="8">
        <f t="shared" si="21"/>
        <v>-2561493.2257894734</v>
      </c>
      <c r="S205" s="4">
        <f t="shared" si="22"/>
        <v>504910.99999999994</v>
      </c>
      <c r="T205" s="4">
        <f t="shared" si="23"/>
        <v>0</v>
      </c>
      <c r="U205" s="4">
        <v>95933.09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600844.09</v>
      </c>
      <c r="AL205" s="3" t="s">
        <v>45</v>
      </c>
      <c r="AM205" s="3" t="s">
        <v>46</v>
      </c>
    </row>
    <row r="206" spans="1:40" s="3" customFormat="1" ht="12.75" x14ac:dyDescent="0.2">
      <c r="A206" s="3" t="s">
        <v>32</v>
      </c>
      <c r="B206" s="3" t="s">
        <v>860</v>
      </c>
      <c r="C206" s="3" t="s">
        <v>861</v>
      </c>
      <c r="D206" s="3" t="s">
        <v>72</v>
      </c>
      <c r="E206" s="3" t="s">
        <v>36</v>
      </c>
      <c r="F206" s="3" t="s">
        <v>73</v>
      </c>
      <c r="G206" s="3" t="s">
        <v>74</v>
      </c>
      <c r="H206" s="3" t="s">
        <v>862</v>
      </c>
      <c r="I206" s="3" t="s">
        <v>863</v>
      </c>
      <c r="J206" s="3" t="s">
        <v>76</v>
      </c>
      <c r="K206" s="3" t="s">
        <v>77</v>
      </c>
      <c r="L206" s="3" t="s">
        <v>43</v>
      </c>
      <c r="M206" s="3" t="s">
        <v>1014</v>
      </c>
      <c r="N206" s="3" t="s">
        <v>1057</v>
      </c>
      <c r="O206" s="3" t="s">
        <v>1058</v>
      </c>
      <c r="P206" s="3" t="s">
        <v>69</v>
      </c>
      <c r="Q206" s="3">
        <f t="shared" si="20"/>
        <v>1027642.1052631579</v>
      </c>
      <c r="R206" s="8">
        <f t="shared" si="21"/>
        <v>-990544.22526315786</v>
      </c>
      <c r="S206" s="4">
        <f t="shared" si="22"/>
        <v>195251.99999999997</v>
      </c>
      <c r="T206" s="4">
        <f t="shared" si="23"/>
        <v>0</v>
      </c>
      <c r="U206" s="4">
        <v>37097.879999999997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232349.88</v>
      </c>
      <c r="AL206" s="3" t="s">
        <v>45</v>
      </c>
      <c r="AM206" s="3" t="s">
        <v>46</v>
      </c>
    </row>
    <row r="207" spans="1:40" s="3" customFormat="1" ht="12.75" x14ac:dyDescent="0.2">
      <c r="A207" s="3" t="s">
        <v>32</v>
      </c>
      <c r="B207" s="3" t="s">
        <v>864</v>
      </c>
      <c r="C207" s="3" t="s">
        <v>865</v>
      </c>
      <c r="D207" s="3" t="s">
        <v>72</v>
      </c>
      <c r="E207" s="3" t="s">
        <v>36</v>
      </c>
      <c r="F207" s="3" t="s">
        <v>73</v>
      </c>
      <c r="G207" s="3" t="s">
        <v>74</v>
      </c>
      <c r="H207" s="3" t="s">
        <v>862</v>
      </c>
      <c r="I207" s="3" t="s">
        <v>866</v>
      </c>
      <c r="J207" s="3" t="s">
        <v>76</v>
      </c>
      <c r="K207" s="3" t="s">
        <v>77</v>
      </c>
      <c r="L207" s="3" t="s">
        <v>43</v>
      </c>
      <c r="M207" s="3" t="s">
        <v>1014</v>
      </c>
      <c r="N207" s="3" t="s">
        <v>1057</v>
      </c>
      <c r="O207" s="3" t="s">
        <v>1058</v>
      </c>
      <c r="P207" s="3" t="s">
        <v>69</v>
      </c>
      <c r="Q207" s="3">
        <f t="shared" si="20"/>
        <v>1420968.4210526315</v>
      </c>
      <c r="R207" s="8">
        <f t="shared" si="21"/>
        <v>-1369671.4610526315</v>
      </c>
      <c r="S207" s="4">
        <f t="shared" si="22"/>
        <v>269984</v>
      </c>
      <c r="T207" s="4">
        <f t="shared" si="23"/>
        <v>0</v>
      </c>
      <c r="U207" s="4">
        <v>51296.959999999999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321280.96000000002</v>
      </c>
      <c r="AL207" s="3" t="s">
        <v>45</v>
      </c>
      <c r="AM207" s="3" t="s">
        <v>46</v>
      </c>
    </row>
    <row r="208" spans="1:40" s="3" customFormat="1" ht="12.75" x14ac:dyDescent="0.2">
      <c r="A208" s="3" t="s">
        <v>32</v>
      </c>
      <c r="B208" s="3" t="s">
        <v>867</v>
      </c>
      <c r="C208" s="3" t="s">
        <v>868</v>
      </c>
      <c r="D208" s="3" t="s">
        <v>72</v>
      </c>
      <c r="E208" s="3" t="s">
        <v>36</v>
      </c>
      <c r="F208" s="3" t="s">
        <v>73</v>
      </c>
      <c r="G208" s="3" t="s">
        <v>74</v>
      </c>
      <c r="H208" s="3" t="s">
        <v>862</v>
      </c>
      <c r="I208" s="3" t="s">
        <v>869</v>
      </c>
      <c r="J208" s="3" t="s">
        <v>76</v>
      </c>
      <c r="K208" s="3" t="s">
        <v>77</v>
      </c>
      <c r="L208" s="3" t="s">
        <v>43</v>
      </c>
      <c r="M208" s="3" t="s">
        <v>1014</v>
      </c>
      <c r="N208" s="3" t="s">
        <v>1057</v>
      </c>
      <c r="O208" s="3" t="s">
        <v>1058</v>
      </c>
      <c r="P208" s="3" t="s">
        <v>69</v>
      </c>
      <c r="Q208" s="3">
        <f t="shared" si="20"/>
        <v>1960863.1578947371</v>
      </c>
      <c r="R208" s="8">
        <f t="shared" si="21"/>
        <v>-1890075.9978947372</v>
      </c>
      <c r="S208" s="4">
        <f t="shared" si="22"/>
        <v>372564.00000000006</v>
      </c>
      <c r="T208" s="4">
        <f t="shared" si="23"/>
        <v>0</v>
      </c>
      <c r="U208" s="4">
        <v>70787.16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443351.16</v>
      </c>
      <c r="AL208" s="3" t="s">
        <v>45</v>
      </c>
      <c r="AM208" s="3" t="s">
        <v>46</v>
      </c>
    </row>
    <row r="209" spans="1:40" s="3" customFormat="1" ht="12.75" x14ac:dyDescent="0.2">
      <c r="A209" s="3" t="s">
        <v>32</v>
      </c>
      <c r="B209" s="3" t="s">
        <v>906</v>
      </c>
      <c r="C209" s="3" t="s">
        <v>907</v>
      </c>
      <c r="D209" s="3" t="s">
        <v>72</v>
      </c>
      <c r="E209" s="3" t="s">
        <v>36</v>
      </c>
      <c r="F209" s="3" t="s">
        <v>73</v>
      </c>
      <c r="G209" s="3" t="s">
        <v>74</v>
      </c>
      <c r="H209" s="3" t="s">
        <v>908</v>
      </c>
      <c r="I209" s="3" t="s">
        <v>909</v>
      </c>
      <c r="J209" s="3" t="s">
        <v>76</v>
      </c>
      <c r="K209" s="3" t="s">
        <v>77</v>
      </c>
      <c r="L209" s="3" t="s">
        <v>43</v>
      </c>
      <c r="M209" s="3" t="s">
        <v>1014</v>
      </c>
      <c r="N209" s="3" t="s">
        <v>1057</v>
      </c>
      <c r="O209" s="3" t="s">
        <v>1058</v>
      </c>
      <c r="P209" s="3" t="s">
        <v>69</v>
      </c>
      <c r="Q209" s="3">
        <f t="shared" si="20"/>
        <v>4082121.0526315793</v>
      </c>
      <c r="R209" s="8">
        <f t="shared" si="21"/>
        <v>-3934756.4826315795</v>
      </c>
      <c r="S209" s="4">
        <f t="shared" si="22"/>
        <v>775603.00000000012</v>
      </c>
      <c r="T209" s="4">
        <f t="shared" si="23"/>
        <v>0</v>
      </c>
      <c r="U209" s="4">
        <v>147364.57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922967.57</v>
      </c>
      <c r="AL209" s="3" t="s">
        <v>45</v>
      </c>
      <c r="AM209" s="3" t="s">
        <v>46</v>
      </c>
    </row>
    <row r="210" spans="1:40" s="3" customFormat="1" ht="12.75" x14ac:dyDescent="0.2">
      <c r="A210" s="3" t="s">
        <v>32</v>
      </c>
      <c r="B210" s="3" t="s">
        <v>914</v>
      </c>
      <c r="C210" s="3" t="s">
        <v>915</v>
      </c>
      <c r="D210" s="3" t="s">
        <v>72</v>
      </c>
      <c r="E210" s="3" t="s">
        <v>36</v>
      </c>
      <c r="F210" s="3" t="s">
        <v>73</v>
      </c>
      <c r="G210" s="3" t="s">
        <v>74</v>
      </c>
      <c r="H210" s="3" t="s">
        <v>916</v>
      </c>
      <c r="I210" s="3" t="s">
        <v>917</v>
      </c>
      <c r="J210" s="3" t="s">
        <v>76</v>
      </c>
      <c r="K210" s="3" t="s">
        <v>77</v>
      </c>
      <c r="L210" s="3" t="s">
        <v>43</v>
      </c>
      <c r="M210" s="3" t="s">
        <v>1014</v>
      </c>
      <c r="N210" s="3" t="s">
        <v>1057</v>
      </c>
      <c r="O210" s="3" t="s">
        <v>1058</v>
      </c>
      <c r="P210" s="3" t="s">
        <v>69</v>
      </c>
      <c r="Q210" s="3">
        <f t="shared" ref="Q210:Q217" si="24">+S210/19*100</f>
        <v>3343447.3684210526</v>
      </c>
      <c r="R210" s="8">
        <f t="shared" ref="R210:R217" si="25">+AK210-Q210-S210</f>
        <v>-3222748.9184210524</v>
      </c>
      <c r="S210" s="4">
        <f t="shared" ref="S210:S217" si="26">+U210/19*100</f>
        <v>635255</v>
      </c>
      <c r="T210" s="4">
        <f t="shared" ref="T210:T217" si="27">+AK210-S210-U210</f>
        <v>0</v>
      </c>
      <c r="U210" s="4">
        <v>120698.45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755953.45</v>
      </c>
      <c r="AL210" s="3" t="s">
        <v>45</v>
      </c>
      <c r="AM210" s="3" t="s">
        <v>46</v>
      </c>
      <c r="AN210" s="5"/>
    </row>
    <row r="211" spans="1:40" s="3" customFormat="1" ht="12.75" x14ac:dyDescent="0.2">
      <c r="A211" s="3" t="s">
        <v>32</v>
      </c>
      <c r="B211" s="3" t="s">
        <v>85</v>
      </c>
      <c r="C211" s="3" t="s">
        <v>86</v>
      </c>
      <c r="D211" s="3" t="s">
        <v>87</v>
      </c>
      <c r="E211" s="3" t="s">
        <v>36</v>
      </c>
      <c r="F211" s="3" t="s">
        <v>37</v>
      </c>
      <c r="G211" s="3" t="s">
        <v>88</v>
      </c>
      <c r="H211" s="3" t="s">
        <v>83</v>
      </c>
      <c r="I211" s="3" t="s">
        <v>89</v>
      </c>
      <c r="J211" s="3" t="s">
        <v>90</v>
      </c>
      <c r="K211" s="3" t="s">
        <v>91</v>
      </c>
      <c r="L211" s="3" t="s">
        <v>43</v>
      </c>
      <c r="M211" s="3" t="s">
        <v>1015</v>
      </c>
      <c r="N211" s="3" t="s">
        <v>1020</v>
      </c>
      <c r="O211" s="3" t="s">
        <v>1002</v>
      </c>
      <c r="P211" s="3" t="s">
        <v>92</v>
      </c>
      <c r="Q211" s="3">
        <f t="shared" si="24"/>
        <v>701862.04986149585</v>
      </c>
      <c r="R211" s="8">
        <f t="shared" si="25"/>
        <v>-676524.83933518012</v>
      </c>
      <c r="S211" s="4">
        <f t="shared" si="26"/>
        <v>133353.78947368421</v>
      </c>
      <c r="T211" s="4">
        <f t="shared" si="27"/>
        <v>-9.4736842147540301E-3</v>
      </c>
      <c r="U211" s="4">
        <v>25337.22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158691</v>
      </c>
      <c r="AL211" s="3" t="s">
        <v>45</v>
      </c>
      <c r="AM211" s="3" t="s">
        <v>46</v>
      </c>
      <c r="AN211" s="5"/>
    </row>
    <row r="212" spans="1:40" s="5" customFormat="1" ht="12.75" x14ac:dyDescent="0.2">
      <c r="A212" s="3" t="s">
        <v>32</v>
      </c>
      <c r="B212" s="3" t="s">
        <v>116</v>
      </c>
      <c r="C212" s="3" t="s">
        <v>117</v>
      </c>
      <c r="D212" s="3" t="s">
        <v>87</v>
      </c>
      <c r="E212" s="3" t="s">
        <v>36</v>
      </c>
      <c r="F212" s="3" t="s">
        <v>37</v>
      </c>
      <c r="G212" s="3" t="s">
        <v>65</v>
      </c>
      <c r="H212" s="3" t="s">
        <v>118</v>
      </c>
      <c r="I212" s="3" t="s">
        <v>119</v>
      </c>
      <c r="J212" s="3" t="s">
        <v>90</v>
      </c>
      <c r="K212" s="3" t="s">
        <v>91</v>
      </c>
      <c r="L212" s="3" t="s">
        <v>43</v>
      </c>
      <c r="M212" s="3" t="s">
        <v>1015</v>
      </c>
      <c r="N212" s="3" t="s">
        <v>1020</v>
      </c>
      <c r="O212" s="3" t="s">
        <v>1002</v>
      </c>
      <c r="P212" s="3" t="s">
        <v>92</v>
      </c>
      <c r="Q212" s="3">
        <f t="shared" si="24"/>
        <v>1958466.4819944599</v>
      </c>
      <c r="R212" s="8">
        <f t="shared" si="25"/>
        <v>-1887765.8335734073</v>
      </c>
      <c r="S212" s="4">
        <f t="shared" si="26"/>
        <v>372108.63157894736</v>
      </c>
      <c r="T212" s="4">
        <f t="shared" si="27"/>
        <v>8.4210526692913845E-3</v>
      </c>
      <c r="U212" s="4">
        <v>70700.639999999999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442809.28</v>
      </c>
      <c r="AL212" s="3" t="s">
        <v>45</v>
      </c>
      <c r="AM212" s="3" t="s">
        <v>46</v>
      </c>
    </row>
    <row r="213" spans="1:40" s="5" customFormat="1" ht="12.75" x14ac:dyDescent="0.2">
      <c r="A213" s="3" t="s">
        <v>32</v>
      </c>
      <c r="B213" s="3" t="s">
        <v>282</v>
      </c>
      <c r="C213" s="3" t="s">
        <v>283</v>
      </c>
      <c r="D213" s="3" t="s">
        <v>87</v>
      </c>
      <c r="E213" s="3" t="s">
        <v>36</v>
      </c>
      <c r="F213" s="3" t="s">
        <v>37</v>
      </c>
      <c r="G213" s="3" t="s">
        <v>88</v>
      </c>
      <c r="H213" s="3" t="s">
        <v>280</v>
      </c>
      <c r="I213" s="3" t="s">
        <v>284</v>
      </c>
      <c r="J213" s="3" t="s">
        <v>90</v>
      </c>
      <c r="K213" s="3" t="s">
        <v>91</v>
      </c>
      <c r="L213" s="3" t="s">
        <v>43</v>
      </c>
      <c r="M213" s="3" t="s">
        <v>1015</v>
      </c>
      <c r="N213" s="3" t="s">
        <v>1020</v>
      </c>
      <c r="O213" s="3" t="s">
        <v>1002</v>
      </c>
      <c r="P213" s="3" t="s">
        <v>92</v>
      </c>
      <c r="Q213" s="3">
        <f t="shared" si="24"/>
        <v>918509.41828254866</v>
      </c>
      <c r="R213" s="8">
        <f t="shared" si="25"/>
        <v>-885351.20775623294</v>
      </c>
      <c r="S213" s="4">
        <f t="shared" si="26"/>
        <v>174516.78947368424</v>
      </c>
      <c r="T213" s="4">
        <f t="shared" si="27"/>
        <v>2.0526315754977986E-2</v>
      </c>
      <c r="U213" s="4">
        <v>33158.19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207675</v>
      </c>
      <c r="AL213" s="3" t="s">
        <v>45</v>
      </c>
      <c r="AM213" s="3" t="s">
        <v>46</v>
      </c>
    </row>
    <row r="214" spans="1:40" s="5" customFormat="1" ht="12.75" x14ac:dyDescent="0.2">
      <c r="A214" s="3" t="s">
        <v>32</v>
      </c>
      <c r="B214" s="3" t="s">
        <v>379</v>
      </c>
      <c r="C214" s="3" t="s">
        <v>380</v>
      </c>
      <c r="D214" s="3" t="s">
        <v>87</v>
      </c>
      <c r="E214" s="3" t="s">
        <v>36</v>
      </c>
      <c r="F214" s="3" t="s">
        <v>37</v>
      </c>
      <c r="G214" s="3" t="s">
        <v>65</v>
      </c>
      <c r="H214" s="3" t="s">
        <v>381</v>
      </c>
      <c r="I214" s="3" t="s">
        <v>382</v>
      </c>
      <c r="J214" s="3" t="s">
        <v>90</v>
      </c>
      <c r="K214" s="3" t="s">
        <v>91</v>
      </c>
      <c r="L214" s="3" t="s">
        <v>43</v>
      </c>
      <c r="M214" s="3" t="s">
        <v>1015</v>
      </c>
      <c r="N214" s="3" t="s">
        <v>1020</v>
      </c>
      <c r="O214" s="3" t="s">
        <v>1002</v>
      </c>
      <c r="P214" s="3" t="s">
        <v>92</v>
      </c>
      <c r="Q214" s="3">
        <f t="shared" si="24"/>
        <v>1701901.9390581718</v>
      </c>
      <c r="R214" s="8">
        <f t="shared" si="25"/>
        <v>-1640463.3074792244</v>
      </c>
      <c r="S214" s="4">
        <f t="shared" si="26"/>
        <v>323361.36842105264</v>
      </c>
      <c r="T214" s="4">
        <f t="shared" si="27"/>
        <v>-2.842105264426209E-2</v>
      </c>
      <c r="U214" s="4">
        <v>61438.66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384800</v>
      </c>
      <c r="AL214" s="3" t="s">
        <v>45</v>
      </c>
      <c r="AM214" s="3" t="s">
        <v>46</v>
      </c>
      <c r="AN214" s="3"/>
    </row>
    <row r="215" spans="1:40" s="5" customFormat="1" x14ac:dyDescent="0.25">
      <c r="A215" s="3" t="s">
        <v>32</v>
      </c>
      <c r="B215" s="3" t="s">
        <v>599</v>
      </c>
      <c r="C215" s="3" t="s">
        <v>600</v>
      </c>
      <c r="D215" s="3" t="s">
        <v>601</v>
      </c>
      <c r="E215" s="3" t="s">
        <v>36</v>
      </c>
      <c r="F215" s="3" t="s">
        <v>37</v>
      </c>
      <c r="G215" s="3" t="s">
        <v>38</v>
      </c>
      <c r="H215" s="3" t="s">
        <v>602</v>
      </c>
      <c r="I215" s="3" t="s">
        <v>603</v>
      </c>
      <c r="J215" s="3" t="s">
        <v>604</v>
      </c>
      <c r="K215" s="3" t="s">
        <v>605</v>
      </c>
      <c r="L215" s="3" t="s">
        <v>43</v>
      </c>
      <c r="M215" s="3" t="s">
        <v>1016</v>
      </c>
      <c r="N215" s="3" t="s">
        <v>1020</v>
      </c>
      <c r="O215" s="3" t="s">
        <v>1002</v>
      </c>
      <c r="P215" s="3" t="s">
        <v>141</v>
      </c>
      <c r="Q215" s="3">
        <f t="shared" si="24"/>
        <v>1071825.7617728531</v>
      </c>
      <c r="R215" s="8">
        <f t="shared" si="25"/>
        <v>-1033132.6565096952</v>
      </c>
      <c r="S215" s="4">
        <f t="shared" si="26"/>
        <v>203646.89473684211</v>
      </c>
      <c r="T215" s="4">
        <f t="shared" si="27"/>
        <v>0.1952631578897126</v>
      </c>
      <c r="U215" s="4">
        <v>38692.910000000003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242340</v>
      </c>
      <c r="AL215" s="3" t="s">
        <v>45</v>
      </c>
      <c r="AM215" s="3" t="s">
        <v>46</v>
      </c>
    </row>
    <row r="216" spans="1:40" s="3" customFormat="1" ht="12.75" x14ac:dyDescent="0.2">
      <c r="A216" s="3" t="s">
        <v>32</v>
      </c>
      <c r="B216" s="3" t="s">
        <v>414</v>
      </c>
      <c r="C216" s="3" t="s">
        <v>415</v>
      </c>
      <c r="D216" s="3" t="s">
        <v>416</v>
      </c>
      <c r="E216" s="3" t="s">
        <v>36</v>
      </c>
      <c r="F216" s="3" t="s">
        <v>37</v>
      </c>
      <c r="G216" s="3" t="s">
        <v>37</v>
      </c>
      <c r="H216" s="3" t="s">
        <v>417</v>
      </c>
      <c r="I216" s="3" t="s">
        <v>418</v>
      </c>
      <c r="J216" s="3" t="s">
        <v>419</v>
      </c>
      <c r="K216" s="3" t="s">
        <v>420</v>
      </c>
      <c r="L216" s="3" t="s">
        <v>43</v>
      </c>
      <c r="M216" s="3" t="s">
        <v>1017</v>
      </c>
      <c r="N216" s="3" t="s">
        <v>1020</v>
      </c>
      <c r="O216" s="3" t="s">
        <v>1002</v>
      </c>
      <c r="P216" s="3" t="s">
        <v>100</v>
      </c>
      <c r="Q216" s="3">
        <f t="shared" si="24"/>
        <v>3905351.8005540166</v>
      </c>
      <c r="R216" s="8">
        <f t="shared" si="25"/>
        <v>-3764368.6426592795</v>
      </c>
      <c r="S216" s="4">
        <f t="shared" si="26"/>
        <v>742016.84210526315</v>
      </c>
      <c r="T216" s="4">
        <f t="shared" si="27"/>
        <v>-4.2105263157282025E-2</v>
      </c>
      <c r="U216" s="4">
        <v>140983.20000000001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883000</v>
      </c>
      <c r="AL216" s="3" t="s">
        <v>45</v>
      </c>
      <c r="AM216" s="3" t="s">
        <v>46</v>
      </c>
    </row>
    <row r="217" spans="1:40" s="5" customFormat="1" ht="12.75" x14ac:dyDescent="0.2">
      <c r="A217" s="3" t="s">
        <v>32</v>
      </c>
      <c r="B217" s="3" t="s">
        <v>772</v>
      </c>
      <c r="C217" s="3" t="s">
        <v>773</v>
      </c>
      <c r="D217" s="3" t="s">
        <v>416</v>
      </c>
      <c r="E217" s="3" t="s">
        <v>36</v>
      </c>
      <c r="F217" s="3" t="s">
        <v>37</v>
      </c>
      <c r="G217" s="3" t="s">
        <v>88</v>
      </c>
      <c r="H217" s="3" t="s">
        <v>770</v>
      </c>
      <c r="I217" s="3" t="s">
        <v>774</v>
      </c>
      <c r="J217" s="3" t="s">
        <v>419</v>
      </c>
      <c r="K217" s="3" t="s">
        <v>420</v>
      </c>
      <c r="L217" s="3" t="s">
        <v>43</v>
      </c>
      <c r="M217" s="3" t="s">
        <v>1017</v>
      </c>
      <c r="N217" s="3" t="s">
        <v>1020</v>
      </c>
      <c r="O217" s="3" t="s">
        <v>1002</v>
      </c>
      <c r="P217" s="3" t="s">
        <v>100</v>
      </c>
      <c r="Q217" s="3">
        <f t="shared" si="24"/>
        <v>1562140.7202216063</v>
      </c>
      <c r="R217" s="8">
        <f t="shared" si="25"/>
        <v>-1505747.4570637115</v>
      </c>
      <c r="S217" s="4">
        <f t="shared" si="26"/>
        <v>296806.73684210522</v>
      </c>
      <c r="T217" s="4">
        <f t="shared" si="27"/>
        <v>-1.6842105222167447E-2</v>
      </c>
      <c r="U217" s="4">
        <v>56393.279999999999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353200</v>
      </c>
      <c r="AL217" s="3" t="s">
        <v>45</v>
      </c>
      <c r="AM217" s="3" t="s">
        <v>46</v>
      </c>
      <c r="AN217" s="3"/>
    </row>
    <row r="218" spans="1:40" s="5" customFormat="1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8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3"/>
      <c r="AM218" s="3"/>
      <c r="AN218" s="3"/>
    </row>
    <row r="219" spans="1:40" s="5" customFormat="1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8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3"/>
      <c r="AM219" s="3"/>
      <c r="AN219" s="3"/>
    </row>
    <row r="220" spans="1:40" s="5" customFormat="1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8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3"/>
      <c r="AM220" s="3"/>
      <c r="AN220" s="3"/>
    </row>
    <row r="221" spans="1:40" s="5" customFormat="1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8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3"/>
      <c r="AM221" s="3"/>
      <c r="AN221" s="3"/>
    </row>
    <row r="222" spans="1:40" s="3" customFormat="1" ht="12.75" x14ac:dyDescent="0.2">
      <c r="A222" s="3" t="s">
        <v>350</v>
      </c>
      <c r="B222" s="3" t="s">
        <v>509</v>
      </c>
      <c r="C222" s="3" t="s">
        <v>510</v>
      </c>
      <c r="D222" s="3" t="s">
        <v>252</v>
      </c>
      <c r="E222" s="3" t="s">
        <v>36</v>
      </c>
      <c r="F222" s="3" t="s">
        <v>37</v>
      </c>
      <c r="G222" s="3" t="s">
        <v>74</v>
      </c>
      <c r="H222" s="3" t="s">
        <v>507</v>
      </c>
      <c r="I222" s="3" t="s">
        <v>511</v>
      </c>
      <c r="J222" s="3" t="s">
        <v>190</v>
      </c>
      <c r="K222" s="3" t="s">
        <v>191</v>
      </c>
      <c r="L222" s="3" t="s">
        <v>43</v>
      </c>
      <c r="M222" s="3" t="s">
        <v>1010</v>
      </c>
      <c r="N222" s="3" t="s">
        <v>1020</v>
      </c>
      <c r="O222" s="3" t="s">
        <v>1002</v>
      </c>
      <c r="P222" s="3" t="s">
        <v>44</v>
      </c>
      <c r="Q222" s="3">
        <f>+S222/19*100</f>
        <v>203781.4404432133</v>
      </c>
      <c r="R222" s="8">
        <f>+AK222-Q222-S222</f>
        <v>-196424.92412742384</v>
      </c>
      <c r="S222" s="4">
        <f>+U222/19*100</f>
        <v>38718.473684210527</v>
      </c>
      <c r="T222" s="4">
        <f>+AK222-S222-U222</f>
        <v>6.3157894710457185E-3</v>
      </c>
      <c r="U222" s="4">
        <v>7356.51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46074.99</v>
      </c>
      <c r="AL222" s="3" t="s">
        <v>45</v>
      </c>
      <c r="AM222" s="3" t="s">
        <v>46</v>
      </c>
      <c r="AN222" s="5"/>
    </row>
    <row r="223" spans="1:40" s="3" customFormat="1" ht="12.75" x14ac:dyDescent="0.2">
      <c r="A223" s="3" t="s">
        <v>350</v>
      </c>
      <c r="B223" s="3" t="s">
        <v>516</v>
      </c>
      <c r="C223" s="3" t="s">
        <v>517</v>
      </c>
      <c r="D223" s="3" t="s">
        <v>252</v>
      </c>
      <c r="E223" s="3" t="s">
        <v>36</v>
      </c>
      <c r="F223" s="3" t="s">
        <v>37</v>
      </c>
      <c r="G223" s="3" t="s">
        <v>74</v>
      </c>
      <c r="H223" s="3" t="s">
        <v>507</v>
      </c>
      <c r="I223" s="3" t="s">
        <v>518</v>
      </c>
      <c r="J223" s="3" t="s">
        <v>190</v>
      </c>
      <c r="K223" s="3" t="s">
        <v>191</v>
      </c>
      <c r="L223" s="3" t="s">
        <v>43</v>
      </c>
      <c r="M223" s="3" t="s">
        <v>1010</v>
      </c>
      <c r="N223" s="3" t="s">
        <v>1020</v>
      </c>
      <c r="O223" s="3" t="s">
        <v>1002</v>
      </c>
      <c r="P223" s="3" t="s">
        <v>44</v>
      </c>
      <c r="Q223" s="3">
        <f>+S223/19*100</f>
        <v>89695.844875346273</v>
      </c>
      <c r="R223" s="8">
        <f>+AK223-Q223-S223</f>
        <v>-86457.805401662059</v>
      </c>
      <c r="S223" s="4">
        <f>+U223/19*100</f>
        <v>17042.21052631579</v>
      </c>
      <c r="T223" s="4">
        <f>+AK223-S223-U223</f>
        <v>1.9473684209970088E-2</v>
      </c>
      <c r="U223" s="4">
        <v>3238.02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20280.25</v>
      </c>
      <c r="AL223" s="3" t="s">
        <v>45</v>
      </c>
      <c r="AM223" s="3" t="s">
        <v>46</v>
      </c>
      <c r="AN223" s="5"/>
    </row>
    <row r="224" spans="1:40" x14ac:dyDescent="0.25">
      <c r="Q224" s="3"/>
      <c r="R224" s="8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6" spans="20:20" x14ac:dyDescent="0.25">
      <c r="T226" s="7">
        <f>+T224+S224</f>
        <v>0</v>
      </c>
    </row>
  </sheetData>
  <sortState xmlns:xlrd2="http://schemas.microsoft.com/office/spreadsheetml/2017/richdata2" ref="A146:AN226">
    <sortCondition ref="A146:A2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7294-D11B-459F-96CA-7418B2E71A81}">
  <dimension ref="A3:D68"/>
  <sheetViews>
    <sheetView topLeftCell="A41" workbookViewId="0">
      <selection activeCell="A3" sqref="A3:D67"/>
    </sheetView>
  </sheetViews>
  <sheetFormatPr baseColWidth="10" defaultRowHeight="15" x14ac:dyDescent="0.25"/>
  <cols>
    <col min="1" max="1" width="23.85546875" customWidth="1"/>
    <col min="2" max="2" width="33.42578125" customWidth="1"/>
    <col min="3" max="3" width="21.7109375" customWidth="1"/>
    <col min="4" max="4" width="15.85546875" bestFit="1" customWidth="1"/>
  </cols>
  <sheetData>
    <row r="3" spans="1:4" x14ac:dyDescent="0.25">
      <c r="A3" s="12" t="s">
        <v>1072</v>
      </c>
      <c r="B3" s="12" t="s">
        <v>1073</v>
      </c>
      <c r="C3" s="12" t="s">
        <v>1075</v>
      </c>
      <c r="D3" s="12" t="s">
        <v>1074</v>
      </c>
    </row>
    <row r="4" spans="1:4" x14ac:dyDescent="0.25">
      <c r="A4">
        <v>900276962</v>
      </c>
      <c r="B4" t="s">
        <v>1026</v>
      </c>
      <c r="C4" t="s">
        <v>1020</v>
      </c>
      <c r="D4" t="s">
        <v>1002</v>
      </c>
    </row>
    <row r="5" spans="1:4" x14ac:dyDescent="0.25">
      <c r="A5">
        <v>901873198</v>
      </c>
      <c r="B5" t="s">
        <v>1047</v>
      </c>
      <c r="C5" t="s">
        <v>1020</v>
      </c>
      <c r="D5" t="s">
        <v>1065</v>
      </c>
    </row>
    <row r="6" spans="1:4" x14ac:dyDescent="0.25">
      <c r="A6" t="s">
        <v>593</v>
      </c>
      <c r="B6" t="s">
        <v>1042</v>
      </c>
      <c r="C6" t="s">
        <v>1020</v>
      </c>
      <c r="D6" t="s">
        <v>1002</v>
      </c>
    </row>
    <row r="7" spans="1:4" x14ac:dyDescent="0.25">
      <c r="A7" t="s">
        <v>329</v>
      </c>
      <c r="B7" t="s">
        <v>1043</v>
      </c>
      <c r="C7" t="s">
        <v>1020</v>
      </c>
      <c r="D7" t="s">
        <v>1002</v>
      </c>
    </row>
    <row r="8" spans="1:4" x14ac:dyDescent="0.25">
      <c r="A8" t="s">
        <v>810</v>
      </c>
      <c r="B8" t="s">
        <v>1008</v>
      </c>
      <c r="C8" t="s">
        <v>1020</v>
      </c>
      <c r="D8" t="s">
        <v>1002</v>
      </c>
    </row>
    <row r="9" spans="1:4" x14ac:dyDescent="0.25">
      <c r="A9" t="s">
        <v>248</v>
      </c>
      <c r="B9" t="s">
        <v>1018</v>
      </c>
      <c r="C9" t="s">
        <v>1020</v>
      </c>
      <c r="D9" t="s">
        <v>1002</v>
      </c>
    </row>
    <row r="10" spans="1:4" x14ac:dyDescent="0.25">
      <c r="A10" t="s">
        <v>76</v>
      </c>
      <c r="B10" t="s">
        <v>1014</v>
      </c>
      <c r="C10" t="s">
        <v>1057</v>
      </c>
      <c r="D10" t="s">
        <v>1058</v>
      </c>
    </row>
    <row r="11" spans="1:4" x14ac:dyDescent="0.25">
      <c r="A11" t="s">
        <v>156</v>
      </c>
      <c r="B11" t="s">
        <v>1056</v>
      </c>
      <c r="C11" t="s">
        <v>1020</v>
      </c>
      <c r="D11" t="s">
        <v>1002</v>
      </c>
    </row>
    <row r="12" spans="1:4" x14ac:dyDescent="0.25">
      <c r="A12" t="s">
        <v>208</v>
      </c>
      <c r="B12" t="s">
        <v>1062</v>
      </c>
      <c r="C12" t="s">
        <v>1020</v>
      </c>
      <c r="D12" t="s">
        <v>1002</v>
      </c>
    </row>
    <row r="13" spans="1:4" x14ac:dyDescent="0.25">
      <c r="A13" t="s">
        <v>823</v>
      </c>
      <c r="B13" t="s">
        <v>1030</v>
      </c>
      <c r="C13" t="s">
        <v>1020</v>
      </c>
      <c r="D13" t="s">
        <v>1002</v>
      </c>
    </row>
    <row r="14" spans="1:4" x14ac:dyDescent="0.25">
      <c r="A14" t="s">
        <v>254</v>
      </c>
      <c r="B14" t="s">
        <v>1077</v>
      </c>
      <c r="C14" t="s">
        <v>1020</v>
      </c>
      <c r="D14" t="s">
        <v>1002</v>
      </c>
    </row>
    <row r="15" spans="1:4" x14ac:dyDescent="0.25">
      <c r="A15" t="s">
        <v>391</v>
      </c>
      <c r="B15" t="s">
        <v>1025</v>
      </c>
      <c r="C15" t="s">
        <v>1020</v>
      </c>
      <c r="D15" t="s">
        <v>1002</v>
      </c>
    </row>
    <row r="16" spans="1:4" x14ac:dyDescent="0.25">
      <c r="A16" t="s">
        <v>426</v>
      </c>
      <c r="B16" t="s">
        <v>1055</v>
      </c>
      <c r="C16" t="s">
        <v>1020</v>
      </c>
      <c r="D16" t="s">
        <v>1002</v>
      </c>
    </row>
    <row r="17" spans="1:4" x14ac:dyDescent="0.25">
      <c r="A17" t="s">
        <v>344</v>
      </c>
      <c r="B17" t="s">
        <v>1023</v>
      </c>
      <c r="C17" t="s">
        <v>1020</v>
      </c>
      <c r="D17" t="s">
        <v>1002</v>
      </c>
    </row>
    <row r="18" spans="1:4" x14ac:dyDescent="0.25">
      <c r="A18" t="s">
        <v>113</v>
      </c>
      <c r="B18" t="s">
        <v>1031</v>
      </c>
      <c r="C18" t="s">
        <v>1020</v>
      </c>
      <c r="D18" t="s">
        <v>1002</v>
      </c>
    </row>
    <row r="19" spans="1:4" x14ac:dyDescent="0.25">
      <c r="A19" t="s">
        <v>190</v>
      </c>
      <c r="B19" t="s">
        <v>1010</v>
      </c>
      <c r="C19" t="s">
        <v>1020</v>
      </c>
      <c r="D19" t="s">
        <v>1002</v>
      </c>
    </row>
    <row r="20" spans="1:4" x14ac:dyDescent="0.25">
      <c r="A20" t="s">
        <v>289</v>
      </c>
      <c r="B20" t="s">
        <v>1011</v>
      </c>
      <c r="C20" t="s">
        <v>1020</v>
      </c>
      <c r="D20" t="s">
        <v>1002</v>
      </c>
    </row>
    <row r="21" spans="1:4" x14ac:dyDescent="0.25">
      <c r="A21" t="s">
        <v>604</v>
      </c>
      <c r="B21" t="s">
        <v>1078</v>
      </c>
      <c r="C21" t="s">
        <v>1020</v>
      </c>
      <c r="D21" t="s">
        <v>1002</v>
      </c>
    </row>
    <row r="22" spans="1:4" x14ac:dyDescent="0.25">
      <c r="A22" t="s">
        <v>709</v>
      </c>
      <c r="B22" t="s">
        <v>1033</v>
      </c>
      <c r="C22" t="s">
        <v>1020</v>
      </c>
      <c r="D22" t="s">
        <v>1002</v>
      </c>
    </row>
    <row r="23" spans="1:4" x14ac:dyDescent="0.25">
      <c r="A23" t="s">
        <v>90</v>
      </c>
      <c r="B23" t="s">
        <v>1015</v>
      </c>
      <c r="C23" t="s">
        <v>1020</v>
      </c>
      <c r="D23" t="s">
        <v>1002</v>
      </c>
    </row>
    <row r="24" spans="1:4" x14ac:dyDescent="0.25">
      <c r="A24" t="s">
        <v>657</v>
      </c>
      <c r="B24" t="s">
        <v>1007</v>
      </c>
      <c r="C24" t="s">
        <v>1020</v>
      </c>
      <c r="D24" t="s">
        <v>1002</v>
      </c>
    </row>
    <row r="25" spans="1:4" x14ac:dyDescent="0.25">
      <c r="A25" t="s">
        <v>834</v>
      </c>
      <c r="B25" t="s">
        <v>1005</v>
      </c>
      <c r="C25" t="s">
        <v>1020</v>
      </c>
      <c r="D25" t="s">
        <v>1002</v>
      </c>
    </row>
    <row r="26" spans="1:4" x14ac:dyDescent="0.25">
      <c r="A26" t="s">
        <v>794</v>
      </c>
      <c r="B26" t="s">
        <v>1003</v>
      </c>
      <c r="C26" t="s">
        <v>1020</v>
      </c>
      <c r="D26" t="s">
        <v>1002</v>
      </c>
    </row>
    <row r="27" spans="1:4" x14ac:dyDescent="0.25">
      <c r="A27" t="s">
        <v>41</v>
      </c>
      <c r="B27" t="s">
        <v>1050</v>
      </c>
      <c r="C27" t="s">
        <v>1020</v>
      </c>
      <c r="D27" t="s">
        <v>1002</v>
      </c>
    </row>
    <row r="28" spans="1:4" x14ac:dyDescent="0.25">
      <c r="A28" t="s">
        <v>307</v>
      </c>
      <c r="B28" t="s">
        <v>1035</v>
      </c>
      <c r="C28" t="s">
        <v>1020</v>
      </c>
      <c r="D28" t="s">
        <v>1002</v>
      </c>
    </row>
    <row r="29" spans="1:4" x14ac:dyDescent="0.25">
      <c r="A29" t="s">
        <v>876</v>
      </c>
      <c r="B29" t="s">
        <v>1019</v>
      </c>
      <c r="C29" t="s">
        <v>1020</v>
      </c>
      <c r="D29" t="s">
        <v>1002</v>
      </c>
    </row>
    <row r="30" spans="1:4" x14ac:dyDescent="0.25">
      <c r="A30" t="s">
        <v>139</v>
      </c>
      <c r="B30" t="s">
        <v>1079</v>
      </c>
      <c r="C30" t="s">
        <v>1020</v>
      </c>
      <c r="D30" t="s">
        <v>1002</v>
      </c>
    </row>
    <row r="31" spans="1:4" x14ac:dyDescent="0.25">
      <c r="A31" t="s">
        <v>983</v>
      </c>
      <c r="B31" t="s">
        <v>1038</v>
      </c>
      <c r="C31" t="s">
        <v>1020</v>
      </c>
      <c r="D31" t="s">
        <v>1002</v>
      </c>
    </row>
    <row r="32" spans="1:4" x14ac:dyDescent="0.25">
      <c r="A32" t="s">
        <v>296</v>
      </c>
      <c r="B32" t="s">
        <v>1041</v>
      </c>
      <c r="C32" t="s">
        <v>1020</v>
      </c>
      <c r="D32" t="s">
        <v>1002</v>
      </c>
    </row>
    <row r="33" spans="1:4" x14ac:dyDescent="0.25">
      <c r="A33" t="s">
        <v>541</v>
      </c>
      <c r="B33" t="s">
        <v>1022</v>
      </c>
      <c r="C33" t="s">
        <v>1020</v>
      </c>
      <c r="D33" t="s">
        <v>1002</v>
      </c>
    </row>
    <row r="34" spans="1:4" x14ac:dyDescent="0.25">
      <c r="A34" t="s">
        <v>577</v>
      </c>
      <c r="B34" t="s">
        <v>1024</v>
      </c>
      <c r="C34" t="s">
        <v>1020</v>
      </c>
      <c r="D34" t="s">
        <v>1002</v>
      </c>
    </row>
    <row r="35" spans="1:4" x14ac:dyDescent="0.25">
      <c r="A35" t="s">
        <v>106</v>
      </c>
      <c r="B35" t="s">
        <v>1042</v>
      </c>
      <c r="C35" t="s">
        <v>1020</v>
      </c>
      <c r="D35" t="s">
        <v>1002</v>
      </c>
    </row>
    <row r="36" spans="1:4" x14ac:dyDescent="0.25">
      <c r="A36" t="s">
        <v>275</v>
      </c>
      <c r="B36" t="s">
        <v>1046</v>
      </c>
      <c r="C36" t="s">
        <v>1020</v>
      </c>
      <c r="D36" t="s">
        <v>1002</v>
      </c>
    </row>
    <row r="37" spans="1:4" x14ac:dyDescent="0.25">
      <c r="A37" t="s">
        <v>184</v>
      </c>
      <c r="B37" t="s">
        <v>1036</v>
      </c>
      <c r="C37" t="s">
        <v>1020</v>
      </c>
      <c r="D37" t="s">
        <v>1002</v>
      </c>
    </row>
    <row r="38" spans="1:4" x14ac:dyDescent="0.25">
      <c r="A38" t="s">
        <v>467</v>
      </c>
      <c r="B38" t="s">
        <v>1026</v>
      </c>
      <c r="C38" t="s">
        <v>1020</v>
      </c>
      <c r="D38" t="s">
        <v>1002</v>
      </c>
    </row>
    <row r="39" spans="1:4" x14ac:dyDescent="0.25">
      <c r="A39" t="s">
        <v>440</v>
      </c>
      <c r="B39" t="s">
        <v>1053</v>
      </c>
      <c r="C39" t="s">
        <v>1020</v>
      </c>
      <c r="D39" t="s">
        <v>1002</v>
      </c>
    </row>
    <row r="40" spans="1:4" x14ac:dyDescent="0.25">
      <c r="A40" t="s">
        <v>98</v>
      </c>
      <c r="B40" t="s">
        <v>1051</v>
      </c>
      <c r="C40" t="s">
        <v>1020</v>
      </c>
      <c r="D40" t="s">
        <v>1002</v>
      </c>
    </row>
    <row r="41" spans="1:4" x14ac:dyDescent="0.25">
      <c r="A41" t="s">
        <v>51</v>
      </c>
      <c r="B41" t="s">
        <v>1039</v>
      </c>
      <c r="C41" t="s">
        <v>1020</v>
      </c>
      <c r="D41" t="s">
        <v>1002</v>
      </c>
    </row>
    <row r="42" spans="1:4" x14ac:dyDescent="0.25">
      <c r="A42" t="s">
        <v>800</v>
      </c>
      <c r="B42" t="s">
        <v>997</v>
      </c>
      <c r="C42" t="s">
        <v>1020</v>
      </c>
      <c r="D42" t="s">
        <v>1002</v>
      </c>
    </row>
    <row r="43" spans="1:4" x14ac:dyDescent="0.25">
      <c r="A43" t="s">
        <v>146</v>
      </c>
      <c r="B43" t="s">
        <v>1044</v>
      </c>
      <c r="C43" t="s">
        <v>1020</v>
      </c>
      <c r="D43" t="s">
        <v>1002</v>
      </c>
    </row>
    <row r="44" spans="1:4" x14ac:dyDescent="0.25">
      <c r="A44" t="s">
        <v>923</v>
      </c>
      <c r="B44" t="s">
        <v>1032</v>
      </c>
      <c r="C44" t="s">
        <v>1020</v>
      </c>
      <c r="D44" t="s">
        <v>1002</v>
      </c>
    </row>
    <row r="45" spans="1:4" x14ac:dyDescent="0.25">
      <c r="A45" t="s">
        <v>964</v>
      </c>
      <c r="B45" t="s">
        <v>1049</v>
      </c>
      <c r="C45" t="s">
        <v>1020</v>
      </c>
      <c r="D45" t="s">
        <v>1002</v>
      </c>
    </row>
    <row r="46" spans="1:4" x14ac:dyDescent="0.25">
      <c r="A46" t="s">
        <v>433</v>
      </c>
      <c r="B46" t="s">
        <v>1001</v>
      </c>
      <c r="C46" t="s">
        <v>1020</v>
      </c>
      <c r="D46" t="s">
        <v>1002</v>
      </c>
    </row>
    <row r="47" spans="1:4" x14ac:dyDescent="0.25">
      <c r="A47" t="s">
        <v>318</v>
      </c>
      <c r="B47" t="s">
        <v>1060</v>
      </c>
      <c r="C47" t="s">
        <v>1020</v>
      </c>
      <c r="D47" t="s">
        <v>1002</v>
      </c>
    </row>
    <row r="48" spans="1:4" x14ac:dyDescent="0.25">
      <c r="A48" t="s">
        <v>419</v>
      </c>
      <c r="B48" t="s">
        <v>1017</v>
      </c>
      <c r="C48" t="s">
        <v>1020</v>
      </c>
      <c r="D48" t="s">
        <v>1002</v>
      </c>
    </row>
    <row r="49" spans="1:4" x14ac:dyDescent="0.25">
      <c r="A49" t="s">
        <v>760</v>
      </c>
      <c r="B49" t="s">
        <v>1048</v>
      </c>
      <c r="C49" t="s">
        <v>1020</v>
      </c>
      <c r="D49" t="s">
        <v>1002</v>
      </c>
    </row>
    <row r="50" spans="1:4" x14ac:dyDescent="0.25">
      <c r="A50" t="s">
        <v>613</v>
      </c>
      <c r="B50" t="s">
        <v>1063</v>
      </c>
      <c r="C50" t="s">
        <v>1020</v>
      </c>
      <c r="D50" t="s">
        <v>1002</v>
      </c>
    </row>
    <row r="51" spans="1:4" x14ac:dyDescent="0.25">
      <c r="A51" t="s">
        <v>732</v>
      </c>
      <c r="B51" t="s">
        <v>1028</v>
      </c>
      <c r="C51" t="s">
        <v>1020</v>
      </c>
      <c r="D51" t="s">
        <v>1002</v>
      </c>
    </row>
    <row r="52" spans="1:4" x14ac:dyDescent="0.25">
      <c r="A52" t="s">
        <v>669</v>
      </c>
      <c r="B52" t="s">
        <v>1021</v>
      </c>
      <c r="C52" t="s">
        <v>1020</v>
      </c>
      <c r="D52" t="s">
        <v>1002</v>
      </c>
    </row>
    <row r="53" spans="1:4" x14ac:dyDescent="0.25">
      <c r="A53" t="s">
        <v>217</v>
      </c>
      <c r="B53" t="s">
        <v>1045</v>
      </c>
      <c r="C53" t="s">
        <v>1020</v>
      </c>
      <c r="D53" t="s">
        <v>1002</v>
      </c>
    </row>
    <row r="54" spans="1:4" x14ac:dyDescent="0.25">
      <c r="A54" t="s">
        <v>67</v>
      </c>
      <c r="B54" t="s">
        <v>1006</v>
      </c>
      <c r="C54" t="s">
        <v>1020</v>
      </c>
      <c r="D54" t="s">
        <v>1002</v>
      </c>
    </row>
    <row r="55" spans="1:4" x14ac:dyDescent="0.25">
      <c r="A55" t="s">
        <v>723</v>
      </c>
      <c r="B55" t="s">
        <v>1052</v>
      </c>
      <c r="C55" t="s">
        <v>1020</v>
      </c>
      <c r="D55" t="s">
        <v>1002</v>
      </c>
    </row>
    <row r="56" spans="1:4" x14ac:dyDescent="0.25">
      <c r="A56" t="s">
        <v>59</v>
      </c>
      <c r="B56" t="s">
        <v>1040</v>
      </c>
      <c r="C56" t="s">
        <v>1020</v>
      </c>
      <c r="D56" t="s">
        <v>1002</v>
      </c>
    </row>
    <row r="57" spans="1:4" x14ac:dyDescent="0.25">
      <c r="A57" t="s">
        <v>662</v>
      </c>
      <c r="B57" t="s">
        <v>1077</v>
      </c>
      <c r="C57" t="s">
        <v>1020</v>
      </c>
      <c r="D57" t="s">
        <v>1002</v>
      </c>
    </row>
    <row r="58" spans="1:4" x14ac:dyDescent="0.25">
      <c r="A58" t="s">
        <v>849</v>
      </c>
      <c r="B58" t="s">
        <v>1004</v>
      </c>
      <c r="C58" t="s">
        <v>1020</v>
      </c>
      <c r="D58" t="s">
        <v>1002</v>
      </c>
    </row>
    <row r="59" spans="1:4" x14ac:dyDescent="0.25">
      <c r="A59" t="s">
        <v>125</v>
      </c>
      <c r="B59" t="s">
        <v>1059</v>
      </c>
      <c r="C59" t="s">
        <v>1020</v>
      </c>
      <c r="D59" t="s">
        <v>1002</v>
      </c>
    </row>
    <row r="60" spans="1:4" x14ac:dyDescent="0.25">
      <c r="A60" t="s">
        <v>474</v>
      </c>
      <c r="B60" t="s">
        <v>1029</v>
      </c>
      <c r="C60" t="s">
        <v>1020</v>
      </c>
      <c r="D60" t="s">
        <v>1002</v>
      </c>
    </row>
    <row r="61" spans="1:4" x14ac:dyDescent="0.25">
      <c r="A61" t="s">
        <v>715</v>
      </c>
      <c r="B61" t="s">
        <v>1064</v>
      </c>
      <c r="C61" t="s">
        <v>1020</v>
      </c>
      <c r="D61" t="s">
        <v>1065</v>
      </c>
    </row>
    <row r="62" spans="1:4" x14ac:dyDescent="0.25">
      <c r="A62" t="s">
        <v>527</v>
      </c>
      <c r="B62" t="s">
        <v>1034</v>
      </c>
      <c r="C62" t="s">
        <v>1020</v>
      </c>
      <c r="D62" t="s">
        <v>1002</v>
      </c>
    </row>
    <row r="63" spans="1:4" x14ac:dyDescent="0.25">
      <c r="A63" t="s">
        <v>236</v>
      </c>
      <c r="B63" t="s">
        <v>1061</v>
      </c>
      <c r="C63" t="s">
        <v>1020</v>
      </c>
      <c r="D63" t="s">
        <v>1002</v>
      </c>
    </row>
    <row r="64" spans="1:4" x14ac:dyDescent="0.25">
      <c r="A64" t="s">
        <v>397</v>
      </c>
      <c r="B64" t="s">
        <v>1012</v>
      </c>
      <c r="C64" t="s">
        <v>1020</v>
      </c>
      <c r="D64" t="s">
        <v>1002</v>
      </c>
    </row>
    <row r="65" spans="1:4" x14ac:dyDescent="0.25">
      <c r="A65" t="s">
        <v>132</v>
      </c>
      <c r="B65" t="s">
        <v>1047</v>
      </c>
      <c r="C65" t="s">
        <v>1020</v>
      </c>
      <c r="D65" t="s">
        <v>1002</v>
      </c>
    </row>
    <row r="66" spans="1:4" x14ac:dyDescent="0.25">
      <c r="D66" t="s">
        <v>1065</v>
      </c>
    </row>
    <row r="67" spans="1:4" x14ac:dyDescent="0.25">
      <c r="A67" t="s">
        <v>563</v>
      </c>
      <c r="B67" t="s">
        <v>1009</v>
      </c>
      <c r="C67" t="s">
        <v>1020</v>
      </c>
      <c r="D67" t="s">
        <v>1002</v>
      </c>
    </row>
    <row r="68" spans="1:4" x14ac:dyDescent="0.25">
      <c r="A68" t="s">
        <v>1076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8D1E-C144-402E-8A54-A56EF8C484B0}">
  <dimension ref="A2:G65"/>
  <sheetViews>
    <sheetView topLeftCell="A19" workbookViewId="0">
      <selection activeCell="A26" sqref="A1:A1048576"/>
    </sheetView>
  </sheetViews>
  <sheetFormatPr baseColWidth="10" defaultRowHeight="15" x14ac:dyDescent="0.25"/>
  <cols>
    <col min="1" max="1" width="15.85546875" customWidth="1"/>
    <col min="2" max="2" width="26.42578125" customWidth="1"/>
    <col min="3" max="3" width="20.140625" customWidth="1"/>
    <col min="4" max="4" width="35.140625" customWidth="1"/>
    <col min="5" max="6" width="11.42578125" style="15"/>
    <col min="7" max="7" width="56.5703125" customWidth="1"/>
  </cols>
  <sheetData>
    <row r="2" spans="1:7" x14ac:dyDescent="0.25">
      <c r="A2" s="9" t="s">
        <v>1072</v>
      </c>
      <c r="B2" s="9" t="s">
        <v>1073</v>
      </c>
      <c r="C2" s="9" t="s">
        <v>1075</v>
      </c>
      <c r="D2" s="9" t="s">
        <v>1074</v>
      </c>
      <c r="E2" s="16" t="s">
        <v>1075</v>
      </c>
      <c r="F2" s="16" t="s">
        <v>1080</v>
      </c>
      <c r="G2" s="11" t="s">
        <v>1085</v>
      </c>
    </row>
    <row r="3" spans="1:7" x14ac:dyDescent="0.25">
      <c r="A3" s="10">
        <v>900276962</v>
      </c>
      <c r="B3" s="13" t="s">
        <v>1026</v>
      </c>
      <c r="C3" t="s">
        <v>1020</v>
      </c>
      <c r="D3" t="s">
        <v>1002</v>
      </c>
      <c r="E3" s="15" t="s">
        <v>1081</v>
      </c>
      <c r="F3" s="15" t="s">
        <v>1082</v>
      </c>
      <c r="G3" t="s">
        <v>468</v>
      </c>
    </row>
    <row r="4" spans="1:7" x14ac:dyDescent="0.25">
      <c r="A4" s="10">
        <v>901873198</v>
      </c>
      <c r="B4" s="13" t="s">
        <v>1047</v>
      </c>
      <c r="C4" t="s">
        <v>1020</v>
      </c>
      <c r="D4" t="s">
        <v>1065</v>
      </c>
      <c r="E4" s="15" t="s">
        <v>1081</v>
      </c>
      <c r="F4" s="15" t="s">
        <v>1083</v>
      </c>
      <c r="G4" t="s">
        <v>197</v>
      </c>
    </row>
    <row r="5" spans="1:7" x14ac:dyDescent="0.25">
      <c r="A5" s="10">
        <v>32826857</v>
      </c>
      <c r="B5" s="13" t="s">
        <v>1042</v>
      </c>
      <c r="C5" t="s">
        <v>1020</v>
      </c>
      <c r="D5" t="s">
        <v>1002</v>
      </c>
      <c r="E5" s="15" t="s">
        <v>1081</v>
      </c>
      <c r="F5" s="15" t="s">
        <v>1082</v>
      </c>
      <c r="G5" t="s">
        <v>594</v>
      </c>
    </row>
    <row r="6" spans="1:7" x14ac:dyDescent="0.25">
      <c r="A6" s="10">
        <v>800051755</v>
      </c>
      <c r="B6" s="13" t="s">
        <v>1043</v>
      </c>
      <c r="C6" t="s">
        <v>1020</v>
      </c>
      <c r="D6" t="s">
        <v>1002</v>
      </c>
      <c r="E6" s="15" t="s">
        <v>1081</v>
      </c>
      <c r="F6" s="15" t="s">
        <v>1082</v>
      </c>
      <c r="G6" t="s">
        <v>330</v>
      </c>
    </row>
    <row r="7" spans="1:7" x14ac:dyDescent="0.25">
      <c r="A7" s="10">
        <v>800165377</v>
      </c>
      <c r="B7" s="13" t="s">
        <v>1008</v>
      </c>
      <c r="C7" t="s">
        <v>1020</v>
      </c>
      <c r="D7" t="s">
        <v>1002</v>
      </c>
      <c r="E7" s="15" t="s">
        <v>1081</v>
      </c>
      <c r="F7" s="15" t="s">
        <v>1082</v>
      </c>
      <c r="G7" t="s">
        <v>811</v>
      </c>
    </row>
    <row r="8" spans="1:7" x14ac:dyDescent="0.25">
      <c r="A8" s="10">
        <v>800165720</v>
      </c>
      <c r="B8" s="13" t="s">
        <v>1018</v>
      </c>
      <c r="C8" t="s">
        <v>1020</v>
      </c>
      <c r="D8" t="s">
        <v>1002</v>
      </c>
      <c r="E8" s="15" t="s">
        <v>1081</v>
      </c>
      <c r="F8" s="15" t="s">
        <v>1082</v>
      </c>
      <c r="G8" t="s">
        <v>249</v>
      </c>
    </row>
    <row r="9" spans="1:7" x14ac:dyDescent="0.25">
      <c r="A9" s="10">
        <v>800165815</v>
      </c>
      <c r="B9" s="13" t="s">
        <v>1014</v>
      </c>
      <c r="C9" t="s">
        <v>1057</v>
      </c>
      <c r="D9" t="s">
        <v>1058</v>
      </c>
      <c r="E9" s="15" t="s">
        <v>1084</v>
      </c>
      <c r="F9" s="15" t="s">
        <v>1082</v>
      </c>
      <c r="G9" t="s">
        <v>77</v>
      </c>
    </row>
    <row r="10" spans="1:7" x14ac:dyDescent="0.25">
      <c r="A10" s="10">
        <v>800242106</v>
      </c>
      <c r="B10" s="13" t="s">
        <v>1056</v>
      </c>
      <c r="C10" t="s">
        <v>1020</v>
      </c>
      <c r="D10" t="s">
        <v>1002</v>
      </c>
      <c r="E10" s="15" t="s">
        <v>1081</v>
      </c>
      <c r="F10" s="15" t="s">
        <v>1082</v>
      </c>
      <c r="G10" t="s">
        <v>157</v>
      </c>
    </row>
    <row r="11" spans="1:7" x14ac:dyDescent="0.25">
      <c r="A11" s="10">
        <v>802002267</v>
      </c>
      <c r="B11" s="13" t="s">
        <v>1062</v>
      </c>
      <c r="C11" t="s">
        <v>1020</v>
      </c>
      <c r="D11" t="s">
        <v>1002</v>
      </c>
      <c r="E11" s="15" t="s">
        <v>1081</v>
      </c>
      <c r="F11" s="15" t="s">
        <v>1082</v>
      </c>
      <c r="G11" t="s">
        <v>209</v>
      </c>
    </row>
    <row r="12" spans="1:7" x14ac:dyDescent="0.25">
      <c r="A12" s="10">
        <v>802003599</v>
      </c>
      <c r="B12" s="13" t="s">
        <v>1030</v>
      </c>
      <c r="C12" t="s">
        <v>1020</v>
      </c>
      <c r="D12" t="s">
        <v>1002</v>
      </c>
      <c r="E12" s="15" t="s">
        <v>1081</v>
      </c>
      <c r="F12" s="15" t="s">
        <v>1082</v>
      </c>
      <c r="G12" t="s">
        <v>824</v>
      </c>
    </row>
    <row r="13" spans="1:7" x14ac:dyDescent="0.25">
      <c r="A13" s="10">
        <v>802004266</v>
      </c>
      <c r="B13" s="13" t="s">
        <v>1077</v>
      </c>
      <c r="C13" t="s">
        <v>1020</v>
      </c>
      <c r="D13" t="s">
        <v>1002</v>
      </c>
      <c r="E13" s="15" t="s">
        <v>1081</v>
      </c>
      <c r="F13" s="15" t="s">
        <v>1082</v>
      </c>
      <c r="G13" t="s">
        <v>255</v>
      </c>
    </row>
    <row r="14" spans="1:7" x14ac:dyDescent="0.25">
      <c r="A14" s="10">
        <v>802006391</v>
      </c>
      <c r="B14" s="13" t="s">
        <v>1025</v>
      </c>
      <c r="C14" t="s">
        <v>1020</v>
      </c>
      <c r="D14" t="s">
        <v>1002</v>
      </c>
      <c r="E14" s="15" t="s">
        <v>1081</v>
      </c>
      <c r="F14" s="15" t="s">
        <v>1082</v>
      </c>
      <c r="G14" t="s">
        <v>392</v>
      </c>
    </row>
    <row r="15" spans="1:7" x14ac:dyDescent="0.25">
      <c r="A15" s="10">
        <v>802017066</v>
      </c>
      <c r="B15" s="13" t="s">
        <v>1055</v>
      </c>
      <c r="C15" t="s">
        <v>1020</v>
      </c>
      <c r="D15" t="s">
        <v>1002</v>
      </c>
      <c r="E15" s="15" t="s">
        <v>1081</v>
      </c>
      <c r="F15" s="15" t="s">
        <v>1082</v>
      </c>
      <c r="G15" t="s">
        <v>427</v>
      </c>
    </row>
    <row r="16" spans="1:7" x14ac:dyDescent="0.25">
      <c r="A16" s="10">
        <v>802023507</v>
      </c>
      <c r="B16" s="13" t="s">
        <v>1023</v>
      </c>
      <c r="C16" t="s">
        <v>1020</v>
      </c>
      <c r="D16" t="s">
        <v>1002</v>
      </c>
      <c r="E16" s="15" t="s">
        <v>1081</v>
      </c>
      <c r="F16" s="15" t="s">
        <v>1082</v>
      </c>
      <c r="G16" t="s">
        <v>345</v>
      </c>
    </row>
    <row r="17" spans="1:7" x14ac:dyDescent="0.25">
      <c r="A17" s="10">
        <v>811009788</v>
      </c>
      <c r="B17" s="13" t="s">
        <v>1031</v>
      </c>
      <c r="C17" t="s">
        <v>1020</v>
      </c>
      <c r="D17" t="s">
        <v>1002</v>
      </c>
      <c r="E17" s="15" t="s">
        <v>1081</v>
      </c>
      <c r="F17" s="15" t="s">
        <v>1082</v>
      </c>
      <c r="G17" t="s">
        <v>114</v>
      </c>
    </row>
    <row r="18" spans="1:7" x14ac:dyDescent="0.25">
      <c r="A18" s="10">
        <v>811028650</v>
      </c>
      <c r="B18" s="13" t="s">
        <v>1010</v>
      </c>
      <c r="C18" t="s">
        <v>1020</v>
      </c>
      <c r="D18" t="s">
        <v>1002</v>
      </c>
      <c r="E18" s="15" t="s">
        <v>1081</v>
      </c>
      <c r="F18" s="15" t="s">
        <v>1082</v>
      </c>
      <c r="G18" t="s">
        <v>191</v>
      </c>
    </row>
    <row r="19" spans="1:7" x14ac:dyDescent="0.25">
      <c r="A19" s="10">
        <v>816008774</v>
      </c>
      <c r="B19" s="13" t="s">
        <v>1011</v>
      </c>
      <c r="C19" t="s">
        <v>1020</v>
      </c>
      <c r="D19" t="s">
        <v>1002</v>
      </c>
      <c r="E19" s="15" t="s">
        <v>1081</v>
      </c>
      <c r="F19" s="15" t="s">
        <v>1082</v>
      </c>
      <c r="G19" t="s">
        <v>290</v>
      </c>
    </row>
    <row r="20" spans="1:7" x14ac:dyDescent="0.25">
      <c r="A20" s="10">
        <v>830087848</v>
      </c>
      <c r="B20" s="13" t="s">
        <v>1078</v>
      </c>
      <c r="C20" t="s">
        <v>1020</v>
      </c>
      <c r="D20" t="s">
        <v>1002</v>
      </c>
      <c r="E20" s="15" t="s">
        <v>1081</v>
      </c>
      <c r="F20" s="15" t="s">
        <v>1082</v>
      </c>
      <c r="G20" t="s">
        <v>605</v>
      </c>
    </row>
    <row r="21" spans="1:7" x14ac:dyDescent="0.25">
      <c r="A21" s="10">
        <v>860001307</v>
      </c>
      <c r="B21" s="13" t="s">
        <v>1033</v>
      </c>
      <c r="C21" t="s">
        <v>1020</v>
      </c>
      <c r="D21" t="s">
        <v>1002</v>
      </c>
      <c r="E21" s="15" t="s">
        <v>1081</v>
      </c>
      <c r="F21" s="15" t="s">
        <v>1082</v>
      </c>
      <c r="G21" t="s">
        <v>710</v>
      </c>
    </row>
    <row r="22" spans="1:7" x14ac:dyDescent="0.25">
      <c r="A22" s="10">
        <v>860001965</v>
      </c>
      <c r="B22" s="13" t="s">
        <v>1015</v>
      </c>
      <c r="C22" t="s">
        <v>1020</v>
      </c>
      <c r="D22" t="s">
        <v>1002</v>
      </c>
      <c r="E22" s="15" t="s">
        <v>1081</v>
      </c>
      <c r="F22" s="15" t="s">
        <v>1082</v>
      </c>
      <c r="G22" t="s">
        <v>91</v>
      </c>
    </row>
    <row r="23" spans="1:7" x14ac:dyDescent="0.25">
      <c r="A23" s="10">
        <v>860002536</v>
      </c>
      <c r="B23" s="13" t="s">
        <v>1007</v>
      </c>
      <c r="C23" t="s">
        <v>1020</v>
      </c>
      <c r="D23" t="s">
        <v>1002</v>
      </c>
      <c r="E23" s="15" t="s">
        <v>1081</v>
      </c>
      <c r="F23" s="15" t="s">
        <v>1082</v>
      </c>
      <c r="G23" t="s">
        <v>658</v>
      </c>
    </row>
    <row r="24" spans="1:7" x14ac:dyDescent="0.25">
      <c r="A24" s="10">
        <v>860039794</v>
      </c>
      <c r="B24" s="13" t="s">
        <v>1005</v>
      </c>
      <c r="C24" t="s">
        <v>1020</v>
      </c>
      <c r="D24" t="s">
        <v>1002</v>
      </c>
      <c r="E24" s="15" t="s">
        <v>1081</v>
      </c>
      <c r="F24" s="15" t="s">
        <v>1082</v>
      </c>
      <c r="G24" t="s">
        <v>835</v>
      </c>
    </row>
    <row r="25" spans="1:7" x14ac:dyDescent="0.25">
      <c r="A25" s="10">
        <v>860500480</v>
      </c>
      <c r="B25" s="13" t="s">
        <v>1003</v>
      </c>
      <c r="C25" t="s">
        <v>1020</v>
      </c>
      <c r="D25" t="s">
        <v>1002</v>
      </c>
      <c r="E25" s="15" t="s">
        <v>1081</v>
      </c>
      <c r="F25" s="15" t="s">
        <v>1082</v>
      </c>
      <c r="G25" t="s">
        <v>795</v>
      </c>
    </row>
    <row r="26" spans="1:7" x14ac:dyDescent="0.25">
      <c r="A26" s="10">
        <v>860503159</v>
      </c>
      <c r="B26" s="13" t="s">
        <v>1050</v>
      </c>
      <c r="C26" t="s">
        <v>1020</v>
      </c>
      <c r="D26" t="s">
        <v>1002</v>
      </c>
      <c r="E26" s="15" t="s">
        <v>1081</v>
      </c>
      <c r="F26" s="15" t="s">
        <v>1082</v>
      </c>
      <c r="G26" t="s">
        <v>42</v>
      </c>
    </row>
    <row r="27" spans="1:7" x14ac:dyDescent="0.25">
      <c r="A27" s="10">
        <v>8674041</v>
      </c>
      <c r="B27" s="13" t="s">
        <v>1035</v>
      </c>
      <c r="C27" t="s">
        <v>1020</v>
      </c>
      <c r="D27" t="s">
        <v>1002</v>
      </c>
      <c r="E27" s="15" t="s">
        <v>1081</v>
      </c>
      <c r="F27" s="15" t="s">
        <v>1082</v>
      </c>
      <c r="G27" t="s">
        <v>308</v>
      </c>
    </row>
    <row r="28" spans="1:7" x14ac:dyDescent="0.25">
      <c r="A28" s="10">
        <v>890102010</v>
      </c>
      <c r="B28" s="13" t="s">
        <v>1019</v>
      </c>
      <c r="C28" t="s">
        <v>1020</v>
      </c>
      <c r="D28" t="s">
        <v>1002</v>
      </c>
      <c r="E28" s="15" t="s">
        <v>1081</v>
      </c>
      <c r="F28" s="15" t="s">
        <v>1082</v>
      </c>
      <c r="G28" t="s">
        <v>877</v>
      </c>
    </row>
    <row r="29" spans="1:7" x14ac:dyDescent="0.25">
      <c r="A29" s="10">
        <v>890102603</v>
      </c>
      <c r="B29" s="13" t="s">
        <v>1038</v>
      </c>
      <c r="C29" t="s">
        <v>1020</v>
      </c>
      <c r="D29" t="s">
        <v>1002</v>
      </c>
      <c r="E29" s="15" t="s">
        <v>1081</v>
      </c>
      <c r="F29" s="15" t="s">
        <v>1082</v>
      </c>
      <c r="G29" t="s">
        <v>140</v>
      </c>
    </row>
    <row r="30" spans="1:7" x14ac:dyDescent="0.25">
      <c r="A30" s="10">
        <v>890115118</v>
      </c>
      <c r="B30" s="13" t="s">
        <v>1038</v>
      </c>
      <c r="C30" t="s">
        <v>1020</v>
      </c>
      <c r="D30" t="s">
        <v>1002</v>
      </c>
      <c r="E30" s="15" t="s">
        <v>1081</v>
      </c>
      <c r="F30" s="15" t="s">
        <v>1082</v>
      </c>
      <c r="G30" t="s">
        <v>984</v>
      </c>
    </row>
    <row r="31" spans="1:7" x14ac:dyDescent="0.25">
      <c r="A31" s="10">
        <v>890115294</v>
      </c>
      <c r="B31" s="13" t="s">
        <v>1041</v>
      </c>
      <c r="C31" t="s">
        <v>1020</v>
      </c>
      <c r="D31" t="s">
        <v>1002</v>
      </c>
      <c r="E31" s="15" t="s">
        <v>1081</v>
      </c>
      <c r="F31" s="15" t="s">
        <v>1082</v>
      </c>
      <c r="G31" t="s">
        <v>297</v>
      </c>
    </row>
    <row r="32" spans="1:7" x14ac:dyDescent="0.25">
      <c r="A32" s="10">
        <v>890900943</v>
      </c>
      <c r="B32" s="13" t="s">
        <v>1022</v>
      </c>
      <c r="C32" t="s">
        <v>1020</v>
      </c>
      <c r="D32" t="s">
        <v>1002</v>
      </c>
      <c r="E32" s="15" t="s">
        <v>1081</v>
      </c>
      <c r="F32" s="15" t="s">
        <v>1082</v>
      </c>
      <c r="G32" t="s">
        <v>542</v>
      </c>
    </row>
    <row r="33" spans="1:7" x14ac:dyDescent="0.25">
      <c r="A33" s="10">
        <v>900021337</v>
      </c>
      <c r="B33" s="13" t="s">
        <v>1024</v>
      </c>
      <c r="C33" t="s">
        <v>1020</v>
      </c>
      <c r="D33" t="s">
        <v>1002</v>
      </c>
      <c r="E33" s="15" t="s">
        <v>1081</v>
      </c>
      <c r="F33" s="15" t="s">
        <v>1082</v>
      </c>
      <c r="G33" t="s">
        <v>578</v>
      </c>
    </row>
    <row r="34" spans="1:7" x14ac:dyDescent="0.25">
      <c r="A34" s="10">
        <v>900059238</v>
      </c>
      <c r="B34" s="13" t="s">
        <v>1042</v>
      </c>
      <c r="C34" t="s">
        <v>1020</v>
      </c>
      <c r="D34" t="s">
        <v>1002</v>
      </c>
      <c r="E34" s="15" t="s">
        <v>1081</v>
      </c>
      <c r="F34" s="15" t="s">
        <v>1082</v>
      </c>
      <c r="G34" t="s">
        <v>107</v>
      </c>
    </row>
    <row r="35" spans="1:7" x14ac:dyDescent="0.25">
      <c r="A35" s="10">
        <v>900214193</v>
      </c>
      <c r="B35" s="13" t="s">
        <v>1046</v>
      </c>
      <c r="C35" t="s">
        <v>1020</v>
      </c>
      <c r="D35" t="s">
        <v>1002</v>
      </c>
      <c r="E35" s="15" t="s">
        <v>1081</v>
      </c>
      <c r="F35" s="15" t="s">
        <v>1082</v>
      </c>
      <c r="G35" t="s">
        <v>276</v>
      </c>
    </row>
    <row r="36" spans="1:7" x14ac:dyDescent="0.25">
      <c r="A36" s="10">
        <v>900230625</v>
      </c>
      <c r="B36" s="13" t="s">
        <v>1036</v>
      </c>
      <c r="C36" t="s">
        <v>1020</v>
      </c>
      <c r="D36" t="s">
        <v>1002</v>
      </c>
      <c r="E36" s="15" t="s">
        <v>1081</v>
      </c>
      <c r="F36" s="15" t="s">
        <v>1082</v>
      </c>
      <c r="G36" t="s">
        <v>185</v>
      </c>
    </row>
    <row r="37" spans="1:7" x14ac:dyDescent="0.25">
      <c r="A37" s="10">
        <v>900276962</v>
      </c>
      <c r="B37" s="13" t="s">
        <v>1026</v>
      </c>
      <c r="C37" t="s">
        <v>1020</v>
      </c>
      <c r="D37" t="s">
        <v>1002</v>
      </c>
      <c r="E37" s="15" t="s">
        <v>1081</v>
      </c>
      <c r="F37" s="15" t="s">
        <v>1082</v>
      </c>
      <c r="G37" t="s">
        <v>468</v>
      </c>
    </row>
    <row r="38" spans="1:7" x14ac:dyDescent="0.25">
      <c r="A38" s="10">
        <v>900309367</v>
      </c>
      <c r="B38" s="13" t="s">
        <v>1053</v>
      </c>
      <c r="C38" t="s">
        <v>1020</v>
      </c>
      <c r="D38" t="s">
        <v>1002</v>
      </c>
      <c r="E38" s="15" t="s">
        <v>1081</v>
      </c>
      <c r="F38" s="15" t="s">
        <v>1082</v>
      </c>
      <c r="G38" t="s">
        <v>441</v>
      </c>
    </row>
    <row r="39" spans="1:7" x14ac:dyDescent="0.25">
      <c r="A39" s="10">
        <v>900319753</v>
      </c>
      <c r="B39" s="13" t="s">
        <v>1051</v>
      </c>
      <c r="C39" t="s">
        <v>1020</v>
      </c>
      <c r="D39" t="s">
        <v>1002</v>
      </c>
      <c r="E39" s="15" t="s">
        <v>1081</v>
      </c>
      <c r="F39" s="15" t="s">
        <v>1082</v>
      </c>
      <c r="G39" t="s">
        <v>99</v>
      </c>
    </row>
    <row r="40" spans="1:7" x14ac:dyDescent="0.25">
      <c r="A40" s="10">
        <v>900355557</v>
      </c>
      <c r="B40" s="13" t="s">
        <v>1039</v>
      </c>
      <c r="C40" t="s">
        <v>1020</v>
      </c>
      <c r="D40" t="s">
        <v>1002</v>
      </c>
      <c r="E40" s="15" t="s">
        <v>1081</v>
      </c>
      <c r="F40" s="15" t="s">
        <v>1082</v>
      </c>
      <c r="G40" t="s">
        <v>52</v>
      </c>
    </row>
    <row r="41" spans="1:7" x14ac:dyDescent="0.25">
      <c r="A41" s="10">
        <v>900383711</v>
      </c>
      <c r="B41" s="13" t="s">
        <v>997</v>
      </c>
      <c r="C41" t="s">
        <v>1020</v>
      </c>
      <c r="D41" t="s">
        <v>1002</v>
      </c>
      <c r="E41" s="15" t="s">
        <v>1081</v>
      </c>
      <c r="F41" s="15" t="s">
        <v>1082</v>
      </c>
      <c r="G41" t="s">
        <v>801</v>
      </c>
    </row>
    <row r="42" spans="1:7" x14ac:dyDescent="0.25">
      <c r="A42" s="10">
        <v>900480569</v>
      </c>
      <c r="B42" s="13" t="s">
        <v>1044</v>
      </c>
      <c r="C42" t="s">
        <v>1020</v>
      </c>
      <c r="D42" t="s">
        <v>1002</v>
      </c>
      <c r="E42" s="15" t="s">
        <v>1081</v>
      </c>
      <c r="F42" s="15" t="s">
        <v>1082</v>
      </c>
      <c r="G42" t="s">
        <v>147</v>
      </c>
    </row>
    <row r="43" spans="1:7" x14ac:dyDescent="0.25">
      <c r="A43" s="10">
        <v>900576130</v>
      </c>
      <c r="B43" s="13" t="s">
        <v>1032</v>
      </c>
      <c r="C43" t="s">
        <v>1020</v>
      </c>
      <c r="D43" t="s">
        <v>1002</v>
      </c>
      <c r="E43" s="15" t="s">
        <v>1081</v>
      </c>
      <c r="F43" s="15" t="s">
        <v>1082</v>
      </c>
      <c r="G43" t="s">
        <v>924</v>
      </c>
    </row>
    <row r="44" spans="1:7" x14ac:dyDescent="0.25">
      <c r="A44" s="10">
        <v>900781464</v>
      </c>
      <c r="B44" s="13" t="s">
        <v>1049</v>
      </c>
      <c r="C44" t="s">
        <v>1020</v>
      </c>
      <c r="D44" t="s">
        <v>1002</v>
      </c>
      <c r="E44" s="15" t="s">
        <v>1081</v>
      </c>
      <c r="F44" s="15" t="s">
        <v>1082</v>
      </c>
      <c r="G44" t="s">
        <v>965</v>
      </c>
    </row>
    <row r="45" spans="1:7" x14ac:dyDescent="0.25">
      <c r="A45" s="10">
        <v>900834289</v>
      </c>
      <c r="B45" s="13" t="s">
        <v>1001</v>
      </c>
      <c r="C45" t="s">
        <v>1020</v>
      </c>
      <c r="D45" t="s">
        <v>1002</v>
      </c>
      <c r="E45" s="15" t="s">
        <v>1081</v>
      </c>
      <c r="F45" s="15" t="s">
        <v>1082</v>
      </c>
      <c r="G45" t="s">
        <v>434</v>
      </c>
    </row>
    <row r="46" spans="1:7" x14ac:dyDescent="0.25">
      <c r="A46" s="10">
        <v>900943243</v>
      </c>
      <c r="B46" s="13" t="s">
        <v>1060</v>
      </c>
      <c r="C46" t="s">
        <v>1020</v>
      </c>
      <c r="D46" t="s">
        <v>1002</v>
      </c>
      <c r="E46" s="15" t="s">
        <v>1081</v>
      </c>
      <c r="F46" s="15" t="s">
        <v>1082</v>
      </c>
      <c r="G46" t="s">
        <v>319</v>
      </c>
    </row>
    <row r="47" spans="1:7" x14ac:dyDescent="0.25">
      <c r="A47" s="10">
        <v>900986550</v>
      </c>
      <c r="B47" s="13" t="s">
        <v>1017</v>
      </c>
      <c r="C47" t="s">
        <v>1020</v>
      </c>
      <c r="D47" t="s">
        <v>1002</v>
      </c>
      <c r="E47" s="15" t="s">
        <v>1081</v>
      </c>
      <c r="F47" s="15" t="s">
        <v>1082</v>
      </c>
      <c r="G47" t="s">
        <v>420</v>
      </c>
    </row>
    <row r="48" spans="1:7" x14ac:dyDescent="0.25">
      <c r="A48" s="10">
        <v>901185697</v>
      </c>
      <c r="B48" s="13" t="s">
        <v>1048</v>
      </c>
      <c r="C48" t="s">
        <v>1020</v>
      </c>
      <c r="D48" t="s">
        <v>1002</v>
      </c>
      <c r="E48" s="15" t="s">
        <v>1081</v>
      </c>
      <c r="F48" s="15" t="s">
        <v>1082</v>
      </c>
      <c r="G48" t="s">
        <v>761</v>
      </c>
    </row>
    <row r="49" spans="1:7" x14ac:dyDescent="0.25">
      <c r="A49" s="10">
        <v>901213535</v>
      </c>
      <c r="B49" s="13" t="s">
        <v>1063</v>
      </c>
      <c r="C49" t="s">
        <v>1020</v>
      </c>
      <c r="D49" t="s">
        <v>1002</v>
      </c>
      <c r="E49" s="15" t="s">
        <v>1081</v>
      </c>
      <c r="F49" s="15" t="s">
        <v>1082</v>
      </c>
      <c r="G49" t="s">
        <v>614</v>
      </c>
    </row>
    <row r="50" spans="1:7" x14ac:dyDescent="0.25">
      <c r="A50" s="10">
        <v>901229957</v>
      </c>
      <c r="B50" s="13" t="s">
        <v>1028</v>
      </c>
      <c r="C50" t="s">
        <v>1020</v>
      </c>
      <c r="D50" t="s">
        <v>1002</v>
      </c>
      <c r="E50" s="15" t="s">
        <v>1081</v>
      </c>
      <c r="F50" s="15" t="s">
        <v>1082</v>
      </c>
      <c r="G50" t="s">
        <v>733</v>
      </c>
    </row>
    <row r="51" spans="1:7" x14ac:dyDescent="0.25">
      <c r="A51" s="10">
        <v>901300741</v>
      </c>
      <c r="B51" s="13" t="s">
        <v>1021</v>
      </c>
      <c r="C51" t="s">
        <v>1020</v>
      </c>
      <c r="D51" t="s">
        <v>1002</v>
      </c>
      <c r="E51" s="15" t="s">
        <v>1081</v>
      </c>
      <c r="F51" s="15" t="s">
        <v>1082</v>
      </c>
      <c r="G51" t="s">
        <v>670</v>
      </c>
    </row>
    <row r="52" spans="1:7" x14ac:dyDescent="0.25">
      <c r="A52" s="10">
        <v>901316914</v>
      </c>
      <c r="B52" s="13" t="s">
        <v>1045</v>
      </c>
      <c r="C52" t="s">
        <v>1020</v>
      </c>
      <c r="D52" t="s">
        <v>1002</v>
      </c>
      <c r="E52" s="15" t="s">
        <v>1081</v>
      </c>
      <c r="F52" s="15" t="s">
        <v>1082</v>
      </c>
      <c r="G52" t="s">
        <v>218</v>
      </c>
    </row>
    <row r="53" spans="1:7" x14ac:dyDescent="0.25">
      <c r="A53" s="10">
        <v>901320114</v>
      </c>
      <c r="B53" s="13" t="s">
        <v>1006</v>
      </c>
      <c r="C53" t="s">
        <v>1020</v>
      </c>
      <c r="D53" t="s">
        <v>1002</v>
      </c>
      <c r="E53" s="15" t="s">
        <v>1081</v>
      </c>
      <c r="F53" s="15" t="s">
        <v>1082</v>
      </c>
      <c r="G53" t="s">
        <v>68</v>
      </c>
    </row>
    <row r="54" spans="1:7" x14ac:dyDescent="0.25">
      <c r="A54" s="10">
        <v>901435329</v>
      </c>
      <c r="B54" s="13" t="s">
        <v>1052</v>
      </c>
      <c r="C54" t="s">
        <v>1020</v>
      </c>
      <c r="D54" t="s">
        <v>1002</v>
      </c>
      <c r="E54" s="15" t="s">
        <v>1081</v>
      </c>
      <c r="F54" s="15" t="s">
        <v>1082</v>
      </c>
      <c r="G54" t="s">
        <v>724</v>
      </c>
    </row>
    <row r="55" spans="1:7" x14ac:dyDescent="0.25">
      <c r="A55" s="10">
        <v>901484212</v>
      </c>
      <c r="B55" s="13" t="s">
        <v>1040</v>
      </c>
      <c r="C55" t="s">
        <v>1020</v>
      </c>
      <c r="D55" t="s">
        <v>1002</v>
      </c>
      <c r="E55" s="15" t="s">
        <v>1081</v>
      </c>
      <c r="F55" s="15" t="s">
        <v>1082</v>
      </c>
      <c r="G55" t="s">
        <v>60</v>
      </c>
    </row>
    <row r="56" spans="1:7" x14ac:dyDescent="0.25">
      <c r="A56" s="10">
        <v>901515225</v>
      </c>
      <c r="B56" s="13" t="s">
        <v>1077</v>
      </c>
      <c r="C56" t="s">
        <v>1020</v>
      </c>
      <c r="D56" t="s">
        <v>1002</v>
      </c>
      <c r="E56" s="15" t="s">
        <v>1081</v>
      </c>
      <c r="F56" s="15" t="s">
        <v>1082</v>
      </c>
      <c r="G56" t="s">
        <v>663</v>
      </c>
    </row>
    <row r="57" spans="1:7" x14ac:dyDescent="0.25">
      <c r="A57" s="10">
        <v>901565698</v>
      </c>
      <c r="B57" s="13" t="s">
        <v>1004</v>
      </c>
      <c r="C57" t="s">
        <v>1020</v>
      </c>
      <c r="D57" t="s">
        <v>1002</v>
      </c>
      <c r="E57" s="15" t="s">
        <v>1081</v>
      </c>
      <c r="F57" s="15" t="s">
        <v>1082</v>
      </c>
      <c r="G57" t="s">
        <v>850</v>
      </c>
    </row>
    <row r="58" spans="1:7" x14ac:dyDescent="0.25">
      <c r="A58" s="10">
        <v>901571419</v>
      </c>
      <c r="B58" s="13" t="s">
        <v>1059</v>
      </c>
      <c r="C58" t="s">
        <v>1020</v>
      </c>
      <c r="D58" t="s">
        <v>1002</v>
      </c>
      <c r="E58" s="15" t="s">
        <v>1081</v>
      </c>
      <c r="F58" s="15" t="s">
        <v>1082</v>
      </c>
      <c r="G58" t="s">
        <v>126</v>
      </c>
    </row>
    <row r="59" spans="1:7" x14ac:dyDescent="0.25">
      <c r="A59" s="10">
        <v>901639056</v>
      </c>
      <c r="B59" s="13" t="s">
        <v>1029</v>
      </c>
      <c r="C59" t="s">
        <v>1020</v>
      </c>
      <c r="D59" t="s">
        <v>1002</v>
      </c>
      <c r="E59" s="15" t="s">
        <v>1081</v>
      </c>
      <c r="F59" s="15" t="s">
        <v>1082</v>
      </c>
      <c r="G59" t="s">
        <v>475</v>
      </c>
    </row>
    <row r="60" spans="1:7" x14ac:dyDescent="0.25">
      <c r="A60" s="10">
        <v>901787342</v>
      </c>
      <c r="B60" s="13" t="s">
        <v>1064</v>
      </c>
      <c r="C60" t="s">
        <v>1020</v>
      </c>
      <c r="D60" t="s">
        <v>1065</v>
      </c>
      <c r="E60" s="15" t="s">
        <v>1081</v>
      </c>
      <c r="F60" s="15" t="s">
        <v>1083</v>
      </c>
      <c r="G60" t="s">
        <v>716</v>
      </c>
    </row>
    <row r="61" spans="1:7" x14ac:dyDescent="0.25">
      <c r="A61" s="10">
        <v>901793368</v>
      </c>
      <c r="B61" s="13" t="s">
        <v>1034</v>
      </c>
      <c r="C61" t="s">
        <v>1020</v>
      </c>
      <c r="D61" t="s">
        <v>1002</v>
      </c>
      <c r="E61" s="15" t="s">
        <v>1081</v>
      </c>
      <c r="F61" s="15" t="s">
        <v>1082</v>
      </c>
      <c r="G61" t="s">
        <v>528</v>
      </c>
    </row>
    <row r="62" spans="1:7" x14ac:dyDescent="0.25">
      <c r="A62" s="10">
        <v>901844029</v>
      </c>
      <c r="B62" s="13" t="s">
        <v>1061</v>
      </c>
      <c r="C62" t="s">
        <v>1020</v>
      </c>
      <c r="D62" t="s">
        <v>1002</v>
      </c>
      <c r="E62" s="15" t="s">
        <v>1081</v>
      </c>
      <c r="F62" s="15" t="s">
        <v>1082</v>
      </c>
      <c r="G62" t="s">
        <v>237</v>
      </c>
    </row>
    <row r="63" spans="1:7" x14ac:dyDescent="0.25">
      <c r="A63" s="10">
        <v>901869171</v>
      </c>
      <c r="B63" s="13" t="s">
        <v>1012</v>
      </c>
      <c r="C63" t="s">
        <v>1020</v>
      </c>
      <c r="D63" t="s">
        <v>1002</v>
      </c>
      <c r="E63" s="15" t="s">
        <v>1081</v>
      </c>
      <c r="F63" s="15" t="s">
        <v>1082</v>
      </c>
      <c r="G63" t="s">
        <v>398</v>
      </c>
    </row>
    <row r="64" spans="1:7" x14ac:dyDescent="0.25">
      <c r="A64" s="10">
        <v>901873198</v>
      </c>
      <c r="B64" s="13" t="s">
        <v>1047</v>
      </c>
      <c r="C64" t="s">
        <v>1020</v>
      </c>
      <c r="D64" t="s">
        <v>1002</v>
      </c>
      <c r="E64" s="15" t="s">
        <v>1081</v>
      </c>
      <c r="F64" s="15" t="s">
        <v>1082</v>
      </c>
      <c r="G64" t="s">
        <v>197</v>
      </c>
    </row>
    <row r="65" spans="1:7" x14ac:dyDescent="0.25">
      <c r="A65" s="14">
        <v>901905997</v>
      </c>
      <c r="B65" t="s">
        <v>1009</v>
      </c>
      <c r="C65" t="s">
        <v>1020</v>
      </c>
      <c r="D65" t="s">
        <v>1002</v>
      </c>
      <c r="E65" s="15" t="s">
        <v>1081</v>
      </c>
      <c r="F65" s="15" t="s">
        <v>1082</v>
      </c>
      <c r="G65" t="s">
        <v>564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9396-3C92-4D57-AC5B-B138B60E91FD}">
  <dimension ref="A1:B65"/>
  <sheetViews>
    <sheetView workbookViewId="0">
      <selection activeCell="B53" sqref="B53"/>
    </sheetView>
  </sheetViews>
  <sheetFormatPr baseColWidth="10" defaultRowHeight="15" x14ac:dyDescent="0.25"/>
  <cols>
    <col min="2" max="2" width="62.7109375" customWidth="1"/>
  </cols>
  <sheetData>
    <row r="1" spans="1:2" x14ac:dyDescent="0.25">
      <c r="A1" t="s">
        <v>1072</v>
      </c>
      <c r="B1" t="s">
        <v>1085</v>
      </c>
    </row>
    <row r="2" spans="1:2" x14ac:dyDescent="0.25">
      <c r="A2" s="10">
        <v>800165377</v>
      </c>
      <c r="B2" t="s">
        <v>811</v>
      </c>
    </row>
    <row r="3" spans="1:2" x14ac:dyDescent="0.25">
      <c r="A3" s="10">
        <v>800165815</v>
      </c>
      <c r="B3" t="s">
        <v>77</v>
      </c>
    </row>
    <row r="4" spans="1:2" x14ac:dyDescent="0.25">
      <c r="A4" s="10">
        <v>802004266</v>
      </c>
      <c r="B4" t="s">
        <v>255</v>
      </c>
    </row>
    <row r="5" spans="1:2" x14ac:dyDescent="0.25">
      <c r="A5" s="10">
        <v>811028650</v>
      </c>
      <c r="B5" t="s">
        <v>191</v>
      </c>
    </row>
    <row r="6" spans="1:2" x14ac:dyDescent="0.25">
      <c r="A6" s="10">
        <v>816008774</v>
      </c>
      <c r="B6" t="s">
        <v>290</v>
      </c>
    </row>
    <row r="7" spans="1:2" x14ac:dyDescent="0.25">
      <c r="A7" s="10">
        <v>830087848</v>
      </c>
      <c r="B7" t="s">
        <v>605</v>
      </c>
    </row>
    <row r="8" spans="1:2" x14ac:dyDescent="0.25">
      <c r="A8" s="10">
        <v>860001965</v>
      </c>
      <c r="B8" t="s">
        <v>91</v>
      </c>
    </row>
    <row r="9" spans="1:2" x14ac:dyDescent="0.25">
      <c r="A9" s="10">
        <v>860002536</v>
      </c>
      <c r="B9" t="s">
        <v>658</v>
      </c>
    </row>
    <row r="10" spans="1:2" x14ac:dyDescent="0.25">
      <c r="A10" s="10">
        <v>860500480</v>
      </c>
      <c r="B10" t="s">
        <v>795</v>
      </c>
    </row>
    <row r="11" spans="1:2" x14ac:dyDescent="0.25">
      <c r="A11" s="10">
        <v>900383711</v>
      </c>
      <c r="B11" t="s">
        <v>801</v>
      </c>
    </row>
    <row r="12" spans="1:2" x14ac:dyDescent="0.25">
      <c r="A12" s="10">
        <v>900834289</v>
      </c>
      <c r="B12" t="s">
        <v>434</v>
      </c>
    </row>
    <row r="13" spans="1:2" x14ac:dyDescent="0.25">
      <c r="A13" s="10">
        <v>900986550</v>
      </c>
      <c r="B13" t="s">
        <v>420</v>
      </c>
    </row>
    <row r="14" spans="1:2" x14ac:dyDescent="0.25">
      <c r="A14" s="10">
        <v>901229957</v>
      </c>
      <c r="B14" t="s">
        <v>733</v>
      </c>
    </row>
    <row r="15" spans="1:2" x14ac:dyDescent="0.25">
      <c r="A15" s="10">
        <v>901320114</v>
      </c>
      <c r="B15" t="s">
        <v>68</v>
      </c>
    </row>
    <row r="16" spans="1:2" x14ac:dyDescent="0.25">
      <c r="A16" s="10">
        <v>901515225</v>
      </c>
      <c r="B16" t="s">
        <v>663</v>
      </c>
    </row>
    <row r="17" spans="1:2" x14ac:dyDescent="0.25">
      <c r="A17" s="10">
        <v>901639056</v>
      </c>
      <c r="B17" t="s">
        <v>475</v>
      </c>
    </row>
    <row r="18" spans="1:2" x14ac:dyDescent="0.25">
      <c r="A18" s="10">
        <v>901869171</v>
      </c>
      <c r="B18" t="s">
        <v>398</v>
      </c>
    </row>
    <row r="19" spans="1:2" x14ac:dyDescent="0.25">
      <c r="A19" s="10">
        <v>901873198</v>
      </c>
      <c r="B19" t="s">
        <v>197</v>
      </c>
    </row>
    <row r="20" spans="1:2" x14ac:dyDescent="0.25">
      <c r="A20" s="10">
        <v>901905997</v>
      </c>
      <c r="B20" t="s">
        <v>564</v>
      </c>
    </row>
    <row r="21" spans="1:2" x14ac:dyDescent="0.25">
      <c r="A21" s="10">
        <v>900276962</v>
      </c>
      <c r="B21" t="s">
        <v>468</v>
      </c>
    </row>
    <row r="22" spans="1:2" x14ac:dyDescent="0.25">
      <c r="A22" s="10">
        <v>32826857</v>
      </c>
      <c r="B22" t="s">
        <v>594</v>
      </c>
    </row>
    <row r="23" spans="1:2" x14ac:dyDescent="0.25">
      <c r="A23" s="10">
        <v>800051755</v>
      </c>
      <c r="B23" t="s">
        <v>330</v>
      </c>
    </row>
    <row r="24" spans="1:2" x14ac:dyDescent="0.25">
      <c r="A24" s="10">
        <v>800165720</v>
      </c>
      <c r="B24" t="s">
        <v>249</v>
      </c>
    </row>
    <row r="25" spans="1:2" x14ac:dyDescent="0.25">
      <c r="A25" s="10">
        <v>800242106</v>
      </c>
      <c r="B25" t="s">
        <v>157</v>
      </c>
    </row>
    <row r="26" spans="1:2" x14ac:dyDescent="0.25">
      <c r="A26" s="10">
        <v>802002267</v>
      </c>
      <c r="B26" t="s">
        <v>209</v>
      </c>
    </row>
    <row r="27" spans="1:2" x14ac:dyDescent="0.25">
      <c r="A27" s="10">
        <v>802003599</v>
      </c>
      <c r="B27" t="s">
        <v>824</v>
      </c>
    </row>
    <row r="28" spans="1:2" x14ac:dyDescent="0.25">
      <c r="A28" s="10">
        <v>802006391</v>
      </c>
      <c r="B28" t="s">
        <v>392</v>
      </c>
    </row>
    <row r="29" spans="1:2" x14ac:dyDescent="0.25">
      <c r="A29" s="10">
        <v>802017066</v>
      </c>
      <c r="B29" t="s">
        <v>427</v>
      </c>
    </row>
    <row r="30" spans="1:2" x14ac:dyDescent="0.25">
      <c r="A30" s="10">
        <v>802023507</v>
      </c>
      <c r="B30" t="s">
        <v>345</v>
      </c>
    </row>
    <row r="31" spans="1:2" x14ac:dyDescent="0.25">
      <c r="A31" s="10">
        <v>811009788</v>
      </c>
      <c r="B31" t="s">
        <v>114</v>
      </c>
    </row>
    <row r="32" spans="1:2" x14ac:dyDescent="0.25">
      <c r="A32" s="10">
        <v>860001307</v>
      </c>
      <c r="B32" t="s">
        <v>710</v>
      </c>
    </row>
    <row r="33" spans="1:2" x14ac:dyDescent="0.25">
      <c r="A33" s="10">
        <v>860039794</v>
      </c>
      <c r="B33" t="s">
        <v>835</v>
      </c>
    </row>
    <row r="34" spans="1:2" x14ac:dyDescent="0.25">
      <c r="A34" s="10">
        <v>860503159</v>
      </c>
      <c r="B34" t="s">
        <v>42</v>
      </c>
    </row>
    <row r="35" spans="1:2" x14ac:dyDescent="0.25">
      <c r="A35" s="10">
        <v>8674041</v>
      </c>
      <c r="B35" t="s">
        <v>308</v>
      </c>
    </row>
    <row r="36" spans="1:2" x14ac:dyDescent="0.25">
      <c r="A36" s="10">
        <v>890102010</v>
      </c>
      <c r="B36" t="s">
        <v>877</v>
      </c>
    </row>
    <row r="37" spans="1:2" x14ac:dyDescent="0.25">
      <c r="A37" s="10">
        <v>890102603</v>
      </c>
      <c r="B37" t="s">
        <v>140</v>
      </c>
    </row>
    <row r="38" spans="1:2" x14ac:dyDescent="0.25">
      <c r="A38" s="10">
        <v>890115118</v>
      </c>
      <c r="B38" t="s">
        <v>984</v>
      </c>
    </row>
    <row r="39" spans="1:2" x14ac:dyDescent="0.25">
      <c r="A39" s="10">
        <v>890115294</v>
      </c>
      <c r="B39" t="s">
        <v>297</v>
      </c>
    </row>
    <row r="40" spans="1:2" x14ac:dyDescent="0.25">
      <c r="A40" s="10">
        <v>890900943</v>
      </c>
      <c r="B40" t="s">
        <v>542</v>
      </c>
    </row>
    <row r="41" spans="1:2" x14ac:dyDescent="0.25">
      <c r="A41" s="10">
        <v>900021337</v>
      </c>
      <c r="B41" t="s">
        <v>578</v>
      </c>
    </row>
    <row r="42" spans="1:2" x14ac:dyDescent="0.25">
      <c r="A42" s="10">
        <v>900059238</v>
      </c>
      <c r="B42" t="s">
        <v>107</v>
      </c>
    </row>
    <row r="43" spans="1:2" x14ac:dyDescent="0.25">
      <c r="A43" s="10">
        <v>900214193</v>
      </c>
      <c r="B43" t="s">
        <v>276</v>
      </c>
    </row>
    <row r="44" spans="1:2" x14ac:dyDescent="0.25">
      <c r="A44" s="10">
        <v>900230625</v>
      </c>
      <c r="B44" t="s">
        <v>185</v>
      </c>
    </row>
    <row r="45" spans="1:2" x14ac:dyDescent="0.25">
      <c r="A45" s="10">
        <v>900276962</v>
      </c>
      <c r="B45" t="s">
        <v>468</v>
      </c>
    </row>
    <row r="46" spans="1:2" x14ac:dyDescent="0.25">
      <c r="A46" s="10">
        <v>900309367</v>
      </c>
      <c r="B46" t="s">
        <v>441</v>
      </c>
    </row>
    <row r="47" spans="1:2" x14ac:dyDescent="0.25">
      <c r="A47" s="10">
        <v>900319753</v>
      </c>
      <c r="B47" t="s">
        <v>99</v>
      </c>
    </row>
    <row r="48" spans="1:2" x14ac:dyDescent="0.25">
      <c r="A48" s="10">
        <v>900355557</v>
      </c>
      <c r="B48" t="s">
        <v>52</v>
      </c>
    </row>
    <row r="49" spans="1:2" x14ac:dyDescent="0.25">
      <c r="A49" s="10">
        <v>900480569</v>
      </c>
      <c r="B49" t="s">
        <v>147</v>
      </c>
    </row>
    <row r="50" spans="1:2" x14ac:dyDescent="0.25">
      <c r="A50" s="10">
        <v>900576130</v>
      </c>
      <c r="B50" t="s">
        <v>924</v>
      </c>
    </row>
    <row r="51" spans="1:2" x14ac:dyDescent="0.25">
      <c r="A51" s="10">
        <v>900781464</v>
      </c>
      <c r="B51" t="s">
        <v>965</v>
      </c>
    </row>
    <row r="52" spans="1:2" x14ac:dyDescent="0.25">
      <c r="A52" s="10">
        <v>900943243</v>
      </c>
      <c r="B52" t="s">
        <v>319</v>
      </c>
    </row>
    <row r="53" spans="1:2" x14ac:dyDescent="0.25">
      <c r="A53" s="10">
        <v>901185697</v>
      </c>
      <c r="B53" t="s">
        <v>761</v>
      </c>
    </row>
    <row r="54" spans="1:2" x14ac:dyDescent="0.25">
      <c r="A54" s="10">
        <v>901213535</v>
      </c>
      <c r="B54" t="s">
        <v>614</v>
      </c>
    </row>
    <row r="55" spans="1:2" x14ac:dyDescent="0.25">
      <c r="A55" s="10">
        <v>901300741</v>
      </c>
      <c r="B55" t="s">
        <v>670</v>
      </c>
    </row>
    <row r="56" spans="1:2" x14ac:dyDescent="0.25">
      <c r="A56" s="10">
        <v>901316914</v>
      </c>
      <c r="B56" t="s">
        <v>218</v>
      </c>
    </row>
    <row r="57" spans="1:2" x14ac:dyDescent="0.25">
      <c r="A57" s="10">
        <v>901435329</v>
      </c>
      <c r="B57" t="s">
        <v>724</v>
      </c>
    </row>
    <row r="58" spans="1:2" x14ac:dyDescent="0.25">
      <c r="A58" s="10">
        <v>901484212</v>
      </c>
      <c r="B58" t="s">
        <v>60</v>
      </c>
    </row>
    <row r="59" spans="1:2" x14ac:dyDescent="0.25">
      <c r="A59" s="10">
        <v>901515225</v>
      </c>
      <c r="B59" t="s">
        <v>663</v>
      </c>
    </row>
    <row r="60" spans="1:2" x14ac:dyDescent="0.25">
      <c r="A60" s="10">
        <v>901565698</v>
      </c>
      <c r="B60" t="s">
        <v>850</v>
      </c>
    </row>
    <row r="61" spans="1:2" x14ac:dyDescent="0.25">
      <c r="A61" s="10">
        <v>901571419</v>
      </c>
      <c r="B61" t="s">
        <v>126</v>
      </c>
    </row>
    <row r="62" spans="1:2" x14ac:dyDescent="0.25">
      <c r="A62" s="10">
        <v>901787342</v>
      </c>
      <c r="B62" t="s">
        <v>716</v>
      </c>
    </row>
    <row r="63" spans="1:2" x14ac:dyDescent="0.25">
      <c r="A63" s="10">
        <v>901793368</v>
      </c>
      <c r="B63" t="s">
        <v>528</v>
      </c>
    </row>
    <row r="64" spans="1:2" x14ac:dyDescent="0.25">
      <c r="A64" s="10">
        <v>901844029</v>
      </c>
      <c r="B64" t="s">
        <v>237</v>
      </c>
    </row>
    <row r="65" spans="1:2" x14ac:dyDescent="0.25">
      <c r="A65" s="10">
        <v>901873198</v>
      </c>
      <c r="B65" t="s">
        <v>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B5F5-B9FB-421A-B8AB-D824307029F7}">
  <sheetPr filterMode="1"/>
  <dimension ref="A1:D203"/>
  <sheetViews>
    <sheetView workbookViewId="0">
      <selection activeCell="B150" sqref="B150"/>
    </sheetView>
  </sheetViews>
  <sheetFormatPr baseColWidth="10" defaultRowHeight="15" x14ac:dyDescent="0.25"/>
  <cols>
    <col min="2" max="2" width="31.42578125" customWidth="1"/>
  </cols>
  <sheetData>
    <row r="1" spans="1:4" x14ac:dyDescent="0.25">
      <c r="A1" t="s">
        <v>1072</v>
      </c>
      <c r="B1" t="s">
        <v>1073</v>
      </c>
      <c r="C1" t="s">
        <v>1075</v>
      </c>
      <c r="D1" t="s">
        <v>1074</v>
      </c>
    </row>
    <row r="2" spans="1:4" hidden="1" x14ac:dyDescent="0.25">
      <c r="A2" s="5" t="s">
        <v>248</v>
      </c>
      <c r="B2" s="5" t="s">
        <v>1018</v>
      </c>
      <c r="C2" s="5" t="s">
        <v>1020</v>
      </c>
      <c r="D2" s="5" t="s">
        <v>1002</v>
      </c>
    </row>
    <row r="3" spans="1:4" hidden="1" x14ac:dyDescent="0.25">
      <c r="A3" s="5" t="s">
        <v>849</v>
      </c>
      <c r="B3" s="5" t="s">
        <v>1004</v>
      </c>
      <c r="C3" s="5" t="s">
        <v>1020</v>
      </c>
      <c r="D3" s="5" t="s">
        <v>1002</v>
      </c>
    </row>
    <row r="4" spans="1:4" hidden="1" x14ac:dyDescent="0.25">
      <c r="A4" s="5" t="s">
        <v>834</v>
      </c>
      <c r="B4" s="5" t="s">
        <v>1005</v>
      </c>
      <c r="C4" s="5" t="s">
        <v>1020</v>
      </c>
      <c r="D4" s="5" t="s">
        <v>1002</v>
      </c>
    </row>
    <row r="5" spans="1:4" hidden="1" x14ac:dyDescent="0.25">
      <c r="A5" s="5" t="s">
        <v>876</v>
      </c>
      <c r="B5" s="5" t="s">
        <v>1019</v>
      </c>
      <c r="C5" s="5" t="s">
        <v>1020</v>
      </c>
      <c r="D5" s="5" t="s">
        <v>1002</v>
      </c>
    </row>
    <row r="6" spans="1:4" hidden="1" x14ac:dyDescent="0.25">
      <c r="A6" s="5" t="s">
        <v>876</v>
      </c>
      <c r="B6" s="5" t="s">
        <v>1019</v>
      </c>
      <c r="C6" s="5" t="s">
        <v>1020</v>
      </c>
      <c r="D6" s="5" t="s">
        <v>1002</v>
      </c>
    </row>
    <row r="7" spans="1:4" hidden="1" x14ac:dyDescent="0.25">
      <c r="A7" s="5" t="s">
        <v>876</v>
      </c>
      <c r="B7" s="5" t="s">
        <v>1019</v>
      </c>
      <c r="C7" s="5" t="s">
        <v>1020</v>
      </c>
      <c r="D7" s="5" t="s">
        <v>1002</v>
      </c>
    </row>
    <row r="8" spans="1:4" hidden="1" x14ac:dyDescent="0.25">
      <c r="A8" s="5" t="s">
        <v>876</v>
      </c>
      <c r="B8" s="5" t="s">
        <v>1019</v>
      </c>
      <c r="C8" s="5" t="s">
        <v>1020</v>
      </c>
      <c r="D8" s="5" t="s">
        <v>1002</v>
      </c>
    </row>
    <row r="9" spans="1:4" hidden="1" x14ac:dyDescent="0.25">
      <c r="A9" s="5" t="s">
        <v>669</v>
      </c>
      <c r="B9" s="5" t="s">
        <v>1021</v>
      </c>
      <c r="C9" s="5" t="s">
        <v>1020</v>
      </c>
      <c r="D9" s="5" t="s">
        <v>1002</v>
      </c>
    </row>
    <row r="10" spans="1:4" hidden="1" x14ac:dyDescent="0.25">
      <c r="A10" s="5" t="s">
        <v>541</v>
      </c>
      <c r="B10" s="5" t="s">
        <v>1022</v>
      </c>
      <c r="C10" s="5" t="s">
        <v>1020</v>
      </c>
      <c r="D10" s="5" t="s">
        <v>1002</v>
      </c>
    </row>
    <row r="11" spans="1:4" hidden="1" x14ac:dyDescent="0.25">
      <c r="A11" s="5" t="s">
        <v>541</v>
      </c>
      <c r="B11" s="5" t="s">
        <v>1022</v>
      </c>
      <c r="C11" s="5" t="s">
        <v>1020</v>
      </c>
      <c r="D11" s="5" t="s">
        <v>1002</v>
      </c>
    </row>
    <row r="12" spans="1:4" hidden="1" x14ac:dyDescent="0.25">
      <c r="A12" s="5" t="s">
        <v>541</v>
      </c>
      <c r="B12" s="5" t="s">
        <v>1022</v>
      </c>
      <c r="C12" s="5" t="s">
        <v>1020</v>
      </c>
      <c r="D12" s="5" t="s">
        <v>1002</v>
      </c>
    </row>
    <row r="13" spans="1:4" hidden="1" x14ac:dyDescent="0.25">
      <c r="A13" s="5" t="s">
        <v>344</v>
      </c>
      <c r="B13" s="5" t="s">
        <v>1023</v>
      </c>
      <c r="C13" s="5" t="s">
        <v>1020</v>
      </c>
      <c r="D13" s="5" t="s">
        <v>1002</v>
      </c>
    </row>
    <row r="14" spans="1:4" hidden="1" x14ac:dyDescent="0.25">
      <c r="A14" s="5" t="s">
        <v>344</v>
      </c>
      <c r="B14" s="5" t="s">
        <v>1023</v>
      </c>
      <c r="C14" s="5" t="s">
        <v>1020</v>
      </c>
      <c r="D14" s="5" t="s">
        <v>1002</v>
      </c>
    </row>
    <row r="15" spans="1:4" hidden="1" x14ac:dyDescent="0.25">
      <c r="A15" s="5" t="s">
        <v>344</v>
      </c>
      <c r="B15" s="5" t="s">
        <v>1023</v>
      </c>
      <c r="C15" s="5" t="s">
        <v>1020</v>
      </c>
      <c r="D15" s="5" t="s">
        <v>1002</v>
      </c>
    </row>
    <row r="16" spans="1:4" hidden="1" x14ac:dyDescent="0.25">
      <c r="A16" s="5" t="s">
        <v>344</v>
      </c>
      <c r="B16" s="5" t="s">
        <v>1023</v>
      </c>
      <c r="C16" s="5" t="s">
        <v>1020</v>
      </c>
      <c r="D16" s="5" t="s">
        <v>1002</v>
      </c>
    </row>
    <row r="17" spans="1:4" hidden="1" x14ac:dyDescent="0.25">
      <c r="A17" s="5" t="s">
        <v>344</v>
      </c>
      <c r="B17" s="5" t="s">
        <v>1023</v>
      </c>
      <c r="C17" s="5" t="s">
        <v>1020</v>
      </c>
      <c r="D17" s="5" t="s">
        <v>1002</v>
      </c>
    </row>
    <row r="18" spans="1:4" hidden="1" x14ac:dyDescent="0.25">
      <c r="A18" s="5" t="s">
        <v>344</v>
      </c>
      <c r="B18" s="5" t="s">
        <v>1023</v>
      </c>
      <c r="C18" s="5" t="s">
        <v>1020</v>
      </c>
      <c r="D18" s="5" t="s">
        <v>1002</v>
      </c>
    </row>
    <row r="19" spans="1:4" hidden="1" x14ac:dyDescent="0.25">
      <c r="A19" s="5" t="s">
        <v>577</v>
      </c>
      <c r="B19" s="5" t="s">
        <v>1024</v>
      </c>
      <c r="C19" s="5" t="s">
        <v>1020</v>
      </c>
      <c r="D19" s="5" t="s">
        <v>1002</v>
      </c>
    </row>
    <row r="20" spans="1:4" hidden="1" x14ac:dyDescent="0.25">
      <c r="A20" s="5" t="s">
        <v>391</v>
      </c>
      <c r="B20" s="5" t="s">
        <v>1025</v>
      </c>
      <c r="C20" s="5" t="s">
        <v>1020</v>
      </c>
      <c r="D20" s="5" t="s">
        <v>1002</v>
      </c>
    </row>
    <row r="21" spans="1:4" hidden="1" x14ac:dyDescent="0.25">
      <c r="A21" s="5" t="s">
        <v>391</v>
      </c>
      <c r="B21" s="5" t="s">
        <v>1025</v>
      </c>
      <c r="C21" s="5" t="s">
        <v>1020</v>
      </c>
      <c r="D21" s="5" t="s">
        <v>1002</v>
      </c>
    </row>
    <row r="22" spans="1:4" hidden="1" x14ac:dyDescent="0.25">
      <c r="A22" s="5">
        <v>900276962</v>
      </c>
      <c r="B22" s="5" t="s">
        <v>1026</v>
      </c>
      <c r="C22" s="5" t="s">
        <v>1020</v>
      </c>
      <c r="D22" s="5" t="s">
        <v>1002</v>
      </c>
    </row>
    <row r="23" spans="1:4" hidden="1" x14ac:dyDescent="0.25">
      <c r="A23" s="5" t="s">
        <v>467</v>
      </c>
      <c r="B23" s="5" t="s">
        <v>1026</v>
      </c>
      <c r="C23" s="5" t="s">
        <v>1020</v>
      </c>
      <c r="D23" s="5" t="s">
        <v>1002</v>
      </c>
    </row>
    <row r="24" spans="1:4" hidden="1" x14ac:dyDescent="0.25">
      <c r="A24" s="5" t="s">
        <v>823</v>
      </c>
      <c r="B24" s="5" t="s">
        <v>1030</v>
      </c>
      <c r="C24" s="5" t="s">
        <v>1020</v>
      </c>
      <c r="D24" s="5" t="s">
        <v>1002</v>
      </c>
    </row>
    <row r="25" spans="1:4" hidden="1" x14ac:dyDescent="0.25">
      <c r="A25" s="5" t="s">
        <v>113</v>
      </c>
      <c r="B25" s="5" t="s">
        <v>1031</v>
      </c>
      <c r="C25" s="5" t="s">
        <v>1020</v>
      </c>
      <c r="D25" s="5" t="s">
        <v>1002</v>
      </c>
    </row>
    <row r="26" spans="1:4" hidden="1" x14ac:dyDescent="0.25">
      <c r="A26" s="5" t="s">
        <v>113</v>
      </c>
      <c r="B26" s="5" t="s">
        <v>1031</v>
      </c>
      <c r="C26" s="5" t="s">
        <v>1020</v>
      </c>
      <c r="D26" s="5" t="s">
        <v>1002</v>
      </c>
    </row>
    <row r="27" spans="1:4" hidden="1" x14ac:dyDescent="0.25">
      <c r="A27" s="5" t="s">
        <v>923</v>
      </c>
      <c r="B27" s="5" t="s">
        <v>1032</v>
      </c>
      <c r="C27" s="5" t="s">
        <v>1020</v>
      </c>
      <c r="D27" s="5" t="s">
        <v>1002</v>
      </c>
    </row>
    <row r="28" spans="1:4" hidden="1" x14ac:dyDescent="0.25">
      <c r="A28" s="5" t="s">
        <v>709</v>
      </c>
      <c r="B28" s="5" t="s">
        <v>1033</v>
      </c>
      <c r="C28" s="5" t="s">
        <v>1020</v>
      </c>
      <c r="D28" s="5" t="s">
        <v>1002</v>
      </c>
    </row>
    <row r="29" spans="1:4" hidden="1" x14ac:dyDescent="0.25">
      <c r="A29" s="5" t="s">
        <v>527</v>
      </c>
      <c r="B29" s="5" t="s">
        <v>1034</v>
      </c>
      <c r="C29" s="5" t="s">
        <v>1020</v>
      </c>
      <c r="D29" s="5" t="s">
        <v>1002</v>
      </c>
    </row>
    <row r="30" spans="1:4" hidden="1" x14ac:dyDescent="0.25">
      <c r="A30" s="5" t="s">
        <v>307</v>
      </c>
      <c r="B30" s="5" t="s">
        <v>1035</v>
      </c>
      <c r="C30" s="5" t="s">
        <v>1020</v>
      </c>
      <c r="D30" s="5" t="s">
        <v>1002</v>
      </c>
    </row>
    <row r="31" spans="1:4" hidden="1" x14ac:dyDescent="0.25">
      <c r="A31" s="5" t="s">
        <v>184</v>
      </c>
      <c r="B31" s="5" t="s">
        <v>1036</v>
      </c>
      <c r="C31" s="5" t="s">
        <v>1020</v>
      </c>
      <c r="D31" s="5" t="s">
        <v>1002</v>
      </c>
    </row>
    <row r="32" spans="1:4" hidden="1" x14ac:dyDescent="0.25">
      <c r="A32" s="5" t="s">
        <v>184</v>
      </c>
      <c r="B32" s="5" t="s">
        <v>1036</v>
      </c>
      <c r="C32" s="5" t="s">
        <v>1020</v>
      </c>
      <c r="D32" s="5" t="s">
        <v>1002</v>
      </c>
    </row>
    <row r="33" spans="1:4" hidden="1" x14ac:dyDescent="0.25">
      <c r="A33" s="5" t="s">
        <v>184</v>
      </c>
      <c r="B33" s="5" t="s">
        <v>1036</v>
      </c>
      <c r="C33" s="5" t="s">
        <v>1020</v>
      </c>
      <c r="D33" s="5" t="s">
        <v>1002</v>
      </c>
    </row>
    <row r="34" spans="1:4" hidden="1" x14ac:dyDescent="0.25">
      <c r="A34" s="5" t="s">
        <v>184</v>
      </c>
      <c r="B34" s="5" t="s">
        <v>1036</v>
      </c>
      <c r="C34" s="5" t="s">
        <v>1020</v>
      </c>
      <c r="D34" s="5" t="s">
        <v>1002</v>
      </c>
    </row>
    <row r="35" spans="1:4" hidden="1" x14ac:dyDescent="0.25">
      <c r="A35" s="5" t="s">
        <v>184</v>
      </c>
      <c r="B35" s="5" t="s">
        <v>1036</v>
      </c>
      <c r="C35" s="5" t="s">
        <v>1020</v>
      </c>
      <c r="D35" s="5" t="s">
        <v>1002</v>
      </c>
    </row>
    <row r="36" spans="1:4" hidden="1" x14ac:dyDescent="0.25">
      <c r="A36" s="5" t="s">
        <v>184</v>
      </c>
      <c r="B36" s="5" t="s">
        <v>1036</v>
      </c>
      <c r="C36" s="5" t="s">
        <v>1020</v>
      </c>
      <c r="D36" s="5" t="s">
        <v>1002</v>
      </c>
    </row>
    <row r="37" spans="1:4" hidden="1" x14ac:dyDescent="0.25">
      <c r="A37" s="5" t="s">
        <v>184</v>
      </c>
      <c r="B37" s="5" t="s">
        <v>1036</v>
      </c>
      <c r="C37" s="5" t="s">
        <v>1020</v>
      </c>
      <c r="D37" s="5" t="s">
        <v>1002</v>
      </c>
    </row>
    <row r="38" spans="1:4" hidden="1" x14ac:dyDescent="0.25">
      <c r="A38" s="5" t="s">
        <v>184</v>
      </c>
      <c r="B38" s="5" t="s">
        <v>1036</v>
      </c>
      <c r="C38" s="5" t="s">
        <v>1020</v>
      </c>
      <c r="D38" s="5" t="s">
        <v>1002</v>
      </c>
    </row>
    <row r="39" spans="1:4" hidden="1" x14ac:dyDescent="0.25">
      <c r="A39" s="5" t="s">
        <v>184</v>
      </c>
      <c r="B39" s="5" t="s">
        <v>1036</v>
      </c>
      <c r="C39" s="5" t="s">
        <v>1020</v>
      </c>
      <c r="D39" s="5" t="s">
        <v>1002</v>
      </c>
    </row>
    <row r="40" spans="1:4" hidden="1" x14ac:dyDescent="0.25">
      <c r="A40" s="5" t="s">
        <v>184</v>
      </c>
      <c r="B40" s="5" t="s">
        <v>1036</v>
      </c>
      <c r="C40" s="5" t="s">
        <v>1020</v>
      </c>
      <c r="D40" s="5" t="s">
        <v>1002</v>
      </c>
    </row>
    <row r="41" spans="1:4" hidden="1" x14ac:dyDescent="0.25">
      <c r="A41" s="5" t="s">
        <v>184</v>
      </c>
      <c r="B41" s="5" t="s">
        <v>1036</v>
      </c>
      <c r="C41" s="5" t="s">
        <v>1020</v>
      </c>
      <c r="D41" s="5" t="s">
        <v>1002</v>
      </c>
    </row>
    <row r="42" spans="1:4" hidden="1" x14ac:dyDescent="0.25">
      <c r="A42" s="5" t="s">
        <v>184</v>
      </c>
      <c r="B42" s="5" t="s">
        <v>1036</v>
      </c>
      <c r="C42" s="5" t="s">
        <v>1020</v>
      </c>
      <c r="D42" s="5" t="s">
        <v>1002</v>
      </c>
    </row>
    <row r="43" spans="1:4" hidden="1" x14ac:dyDescent="0.25">
      <c r="A43" s="5" t="s">
        <v>184</v>
      </c>
      <c r="B43" s="5" t="s">
        <v>1036</v>
      </c>
      <c r="C43" s="5" t="s">
        <v>1020</v>
      </c>
      <c r="D43" s="5" t="s">
        <v>1002</v>
      </c>
    </row>
    <row r="44" spans="1:4" hidden="1" x14ac:dyDescent="0.25">
      <c r="A44" s="3" t="s">
        <v>662</v>
      </c>
      <c r="B44" s="3" t="s">
        <v>1037</v>
      </c>
      <c r="C44" s="3" t="s">
        <v>1020</v>
      </c>
      <c r="D44" s="3" t="s">
        <v>1002</v>
      </c>
    </row>
    <row r="45" spans="1:4" hidden="1" x14ac:dyDescent="0.25">
      <c r="A45" s="5" t="s">
        <v>983</v>
      </c>
      <c r="B45" s="5" t="s">
        <v>1038</v>
      </c>
      <c r="C45" s="5" t="s">
        <v>1020</v>
      </c>
      <c r="D45" s="5" t="s">
        <v>1002</v>
      </c>
    </row>
    <row r="46" spans="1:4" hidden="1" x14ac:dyDescent="0.25">
      <c r="A46" s="5" t="s">
        <v>139</v>
      </c>
      <c r="B46" s="5"/>
      <c r="C46" s="5" t="s">
        <v>1020</v>
      </c>
      <c r="D46" s="5" t="s">
        <v>1002</v>
      </c>
    </row>
    <row r="47" spans="1:4" hidden="1" x14ac:dyDescent="0.25">
      <c r="A47" s="5" t="s">
        <v>51</v>
      </c>
      <c r="B47" s="5" t="s">
        <v>1039</v>
      </c>
      <c r="C47" s="5" t="s">
        <v>1020</v>
      </c>
      <c r="D47" s="5" t="s">
        <v>1002</v>
      </c>
    </row>
    <row r="48" spans="1:4" hidden="1" x14ac:dyDescent="0.25">
      <c r="A48" s="5" t="s">
        <v>59</v>
      </c>
      <c r="B48" s="5" t="s">
        <v>1040</v>
      </c>
      <c r="C48" s="5" t="s">
        <v>1020</v>
      </c>
      <c r="D48" s="5" t="s">
        <v>1002</v>
      </c>
    </row>
    <row r="49" spans="1:4" hidden="1" x14ac:dyDescent="0.25">
      <c r="A49" s="5" t="s">
        <v>59</v>
      </c>
      <c r="B49" s="5" t="s">
        <v>1040</v>
      </c>
      <c r="C49" s="5" t="s">
        <v>1020</v>
      </c>
      <c r="D49" s="5" t="s">
        <v>1002</v>
      </c>
    </row>
    <row r="50" spans="1:4" hidden="1" x14ac:dyDescent="0.25">
      <c r="A50" s="5" t="s">
        <v>59</v>
      </c>
      <c r="B50" s="5" t="s">
        <v>1040</v>
      </c>
      <c r="C50" s="5" t="s">
        <v>1020</v>
      </c>
      <c r="D50" s="5" t="s">
        <v>1002</v>
      </c>
    </row>
    <row r="51" spans="1:4" hidden="1" x14ac:dyDescent="0.25">
      <c r="A51" s="5" t="s">
        <v>296</v>
      </c>
      <c r="B51" s="5" t="s">
        <v>1041</v>
      </c>
      <c r="C51" s="5" t="s">
        <v>1020</v>
      </c>
      <c r="D51" s="5" t="s">
        <v>1002</v>
      </c>
    </row>
    <row r="52" spans="1:4" hidden="1" x14ac:dyDescent="0.25">
      <c r="A52" s="5" t="s">
        <v>275</v>
      </c>
      <c r="B52" s="5" t="s">
        <v>1046</v>
      </c>
      <c r="C52" s="5" t="s">
        <v>1020</v>
      </c>
      <c r="D52" s="5" t="s">
        <v>1002</v>
      </c>
    </row>
    <row r="53" spans="1:4" hidden="1" x14ac:dyDescent="0.25">
      <c r="A53" s="5" t="s">
        <v>217</v>
      </c>
      <c r="B53" s="5" t="s">
        <v>1045</v>
      </c>
      <c r="C53" s="5" t="s">
        <v>1020</v>
      </c>
      <c r="D53" s="5" t="s">
        <v>1002</v>
      </c>
    </row>
    <row r="54" spans="1:4" hidden="1" x14ac:dyDescent="0.25">
      <c r="A54" s="5" t="s">
        <v>217</v>
      </c>
      <c r="B54" s="5" t="s">
        <v>1045</v>
      </c>
      <c r="C54" s="5" t="s">
        <v>1020</v>
      </c>
      <c r="D54" s="5" t="s">
        <v>1002</v>
      </c>
    </row>
    <row r="55" spans="1:4" hidden="1" x14ac:dyDescent="0.25">
      <c r="A55" s="5" t="s">
        <v>146</v>
      </c>
      <c r="B55" s="5" t="s">
        <v>1044</v>
      </c>
      <c r="C55" s="5" t="s">
        <v>1020</v>
      </c>
      <c r="D55" s="5" t="s">
        <v>1002</v>
      </c>
    </row>
    <row r="56" spans="1:4" hidden="1" x14ac:dyDescent="0.25">
      <c r="A56" s="5" t="s">
        <v>146</v>
      </c>
      <c r="B56" s="5" t="s">
        <v>1044</v>
      </c>
      <c r="C56" s="5" t="s">
        <v>1020</v>
      </c>
      <c r="D56" s="5" t="s">
        <v>1002</v>
      </c>
    </row>
    <row r="57" spans="1:4" hidden="1" x14ac:dyDescent="0.25">
      <c r="A57" s="5" t="s">
        <v>106</v>
      </c>
      <c r="B57" s="5" t="s">
        <v>1042</v>
      </c>
      <c r="C57" s="5" t="s">
        <v>1020</v>
      </c>
      <c r="D57" s="5" t="s">
        <v>1002</v>
      </c>
    </row>
    <row r="58" spans="1:4" hidden="1" x14ac:dyDescent="0.25">
      <c r="A58" s="5" t="s">
        <v>106</v>
      </c>
      <c r="B58" s="5" t="s">
        <v>1042</v>
      </c>
      <c r="C58" s="5" t="s">
        <v>1020</v>
      </c>
      <c r="D58" s="5" t="s">
        <v>1002</v>
      </c>
    </row>
    <row r="59" spans="1:4" hidden="1" x14ac:dyDescent="0.25">
      <c r="A59" s="5" t="s">
        <v>106</v>
      </c>
      <c r="B59" s="5" t="s">
        <v>1042</v>
      </c>
      <c r="C59" s="5" t="s">
        <v>1020</v>
      </c>
      <c r="D59" s="5" t="s">
        <v>1002</v>
      </c>
    </row>
    <row r="60" spans="1:4" hidden="1" x14ac:dyDescent="0.25">
      <c r="A60" s="5" t="s">
        <v>593</v>
      </c>
      <c r="B60" s="5" t="s">
        <v>1042</v>
      </c>
      <c r="C60" s="5" t="s">
        <v>1020</v>
      </c>
      <c r="D60" s="5" t="s">
        <v>1002</v>
      </c>
    </row>
    <row r="61" spans="1:4" hidden="1" x14ac:dyDescent="0.25">
      <c r="A61" s="5" t="s">
        <v>329</v>
      </c>
      <c r="B61" s="5" t="s">
        <v>1043</v>
      </c>
      <c r="C61" s="5" t="s">
        <v>1020</v>
      </c>
      <c r="D61" s="5" t="s">
        <v>1002</v>
      </c>
    </row>
    <row r="62" spans="1:4" hidden="1" x14ac:dyDescent="0.25">
      <c r="A62" s="5" t="s">
        <v>760</v>
      </c>
      <c r="B62" s="5" t="s">
        <v>1048</v>
      </c>
      <c r="C62" s="5" t="s">
        <v>1020</v>
      </c>
      <c r="D62" s="5" t="s">
        <v>1002</v>
      </c>
    </row>
    <row r="63" spans="1:4" hidden="1" x14ac:dyDescent="0.25">
      <c r="A63" s="5" t="s">
        <v>964</v>
      </c>
      <c r="B63" s="5" t="s">
        <v>1049</v>
      </c>
      <c r="C63" s="5" t="s">
        <v>1020</v>
      </c>
      <c r="D63" s="5" t="s">
        <v>1002</v>
      </c>
    </row>
    <row r="64" spans="1:4" x14ac:dyDescent="0.25">
      <c r="A64" s="5" t="s">
        <v>41</v>
      </c>
      <c r="B64" s="5" t="s">
        <v>1050</v>
      </c>
      <c r="C64" s="5" t="s">
        <v>1020</v>
      </c>
      <c r="D64" s="5" t="s">
        <v>1002</v>
      </c>
    </row>
    <row r="65" spans="1:4" x14ac:dyDescent="0.25">
      <c r="A65" s="5" t="s">
        <v>41</v>
      </c>
      <c r="B65" s="5" t="s">
        <v>1050</v>
      </c>
      <c r="C65" s="5" t="s">
        <v>1020</v>
      </c>
      <c r="D65" s="5" t="s">
        <v>1002</v>
      </c>
    </row>
    <row r="66" spans="1:4" hidden="1" x14ac:dyDescent="0.25">
      <c r="A66" s="5" t="s">
        <v>98</v>
      </c>
      <c r="B66" s="5" t="s">
        <v>1051</v>
      </c>
      <c r="C66" s="5" t="s">
        <v>1020</v>
      </c>
      <c r="D66" s="5" t="s">
        <v>1002</v>
      </c>
    </row>
    <row r="67" spans="1:4" hidden="1" x14ac:dyDescent="0.25">
      <c r="A67" s="5" t="s">
        <v>98</v>
      </c>
      <c r="B67" s="5" t="s">
        <v>1051</v>
      </c>
      <c r="C67" s="5" t="s">
        <v>1020</v>
      </c>
      <c r="D67" s="5" t="s">
        <v>1002</v>
      </c>
    </row>
    <row r="68" spans="1:4" hidden="1" x14ac:dyDescent="0.25">
      <c r="A68" s="5" t="s">
        <v>98</v>
      </c>
      <c r="B68" s="5" t="s">
        <v>1051</v>
      </c>
      <c r="C68" s="5" t="s">
        <v>1020</v>
      </c>
      <c r="D68" s="5" t="s">
        <v>1002</v>
      </c>
    </row>
    <row r="69" spans="1:4" hidden="1" x14ac:dyDescent="0.25">
      <c r="A69" s="5" t="s">
        <v>98</v>
      </c>
      <c r="B69" s="5" t="s">
        <v>1051</v>
      </c>
      <c r="C69" s="5" t="s">
        <v>1020</v>
      </c>
      <c r="D69" s="5" t="s">
        <v>1002</v>
      </c>
    </row>
    <row r="70" spans="1:4" hidden="1" x14ac:dyDescent="0.25">
      <c r="A70" s="5" t="s">
        <v>98</v>
      </c>
      <c r="B70" s="5" t="s">
        <v>1051</v>
      </c>
      <c r="C70" s="5" t="s">
        <v>1020</v>
      </c>
      <c r="D70" s="5" t="s">
        <v>1002</v>
      </c>
    </row>
    <row r="71" spans="1:4" hidden="1" x14ac:dyDescent="0.25">
      <c r="A71" s="5" t="s">
        <v>723</v>
      </c>
      <c r="B71" s="5" t="s">
        <v>1052</v>
      </c>
      <c r="C71" s="5" t="s">
        <v>1020</v>
      </c>
      <c r="D71" s="5" t="s">
        <v>1002</v>
      </c>
    </row>
    <row r="72" spans="1:4" hidden="1" x14ac:dyDescent="0.25">
      <c r="A72" s="5" t="s">
        <v>440</v>
      </c>
      <c r="B72" s="5" t="s">
        <v>1053</v>
      </c>
      <c r="C72" s="5" t="s">
        <v>1020</v>
      </c>
      <c r="D72" s="5" t="s">
        <v>1002</v>
      </c>
    </row>
    <row r="73" spans="1:4" hidden="1" x14ac:dyDescent="0.25">
      <c r="A73" s="5" t="s">
        <v>132</v>
      </c>
      <c r="B73" s="3" t="s">
        <v>1047</v>
      </c>
      <c r="C73" s="5" t="s">
        <v>1020</v>
      </c>
      <c r="D73" s="5" t="s">
        <v>1002</v>
      </c>
    </row>
    <row r="74" spans="1:4" hidden="1" x14ac:dyDescent="0.25">
      <c r="A74" s="5">
        <v>901873198</v>
      </c>
      <c r="B74" s="3" t="s">
        <v>1047</v>
      </c>
      <c r="C74" s="5" t="s">
        <v>1020</v>
      </c>
      <c r="D74" s="5" t="s">
        <v>1065</v>
      </c>
    </row>
    <row r="75" spans="1:4" hidden="1" x14ac:dyDescent="0.25">
      <c r="A75" s="5" t="s">
        <v>132</v>
      </c>
      <c r="B75" s="3" t="s">
        <v>1047</v>
      </c>
      <c r="C75" s="5" t="s">
        <v>1020</v>
      </c>
      <c r="D75" s="5" t="s">
        <v>1065</v>
      </c>
    </row>
    <row r="76" spans="1:4" hidden="1" x14ac:dyDescent="0.25">
      <c r="A76" s="5" t="s">
        <v>132</v>
      </c>
      <c r="B76" s="3" t="s">
        <v>1047</v>
      </c>
      <c r="C76" s="5" t="s">
        <v>1020</v>
      </c>
      <c r="D76" s="5" t="s">
        <v>1065</v>
      </c>
    </row>
    <row r="77" spans="1:4" hidden="1" x14ac:dyDescent="0.25">
      <c r="A77" s="5" t="s">
        <v>132</v>
      </c>
      <c r="B77" s="3" t="s">
        <v>1047</v>
      </c>
      <c r="C77" s="5" t="s">
        <v>1020</v>
      </c>
      <c r="D77" s="5" t="s">
        <v>1065</v>
      </c>
    </row>
    <row r="78" spans="1:4" hidden="1" x14ac:dyDescent="0.25">
      <c r="A78" s="5" t="s">
        <v>132</v>
      </c>
      <c r="B78" s="3" t="s">
        <v>1047</v>
      </c>
      <c r="C78" s="5" t="s">
        <v>1020</v>
      </c>
      <c r="D78" s="5" t="s">
        <v>1065</v>
      </c>
    </row>
    <row r="79" spans="1:4" hidden="1" x14ac:dyDescent="0.25">
      <c r="A79" s="5" t="s">
        <v>132</v>
      </c>
      <c r="B79" s="3" t="s">
        <v>1047</v>
      </c>
      <c r="C79" s="5" t="s">
        <v>1020</v>
      </c>
      <c r="D79" s="5" t="s">
        <v>1065</v>
      </c>
    </row>
    <row r="80" spans="1:4" hidden="1" x14ac:dyDescent="0.25">
      <c r="A80" s="5" t="s">
        <v>132</v>
      </c>
      <c r="B80" s="3" t="s">
        <v>1047</v>
      </c>
      <c r="C80" s="5" t="s">
        <v>1020</v>
      </c>
      <c r="D80" s="5" t="s">
        <v>1065</v>
      </c>
    </row>
    <row r="81" spans="1:4" hidden="1" x14ac:dyDescent="0.25">
      <c r="A81" s="5" t="s">
        <v>132</v>
      </c>
      <c r="B81" s="3" t="s">
        <v>1047</v>
      </c>
      <c r="C81" s="5" t="s">
        <v>1020</v>
      </c>
      <c r="D81" s="5" t="s">
        <v>1065</v>
      </c>
    </row>
    <row r="82" spans="1:4" hidden="1" x14ac:dyDescent="0.25">
      <c r="A82" s="5" t="s">
        <v>132</v>
      </c>
      <c r="B82" s="3" t="s">
        <v>1047</v>
      </c>
      <c r="C82" s="5" t="s">
        <v>1020</v>
      </c>
      <c r="D82" s="5" t="s">
        <v>1065</v>
      </c>
    </row>
    <row r="83" spans="1:4" hidden="1" x14ac:dyDescent="0.25">
      <c r="A83" s="5" t="s">
        <v>132</v>
      </c>
      <c r="B83" s="3" t="s">
        <v>1047</v>
      </c>
      <c r="C83" s="5" t="s">
        <v>1020</v>
      </c>
      <c r="D83" s="5" t="s">
        <v>1065</v>
      </c>
    </row>
    <row r="84" spans="1:4" hidden="1" x14ac:dyDescent="0.25">
      <c r="A84" s="5" t="s">
        <v>132</v>
      </c>
      <c r="B84" s="3" t="s">
        <v>1047</v>
      </c>
      <c r="C84" s="5" t="s">
        <v>1020</v>
      </c>
      <c r="D84" s="5" t="s">
        <v>1065</v>
      </c>
    </row>
    <row r="85" spans="1:4" hidden="1" x14ac:dyDescent="0.25">
      <c r="A85" s="5" t="s">
        <v>132</v>
      </c>
      <c r="B85" s="3" t="s">
        <v>1047</v>
      </c>
      <c r="C85" s="5" t="s">
        <v>1020</v>
      </c>
      <c r="D85" s="5" t="s">
        <v>1065</v>
      </c>
    </row>
    <row r="86" spans="1:4" hidden="1" x14ac:dyDescent="0.25">
      <c r="A86" s="5" t="s">
        <v>132</v>
      </c>
      <c r="B86" s="3" t="s">
        <v>1047</v>
      </c>
      <c r="C86" s="5" t="s">
        <v>1020</v>
      </c>
      <c r="D86" s="5" t="s">
        <v>1065</v>
      </c>
    </row>
    <row r="87" spans="1:4" hidden="1" x14ac:dyDescent="0.25">
      <c r="A87" s="5" t="s">
        <v>132</v>
      </c>
      <c r="B87" s="3" t="s">
        <v>1047</v>
      </c>
      <c r="C87" s="5" t="s">
        <v>1020</v>
      </c>
      <c r="D87" s="5" t="s">
        <v>1065</v>
      </c>
    </row>
    <row r="88" spans="1:4" hidden="1" x14ac:dyDescent="0.25">
      <c r="A88" s="5" t="s">
        <v>426</v>
      </c>
      <c r="B88" s="5" t="s">
        <v>1055</v>
      </c>
      <c r="C88" s="5" t="s">
        <v>1020</v>
      </c>
      <c r="D88" s="5" t="s">
        <v>1002</v>
      </c>
    </row>
    <row r="89" spans="1:4" hidden="1" x14ac:dyDescent="0.25">
      <c r="A89" s="5" t="s">
        <v>426</v>
      </c>
      <c r="B89" s="5" t="s">
        <v>1055</v>
      </c>
      <c r="C89" s="5" t="s">
        <v>1020</v>
      </c>
      <c r="D89" s="5" t="s">
        <v>1002</v>
      </c>
    </row>
    <row r="90" spans="1:4" hidden="1" x14ac:dyDescent="0.25">
      <c r="A90" s="5" t="s">
        <v>426</v>
      </c>
      <c r="B90" s="5" t="s">
        <v>1055</v>
      </c>
      <c r="C90" s="5" t="s">
        <v>1020</v>
      </c>
      <c r="D90" s="5" t="s">
        <v>1002</v>
      </c>
    </row>
    <row r="91" spans="1:4" hidden="1" x14ac:dyDescent="0.25">
      <c r="A91" s="5" t="s">
        <v>426</v>
      </c>
      <c r="B91" s="5" t="s">
        <v>1055</v>
      </c>
      <c r="C91" s="5" t="s">
        <v>1020</v>
      </c>
      <c r="D91" s="5" t="s">
        <v>1002</v>
      </c>
    </row>
    <row r="92" spans="1:4" hidden="1" x14ac:dyDescent="0.25">
      <c r="A92" s="5" t="s">
        <v>426</v>
      </c>
      <c r="B92" s="5" t="s">
        <v>1055</v>
      </c>
      <c r="C92" s="5" t="s">
        <v>1020</v>
      </c>
      <c r="D92" s="5" t="s">
        <v>1002</v>
      </c>
    </row>
    <row r="93" spans="1:4" hidden="1" x14ac:dyDescent="0.25">
      <c r="A93" s="5" t="s">
        <v>426</v>
      </c>
      <c r="B93" s="5" t="s">
        <v>1055</v>
      </c>
      <c r="C93" s="5" t="s">
        <v>1020</v>
      </c>
      <c r="D93" s="5" t="s">
        <v>1002</v>
      </c>
    </row>
    <row r="94" spans="1:4" hidden="1" x14ac:dyDescent="0.25">
      <c r="A94" s="5" t="s">
        <v>426</v>
      </c>
      <c r="B94" s="5" t="s">
        <v>1055</v>
      </c>
      <c r="C94" s="5" t="s">
        <v>1020</v>
      </c>
      <c r="D94" s="5" t="s">
        <v>1002</v>
      </c>
    </row>
    <row r="95" spans="1:4" hidden="1" x14ac:dyDescent="0.25">
      <c r="A95" s="5" t="s">
        <v>426</v>
      </c>
      <c r="B95" s="5" t="s">
        <v>1055</v>
      </c>
      <c r="C95" s="5" t="s">
        <v>1020</v>
      </c>
      <c r="D95" s="5" t="s">
        <v>1002</v>
      </c>
    </row>
    <row r="96" spans="1:4" hidden="1" x14ac:dyDescent="0.25">
      <c r="A96" s="5" t="s">
        <v>426</v>
      </c>
      <c r="B96" s="5" t="s">
        <v>1055</v>
      </c>
      <c r="C96" s="5" t="s">
        <v>1020</v>
      </c>
      <c r="D96" s="5" t="s">
        <v>1002</v>
      </c>
    </row>
    <row r="97" spans="1:4" hidden="1" x14ac:dyDescent="0.25">
      <c r="A97" s="5" t="s">
        <v>156</v>
      </c>
      <c r="B97" s="5" t="s">
        <v>1056</v>
      </c>
      <c r="C97" s="5" t="s">
        <v>1020</v>
      </c>
      <c r="D97" s="5" t="s">
        <v>1002</v>
      </c>
    </row>
    <row r="98" spans="1:4" hidden="1" x14ac:dyDescent="0.25">
      <c r="A98" s="5" t="s">
        <v>156</v>
      </c>
      <c r="B98" s="5" t="s">
        <v>1056</v>
      </c>
      <c r="C98" s="5" t="s">
        <v>1020</v>
      </c>
      <c r="D98" s="5" t="s">
        <v>1002</v>
      </c>
    </row>
    <row r="99" spans="1:4" hidden="1" x14ac:dyDescent="0.25">
      <c r="A99" s="5" t="s">
        <v>156</v>
      </c>
      <c r="B99" s="5" t="s">
        <v>1056</v>
      </c>
      <c r="C99" s="5" t="s">
        <v>1020</v>
      </c>
      <c r="D99" s="5" t="s">
        <v>1002</v>
      </c>
    </row>
    <row r="100" spans="1:4" hidden="1" x14ac:dyDescent="0.25">
      <c r="A100" s="5" t="s">
        <v>156</v>
      </c>
      <c r="B100" s="5" t="s">
        <v>1056</v>
      </c>
      <c r="C100" s="5" t="s">
        <v>1020</v>
      </c>
      <c r="D100" s="5" t="s">
        <v>1002</v>
      </c>
    </row>
    <row r="101" spans="1:4" hidden="1" x14ac:dyDescent="0.25">
      <c r="A101" s="5" t="s">
        <v>156</v>
      </c>
      <c r="B101" s="5" t="s">
        <v>1056</v>
      </c>
      <c r="C101" s="5" t="s">
        <v>1020</v>
      </c>
      <c r="D101" s="5" t="s">
        <v>1002</v>
      </c>
    </row>
    <row r="102" spans="1:4" hidden="1" x14ac:dyDescent="0.25">
      <c r="A102" s="5" t="s">
        <v>156</v>
      </c>
      <c r="B102" s="5" t="s">
        <v>1056</v>
      </c>
      <c r="C102" s="5" t="s">
        <v>1020</v>
      </c>
      <c r="D102" s="5" t="s">
        <v>1002</v>
      </c>
    </row>
    <row r="103" spans="1:4" hidden="1" x14ac:dyDescent="0.25">
      <c r="A103" s="5" t="s">
        <v>156</v>
      </c>
      <c r="B103" s="5" t="s">
        <v>1056</v>
      </c>
      <c r="C103" s="5" t="s">
        <v>1020</v>
      </c>
      <c r="D103" s="5" t="s">
        <v>1002</v>
      </c>
    </row>
    <row r="104" spans="1:4" hidden="1" x14ac:dyDescent="0.25">
      <c r="A104" s="5" t="s">
        <v>156</v>
      </c>
      <c r="B104" s="5" t="s">
        <v>1056</v>
      </c>
      <c r="C104" s="5" t="s">
        <v>1020</v>
      </c>
      <c r="D104" s="5" t="s">
        <v>1002</v>
      </c>
    </row>
    <row r="105" spans="1:4" hidden="1" x14ac:dyDescent="0.25">
      <c r="A105" s="5" t="s">
        <v>156</v>
      </c>
      <c r="B105" s="5" t="s">
        <v>1056</v>
      </c>
      <c r="C105" s="5" t="s">
        <v>1020</v>
      </c>
      <c r="D105" s="5" t="s">
        <v>1002</v>
      </c>
    </row>
    <row r="106" spans="1:4" hidden="1" x14ac:dyDescent="0.25">
      <c r="A106" s="5" t="s">
        <v>156</v>
      </c>
      <c r="B106" s="5" t="s">
        <v>1056</v>
      </c>
      <c r="C106" s="5" t="s">
        <v>1020</v>
      </c>
      <c r="D106" s="5" t="s">
        <v>1002</v>
      </c>
    </row>
    <row r="107" spans="1:4" hidden="1" x14ac:dyDescent="0.25">
      <c r="A107" s="5" t="s">
        <v>156</v>
      </c>
      <c r="B107" s="5" t="s">
        <v>1056</v>
      </c>
      <c r="C107" s="5" t="s">
        <v>1020</v>
      </c>
      <c r="D107" s="5" t="s">
        <v>1002</v>
      </c>
    </row>
    <row r="108" spans="1:4" hidden="1" x14ac:dyDescent="0.25">
      <c r="A108" s="5" t="s">
        <v>156</v>
      </c>
      <c r="B108" s="5" t="s">
        <v>1056</v>
      </c>
      <c r="C108" s="5" t="s">
        <v>1020</v>
      </c>
      <c r="D108" s="5" t="s">
        <v>1002</v>
      </c>
    </row>
    <row r="109" spans="1:4" hidden="1" x14ac:dyDescent="0.25">
      <c r="A109" s="5" t="s">
        <v>156</v>
      </c>
      <c r="B109" s="5" t="s">
        <v>1056</v>
      </c>
      <c r="C109" s="5" t="s">
        <v>1020</v>
      </c>
      <c r="D109" s="5" t="s">
        <v>1002</v>
      </c>
    </row>
    <row r="110" spans="1:4" hidden="1" x14ac:dyDescent="0.25">
      <c r="A110" s="5" t="s">
        <v>156</v>
      </c>
      <c r="B110" s="5" t="s">
        <v>1056</v>
      </c>
      <c r="C110" s="5" t="s">
        <v>1020</v>
      </c>
      <c r="D110" s="5" t="s">
        <v>1002</v>
      </c>
    </row>
    <row r="111" spans="1:4" hidden="1" x14ac:dyDescent="0.25">
      <c r="A111" s="5" t="s">
        <v>156</v>
      </c>
      <c r="B111" s="5" t="s">
        <v>1056</v>
      </c>
      <c r="C111" s="5" t="s">
        <v>1020</v>
      </c>
      <c r="D111" s="5" t="s">
        <v>1002</v>
      </c>
    </row>
    <row r="112" spans="1:4" hidden="1" x14ac:dyDescent="0.25">
      <c r="A112" s="5" t="s">
        <v>156</v>
      </c>
      <c r="B112" s="5" t="s">
        <v>1056</v>
      </c>
      <c r="C112" s="5" t="s">
        <v>1020</v>
      </c>
      <c r="D112" s="5" t="s">
        <v>1002</v>
      </c>
    </row>
    <row r="113" spans="1:4" hidden="1" x14ac:dyDescent="0.25">
      <c r="A113" s="5" t="s">
        <v>156</v>
      </c>
      <c r="B113" s="5" t="s">
        <v>1056</v>
      </c>
      <c r="C113" s="5" t="s">
        <v>1020</v>
      </c>
      <c r="D113" s="5" t="s">
        <v>1002</v>
      </c>
    </row>
    <row r="114" spans="1:4" hidden="1" x14ac:dyDescent="0.25">
      <c r="A114" s="5" t="s">
        <v>156</v>
      </c>
      <c r="B114" s="5" t="s">
        <v>1056</v>
      </c>
      <c r="C114" s="5" t="s">
        <v>1020</v>
      </c>
      <c r="D114" s="5" t="s">
        <v>1002</v>
      </c>
    </row>
    <row r="115" spans="1:4" hidden="1" x14ac:dyDescent="0.25">
      <c r="A115" s="5" t="s">
        <v>156</v>
      </c>
      <c r="B115" s="5" t="s">
        <v>1056</v>
      </c>
      <c r="C115" s="5" t="s">
        <v>1020</v>
      </c>
      <c r="D115" s="5" t="s">
        <v>1002</v>
      </c>
    </row>
    <row r="116" spans="1:4" hidden="1" x14ac:dyDescent="0.25">
      <c r="A116" s="5" t="s">
        <v>156</v>
      </c>
      <c r="B116" s="5" t="s">
        <v>1056</v>
      </c>
      <c r="C116" s="5" t="s">
        <v>1020</v>
      </c>
      <c r="D116" s="5" t="s">
        <v>1002</v>
      </c>
    </row>
    <row r="117" spans="1:4" hidden="1" x14ac:dyDescent="0.25">
      <c r="A117" s="5" t="s">
        <v>125</v>
      </c>
      <c r="B117" s="5" t="s">
        <v>1059</v>
      </c>
      <c r="C117" s="5" t="s">
        <v>1020</v>
      </c>
      <c r="D117" s="5" t="s">
        <v>1002</v>
      </c>
    </row>
    <row r="118" spans="1:4" hidden="1" x14ac:dyDescent="0.25">
      <c r="A118" s="5" t="s">
        <v>318</v>
      </c>
      <c r="B118" s="5" t="s">
        <v>1060</v>
      </c>
      <c r="C118" s="5" t="s">
        <v>1020</v>
      </c>
      <c r="D118" s="5" t="s">
        <v>1002</v>
      </c>
    </row>
    <row r="119" spans="1:4" hidden="1" x14ac:dyDescent="0.25">
      <c r="A119" s="5" t="s">
        <v>236</v>
      </c>
      <c r="B119" s="5" t="s">
        <v>1061</v>
      </c>
      <c r="C119" s="5" t="s">
        <v>1020</v>
      </c>
      <c r="D119" s="5" t="s">
        <v>1002</v>
      </c>
    </row>
    <row r="120" spans="1:4" hidden="1" x14ac:dyDescent="0.25">
      <c r="A120" s="5" t="s">
        <v>208</v>
      </c>
      <c r="B120" s="5" t="s">
        <v>1062</v>
      </c>
      <c r="C120" s="5" t="s">
        <v>1020</v>
      </c>
      <c r="D120" s="5" t="s">
        <v>1002</v>
      </c>
    </row>
    <row r="121" spans="1:4" hidden="1" x14ac:dyDescent="0.25">
      <c r="A121" s="5" t="s">
        <v>208</v>
      </c>
      <c r="B121" s="5" t="s">
        <v>1062</v>
      </c>
      <c r="C121" s="5" t="s">
        <v>1020</v>
      </c>
      <c r="D121" s="5" t="s">
        <v>1002</v>
      </c>
    </row>
    <row r="122" spans="1:4" hidden="1" x14ac:dyDescent="0.25">
      <c r="A122" s="5" t="s">
        <v>613</v>
      </c>
      <c r="B122" s="5" t="s">
        <v>1063</v>
      </c>
      <c r="C122" s="5" t="s">
        <v>1020</v>
      </c>
      <c r="D122" s="5" t="s">
        <v>1002</v>
      </c>
    </row>
    <row r="123" spans="1:4" hidden="1" x14ac:dyDescent="0.25">
      <c r="A123" s="5" t="s">
        <v>613</v>
      </c>
      <c r="B123" s="5" t="s">
        <v>1063</v>
      </c>
      <c r="C123" s="5" t="s">
        <v>1020</v>
      </c>
      <c r="D123" s="5" t="s">
        <v>1002</v>
      </c>
    </row>
    <row r="124" spans="1:4" hidden="1" x14ac:dyDescent="0.25">
      <c r="A124" s="5" t="s">
        <v>715</v>
      </c>
      <c r="B124" s="5" t="s">
        <v>1064</v>
      </c>
      <c r="C124" s="5" t="s">
        <v>1020</v>
      </c>
      <c r="D124" s="5" t="s">
        <v>1065</v>
      </c>
    </row>
    <row r="125" spans="1:4" hidden="1" x14ac:dyDescent="0.25">
      <c r="A125" s="5" t="s">
        <v>344</v>
      </c>
      <c r="B125" s="5" t="s">
        <v>1023</v>
      </c>
      <c r="C125" s="5" t="s">
        <v>1020</v>
      </c>
      <c r="D125" s="5" t="s">
        <v>1002</v>
      </c>
    </row>
    <row r="126" spans="1:4" hidden="1" x14ac:dyDescent="0.25">
      <c r="A126" s="5" t="s">
        <v>344</v>
      </c>
      <c r="B126" s="5" t="s">
        <v>1023</v>
      </c>
      <c r="C126" s="5" t="s">
        <v>1020</v>
      </c>
      <c r="D126" s="5" t="s">
        <v>1002</v>
      </c>
    </row>
    <row r="127" spans="1:4" hidden="1" x14ac:dyDescent="0.25">
      <c r="A127" s="5" t="s">
        <v>132</v>
      </c>
      <c r="B127" s="3" t="s">
        <v>1047</v>
      </c>
      <c r="C127" s="5" t="s">
        <v>1020</v>
      </c>
      <c r="D127" s="5" t="s">
        <v>1002</v>
      </c>
    </row>
    <row r="128" spans="1:4" hidden="1" x14ac:dyDescent="0.25">
      <c r="A128" s="5" t="s">
        <v>132</v>
      </c>
      <c r="B128" s="3" t="s">
        <v>1047</v>
      </c>
      <c r="C128" s="5" t="s">
        <v>1020</v>
      </c>
      <c r="D128" s="5" t="s">
        <v>1002</v>
      </c>
    </row>
    <row r="129" spans="1:4" hidden="1" x14ac:dyDescent="0.25">
      <c r="A129" s="5" t="s">
        <v>156</v>
      </c>
      <c r="B129" s="5" t="s">
        <v>1056</v>
      </c>
      <c r="C129" s="5" t="s">
        <v>1020</v>
      </c>
      <c r="D129" s="5" t="s">
        <v>1002</v>
      </c>
    </row>
    <row r="130" spans="1:4" hidden="1" x14ac:dyDescent="0.25">
      <c r="A130" s="3" t="s">
        <v>67</v>
      </c>
      <c r="B130" s="3" t="s">
        <v>1006</v>
      </c>
      <c r="C130" s="3" t="s">
        <v>1020</v>
      </c>
      <c r="D130" s="3" t="s">
        <v>1002</v>
      </c>
    </row>
    <row r="131" spans="1:4" hidden="1" x14ac:dyDescent="0.25">
      <c r="A131" s="3" t="s">
        <v>800</v>
      </c>
      <c r="B131" s="3" t="s">
        <v>997</v>
      </c>
      <c r="C131" s="3" t="s">
        <v>1020</v>
      </c>
      <c r="D131" s="3" t="s">
        <v>1002</v>
      </c>
    </row>
    <row r="132" spans="1:4" hidden="1" x14ac:dyDescent="0.25">
      <c r="A132" s="3" t="s">
        <v>433</v>
      </c>
      <c r="B132" s="3" t="s">
        <v>1001</v>
      </c>
      <c r="C132" s="3" t="s">
        <v>1020</v>
      </c>
      <c r="D132" s="3" t="s">
        <v>1002</v>
      </c>
    </row>
    <row r="133" spans="1:4" hidden="1" x14ac:dyDescent="0.25">
      <c r="A133" s="3" t="s">
        <v>433</v>
      </c>
      <c r="B133" s="3" t="s">
        <v>1001</v>
      </c>
      <c r="C133" s="3" t="s">
        <v>1020</v>
      </c>
      <c r="D133" s="3" t="s">
        <v>1002</v>
      </c>
    </row>
    <row r="134" spans="1:4" hidden="1" x14ac:dyDescent="0.25">
      <c r="A134" s="3" t="s">
        <v>433</v>
      </c>
      <c r="B134" s="3" t="s">
        <v>1001</v>
      </c>
      <c r="C134" s="3" t="s">
        <v>1020</v>
      </c>
      <c r="D134" s="3" t="s">
        <v>1002</v>
      </c>
    </row>
    <row r="135" spans="1:4" hidden="1" x14ac:dyDescent="0.25">
      <c r="A135" s="3" t="s">
        <v>433</v>
      </c>
      <c r="B135" s="3" t="s">
        <v>1001</v>
      </c>
      <c r="C135" s="3" t="s">
        <v>1020</v>
      </c>
      <c r="D135" s="3" t="s">
        <v>1002</v>
      </c>
    </row>
    <row r="136" spans="1:4" hidden="1" x14ac:dyDescent="0.25">
      <c r="A136" s="3" t="s">
        <v>794</v>
      </c>
      <c r="B136" s="3" t="s">
        <v>1003</v>
      </c>
      <c r="C136" s="3" t="s">
        <v>1020</v>
      </c>
      <c r="D136" s="3" t="s">
        <v>1002</v>
      </c>
    </row>
    <row r="137" spans="1:4" hidden="1" x14ac:dyDescent="0.25">
      <c r="A137" s="3" t="s">
        <v>794</v>
      </c>
      <c r="B137" s="3" t="s">
        <v>1003</v>
      </c>
      <c r="C137" s="3" t="s">
        <v>1020</v>
      </c>
      <c r="D137" s="3" t="s">
        <v>1002</v>
      </c>
    </row>
    <row r="138" spans="1:4" hidden="1" x14ac:dyDescent="0.25">
      <c r="A138" s="3" t="s">
        <v>67</v>
      </c>
      <c r="B138" s="3" t="s">
        <v>1006</v>
      </c>
      <c r="C138" s="3" t="s">
        <v>1020</v>
      </c>
      <c r="D138" s="3" t="s">
        <v>1002</v>
      </c>
    </row>
    <row r="139" spans="1:4" hidden="1" x14ac:dyDescent="0.25">
      <c r="A139" s="3" t="s">
        <v>67</v>
      </c>
      <c r="B139" s="3" t="s">
        <v>1006</v>
      </c>
      <c r="C139" s="3" t="s">
        <v>1020</v>
      </c>
      <c r="D139" s="3" t="s">
        <v>1002</v>
      </c>
    </row>
    <row r="140" spans="1:4" hidden="1" x14ac:dyDescent="0.25">
      <c r="A140" s="3" t="s">
        <v>67</v>
      </c>
      <c r="B140" s="3" t="s">
        <v>1006</v>
      </c>
      <c r="C140" s="3" t="s">
        <v>1020</v>
      </c>
      <c r="D140" s="3" t="s">
        <v>1002</v>
      </c>
    </row>
    <row r="141" spans="1:4" hidden="1" x14ac:dyDescent="0.25">
      <c r="A141" s="3" t="s">
        <v>67</v>
      </c>
      <c r="B141" s="3" t="s">
        <v>1006</v>
      </c>
      <c r="C141" s="3" t="s">
        <v>1020</v>
      </c>
      <c r="D141" s="3" t="s">
        <v>1002</v>
      </c>
    </row>
    <row r="142" spans="1:4" hidden="1" x14ac:dyDescent="0.25">
      <c r="A142" s="3" t="s">
        <v>657</v>
      </c>
      <c r="B142" s="3" t="s">
        <v>1007</v>
      </c>
      <c r="C142" s="3" t="s">
        <v>1020</v>
      </c>
      <c r="D142" s="3" t="s">
        <v>1002</v>
      </c>
    </row>
    <row r="143" spans="1:4" hidden="1" x14ac:dyDescent="0.25">
      <c r="A143" s="3" t="s">
        <v>662</v>
      </c>
      <c r="B143" s="3" t="s">
        <v>1037</v>
      </c>
      <c r="C143" s="3" t="s">
        <v>1020</v>
      </c>
      <c r="D143" s="3" t="s">
        <v>1002</v>
      </c>
    </row>
    <row r="144" spans="1:4" hidden="1" x14ac:dyDescent="0.25">
      <c r="A144" s="3" t="s">
        <v>662</v>
      </c>
      <c r="B144" s="3" t="s">
        <v>1037</v>
      </c>
      <c r="C144" s="3" t="s">
        <v>1020</v>
      </c>
      <c r="D144" s="3" t="s">
        <v>1002</v>
      </c>
    </row>
    <row r="145" spans="1:4" hidden="1" x14ac:dyDescent="0.25">
      <c r="A145" s="3" t="s">
        <v>662</v>
      </c>
      <c r="B145" s="3" t="s">
        <v>1037</v>
      </c>
      <c r="C145" s="3" t="s">
        <v>1020</v>
      </c>
      <c r="D145" s="3" t="s">
        <v>1002</v>
      </c>
    </row>
    <row r="146" spans="1:4" hidden="1" x14ac:dyDescent="0.25">
      <c r="A146" s="3" t="s">
        <v>254</v>
      </c>
      <c r="B146" s="3" t="s">
        <v>1037</v>
      </c>
      <c r="C146" s="3" t="s">
        <v>1020</v>
      </c>
      <c r="D146" s="3" t="s">
        <v>1002</v>
      </c>
    </row>
    <row r="147" spans="1:4" hidden="1" x14ac:dyDescent="0.25">
      <c r="A147" s="3" t="s">
        <v>254</v>
      </c>
      <c r="B147" s="3" t="s">
        <v>1037</v>
      </c>
      <c r="C147" s="3" t="s">
        <v>1020</v>
      </c>
      <c r="D147" s="3" t="s">
        <v>1002</v>
      </c>
    </row>
    <row r="148" spans="1:4" hidden="1" x14ac:dyDescent="0.25">
      <c r="A148" s="3" t="s">
        <v>132</v>
      </c>
      <c r="B148" s="3" t="s">
        <v>1047</v>
      </c>
      <c r="C148" s="3" t="s">
        <v>1020</v>
      </c>
      <c r="D148" s="3" t="s">
        <v>1002</v>
      </c>
    </row>
    <row r="149" spans="1:4" hidden="1" x14ac:dyDescent="0.25">
      <c r="A149" s="3" t="s">
        <v>810</v>
      </c>
      <c r="B149" s="3" t="s">
        <v>1008</v>
      </c>
      <c r="C149" s="3" t="s">
        <v>1020</v>
      </c>
      <c r="D149" s="3" t="s">
        <v>1002</v>
      </c>
    </row>
    <row r="150" spans="1:4" hidden="1" x14ac:dyDescent="0.25">
      <c r="A150" s="3" t="s">
        <v>563</v>
      </c>
      <c r="B150" s="3" t="s">
        <v>1009</v>
      </c>
      <c r="C150" s="3" t="s">
        <v>1020</v>
      </c>
      <c r="D150" s="3" t="s">
        <v>1002</v>
      </c>
    </row>
    <row r="151" spans="1:4" hidden="1" x14ac:dyDescent="0.25">
      <c r="A151" s="3" t="s">
        <v>563</v>
      </c>
      <c r="B151" s="3" t="s">
        <v>1009</v>
      </c>
      <c r="C151" s="3" t="s">
        <v>1020</v>
      </c>
      <c r="D151" s="3" t="s">
        <v>1002</v>
      </c>
    </row>
    <row r="152" spans="1:4" hidden="1" x14ac:dyDescent="0.25">
      <c r="A152" s="3" t="s">
        <v>563</v>
      </c>
      <c r="B152" s="3" t="s">
        <v>1009</v>
      </c>
      <c r="C152" s="3" t="s">
        <v>1020</v>
      </c>
      <c r="D152" s="3" t="s">
        <v>1002</v>
      </c>
    </row>
    <row r="153" spans="1:4" hidden="1" x14ac:dyDescent="0.25">
      <c r="A153" s="3" t="s">
        <v>563</v>
      </c>
      <c r="B153" s="3" t="s">
        <v>1009</v>
      </c>
      <c r="C153" s="3" t="s">
        <v>1020</v>
      </c>
      <c r="D153" s="3" t="s">
        <v>1002</v>
      </c>
    </row>
    <row r="154" spans="1:4" hidden="1" x14ac:dyDescent="0.25">
      <c r="A154" s="3" t="s">
        <v>190</v>
      </c>
      <c r="B154" s="3" t="s">
        <v>1010</v>
      </c>
      <c r="C154" s="3" t="s">
        <v>1020</v>
      </c>
      <c r="D154" s="3" t="s">
        <v>1002</v>
      </c>
    </row>
    <row r="155" spans="1:4" hidden="1" x14ac:dyDescent="0.25">
      <c r="A155" s="3" t="s">
        <v>190</v>
      </c>
      <c r="B155" s="3" t="s">
        <v>1010</v>
      </c>
      <c r="C155" s="3" t="s">
        <v>1020</v>
      </c>
      <c r="D155" s="3" t="s">
        <v>1002</v>
      </c>
    </row>
    <row r="156" spans="1:4" hidden="1" x14ac:dyDescent="0.25">
      <c r="A156" s="3" t="s">
        <v>190</v>
      </c>
      <c r="B156" s="3" t="s">
        <v>1010</v>
      </c>
      <c r="C156" s="3" t="s">
        <v>1020</v>
      </c>
      <c r="D156" s="3" t="s">
        <v>1002</v>
      </c>
    </row>
    <row r="157" spans="1:4" hidden="1" x14ac:dyDescent="0.25">
      <c r="A157" s="3" t="s">
        <v>190</v>
      </c>
      <c r="B157" s="3" t="s">
        <v>1010</v>
      </c>
      <c r="C157" s="3" t="s">
        <v>1020</v>
      </c>
      <c r="D157" s="3" t="s">
        <v>1002</v>
      </c>
    </row>
    <row r="158" spans="1:4" hidden="1" x14ac:dyDescent="0.25">
      <c r="A158" s="3" t="s">
        <v>190</v>
      </c>
      <c r="B158" s="3" t="s">
        <v>1010</v>
      </c>
      <c r="C158" s="3" t="s">
        <v>1020</v>
      </c>
      <c r="D158" s="3" t="s">
        <v>1002</v>
      </c>
    </row>
    <row r="159" spans="1:4" hidden="1" x14ac:dyDescent="0.25">
      <c r="A159" s="3" t="s">
        <v>190</v>
      </c>
      <c r="B159" s="3" t="s">
        <v>1010</v>
      </c>
      <c r="C159" s="3" t="s">
        <v>1020</v>
      </c>
      <c r="D159" s="3" t="s">
        <v>1002</v>
      </c>
    </row>
    <row r="160" spans="1:4" hidden="1" x14ac:dyDescent="0.25">
      <c r="A160" s="3" t="s">
        <v>190</v>
      </c>
      <c r="B160" s="3" t="s">
        <v>1010</v>
      </c>
      <c r="C160" s="3" t="s">
        <v>1020</v>
      </c>
      <c r="D160" s="3" t="s">
        <v>1002</v>
      </c>
    </row>
    <row r="161" spans="1:4" hidden="1" x14ac:dyDescent="0.25">
      <c r="A161" s="3" t="s">
        <v>190</v>
      </c>
      <c r="B161" s="3" t="s">
        <v>1010</v>
      </c>
      <c r="C161" s="3" t="s">
        <v>1020</v>
      </c>
      <c r="D161" s="3" t="s">
        <v>1002</v>
      </c>
    </row>
    <row r="162" spans="1:4" hidden="1" x14ac:dyDescent="0.25">
      <c r="A162" s="3" t="s">
        <v>190</v>
      </c>
      <c r="B162" s="3" t="s">
        <v>1010</v>
      </c>
      <c r="C162" s="3" t="s">
        <v>1020</v>
      </c>
      <c r="D162" s="3" t="s">
        <v>1002</v>
      </c>
    </row>
    <row r="163" spans="1:4" hidden="1" x14ac:dyDescent="0.25">
      <c r="A163" s="3" t="s">
        <v>190</v>
      </c>
      <c r="B163" s="3" t="s">
        <v>1010</v>
      </c>
      <c r="C163" s="3" t="s">
        <v>1020</v>
      </c>
      <c r="D163" s="3" t="s">
        <v>1002</v>
      </c>
    </row>
    <row r="164" spans="1:4" hidden="1" x14ac:dyDescent="0.25">
      <c r="A164" s="3" t="s">
        <v>289</v>
      </c>
      <c r="B164" s="3" t="s">
        <v>1011</v>
      </c>
      <c r="C164" s="3" t="s">
        <v>1020</v>
      </c>
      <c r="D164" s="3" t="s">
        <v>1002</v>
      </c>
    </row>
    <row r="165" spans="1:4" hidden="1" x14ac:dyDescent="0.25">
      <c r="A165" s="3" t="s">
        <v>289</v>
      </c>
      <c r="B165" s="3" t="s">
        <v>1011</v>
      </c>
      <c r="C165" s="3" t="s">
        <v>1020</v>
      </c>
      <c r="D165" s="3" t="s">
        <v>1002</v>
      </c>
    </row>
    <row r="166" spans="1:4" hidden="1" x14ac:dyDescent="0.25">
      <c r="A166" s="3" t="s">
        <v>289</v>
      </c>
      <c r="B166" s="3" t="s">
        <v>1011</v>
      </c>
      <c r="C166" s="3" t="s">
        <v>1020</v>
      </c>
      <c r="D166" s="3" t="s">
        <v>1002</v>
      </c>
    </row>
    <row r="167" spans="1:4" hidden="1" x14ac:dyDescent="0.25">
      <c r="A167" s="3" t="s">
        <v>397</v>
      </c>
      <c r="B167" s="3" t="s">
        <v>1012</v>
      </c>
      <c r="C167" s="3" t="s">
        <v>1020</v>
      </c>
      <c r="D167" s="3" t="s">
        <v>1002</v>
      </c>
    </row>
    <row r="168" spans="1:4" hidden="1" x14ac:dyDescent="0.25">
      <c r="A168" s="3" t="s">
        <v>732</v>
      </c>
      <c r="B168" s="3" t="s">
        <v>1028</v>
      </c>
      <c r="C168" s="3" t="s">
        <v>1020</v>
      </c>
      <c r="D168" s="3" t="s">
        <v>1002</v>
      </c>
    </row>
    <row r="169" spans="1:4" hidden="1" x14ac:dyDescent="0.25">
      <c r="A169" s="3" t="s">
        <v>732</v>
      </c>
      <c r="B169" s="3" t="s">
        <v>1028</v>
      </c>
      <c r="C169" s="3" t="s">
        <v>1020</v>
      </c>
      <c r="D169" s="3" t="s">
        <v>1002</v>
      </c>
    </row>
    <row r="170" spans="1:4" hidden="1" x14ac:dyDescent="0.25">
      <c r="A170" s="3" t="s">
        <v>474</v>
      </c>
      <c r="B170" s="3" t="s">
        <v>1029</v>
      </c>
      <c r="C170" s="3" t="s">
        <v>1020</v>
      </c>
      <c r="D170" s="3" t="s">
        <v>1002</v>
      </c>
    </row>
    <row r="171" spans="1:4" hidden="1" x14ac:dyDescent="0.25">
      <c r="A171" s="3" t="s">
        <v>474</v>
      </c>
      <c r="B171" s="3" t="s">
        <v>1029</v>
      </c>
      <c r="C171" s="3" t="s">
        <v>1020</v>
      </c>
      <c r="D171" s="3" t="s">
        <v>1002</v>
      </c>
    </row>
    <row r="172" spans="1:4" hidden="1" x14ac:dyDescent="0.25">
      <c r="A172" s="3" t="s">
        <v>474</v>
      </c>
      <c r="B172" s="3" t="s">
        <v>1029</v>
      </c>
      <c r="C172" s="3" t="s">
        <v>1020</v>
      </c>
      <c r="D172" s="3" t="s">
        <v>1002</v>
      </c>
    </row>
    <row r="173" spans="1:4" hidden="1" x14ac:dyDescent="0.25">
      <c r="A173" s="3" t="s">
        <v>474</v>
      </c>
      <c r="B173" s="3" t="s">
        <v>1029</v>
      </c>
      <c r="C173" s="3" t="s">
        <v>1020</v>
      </c>
      <c r="D173" s="3" t="s">
        <v>1002</v>
      </c>
    </row>
    <row r="174" spans="1:4" hidden="1" x14ac:dyDescent="0.25">
      <c r="A174" s="3" t="s">
        <v>474</v>
      </c>
      <c r="B174" s="3" t="s">
        <v>1029</v>
      </c>
      <c r="C174" s="3" t="s">
        <v>1020</v>
      </c>
      <c r="D174" s="3" t="s">
        <v>1002</v>
      </c>
    </row>
    <row r="175" spans="1:4" hidden="1" x14ac:dyDescent="0.25">
      <c r="A175" s="3" t="s">
        <v>474</v>
      </c>
      <c r="B175" s="3" t="s">
        <v>1029</v>
      </c>
      <c r="C175" s="3" t="s">
        <v>1020</v>
      </c>
      <c r="D175" s="3" t="s">
        <v>1002</v>
      </c>
    </row>
    <row r="176" spans="1:4" hidden="1" x14ac:dyDescent="0.25">
      <c r="A176" s="3" t="s">
        <v>132</v>
      </c>
      <c r="B176" s="3" t="s">
        <v>1047</v>
      </c>
      <c r="C176" s="3" t="s">
        <v>1020</v>
      </c>
      <c r="D176" s="3" t="s">
        <v>1002</v>
      </c>
    </row>
    <row r="177" spans="1:4" hidden="1" x14ac:dyDescent="0.25">
      <c r="A177" s="3" t="s">
        <v>132</v>
      </c>
      <c r="B177" s="3" t="s">
        <v>1047</v>
      </c>
      <c r="C177" s="3" t="s">
        <v>1020</v>
      </c>
      <c r="D177" s="3" t="s">
        <v>1002</v>
      </c>
    </row>
    <row r="178" spans="1:4" hidden="1" x14ac:dyDescent="0.25">
      <c r="A178" s="3" t="s">
        <v>132</v>
      </c>
      <c r="B178" s="3" t="s">
        <v>1047</v>
      </c>
      <c r="C178" s="3" t="s">
        <v>1020</v>
      </c>
      <c r="D178" s="3" t="s">
        <v>1002</v>
      </c>
    </row>
    <row r="179" spans="1:4" hidden="1" x14ac:dyDescent="0.25">
      <c r="A179" s="3" t="s">
        <v>132</v>
      </c>
      <c r="B179" s="3" t="s">
        <v>1047</v>
      </c>
      <c r="C179" s="3" t="s">
        <v>1020</v>
      </c>
      <c r="D179" s="3" t="s">
        <v>1002</v>
      </c>
    </row>
    <row r="180" spans="1:4" hidden="1" x14ac:dyDescent="0.25">
      <c r="A180" s="3" t="s">
        <v>132</v>
      </c>
      <c r="B180" s="3" t="s">
        <v>1047</v>
      </c>
      <c r="C180" s="3" t="s">
        <v>1020</v>
      </c>
      <c r="D180" s="3" t="s">
        <v>1002</v>
      </c>
    </row>
    <row r="181" spans="1:4" hidden="1" x14ac:dyDescent="0.25">
      <c r="A181" s="3" t="s">
        <v>76</v>
      </c>
      <c r="B181" s="3" t="s">
        <v>1014</v>
      </c>
      <c r="C181" s="3" t="s">
        <v>1057</v>
      </c>
      <c r="D181" s="3" t="s">
        <v>1058</v>
      </c>
    </row>
    <row r="182" spans="1:4" hidden="1" x14ac:dyDescent="0.25">
      <c r="A182" s="3" t="s">
        <v>76</v>
      </c>
      <c r="B182" s="3" t="s">
        <v>1014</v>
      </c>
      <c r="C182" s="3" t="s">
        <v>1057</v>
      </c>
      <c r="D182" s="3" t="s">
        <v>1058</v>
      </c>
    </row>
    <row r="183" spans="1:4" hidden="1" x14ac:dyDescent="0.25">
      <c r="A183" s="3" t="s">
        <v>76</v>
      </c>
      <c r="B183" s="3" t="s">
        <v>1014</v>
      </c>
      <c r="C183" s="3" t="s">
        <v>1057</v>
      </c>
      <c r="D183" s="3" t="s">
        <v>1058</v>
      </c>
    </row>
    <row r="184" spans="1:4" hidden="1" x14ac:dyDescent="0.25">
      <c r="A184" s="3" t="s">
        <v>76</v>
      </c>
      <c r="B184" s="3" t="s">
        <v>1014</v>
      </c>
      <c r="C184" s="3" t="s">
        <v>1057</v>
      </c>
      <c r="D184" s="3" t="s">
        <v>1058</v>
      </c>
    </row>
    <row r="185" spans="1:4" hidden="1" x14ac:dyDescent="0.25">
      <c r="A185" s="3" t="s">
        <v>76</v>
      </c>
      <c r="B185" s="3" t="s">
        <v>1014</v>
      </c>
      <c r="C185" s="3" t="s">
        <v>1057</v>
      </c>
      <c r="D185" s="3" t="s">
        <v>1058</v>
      </c>
    </row>
    <row r="186" spans="1:4" hidden="1" x14ac:dyDescent="0.25">
      <c r="A186" s="3" t="s">
        <v>76</v>
      </c>
      <c r="B186" s="3" t="s">
        <v>1014</v>
      </c>
      <c r="C186" s="3" t="s">
        <v>1057</v>
      </c>
      <c r="D186" s="3" t="s">
        <v>1058</v>
      </c>
    </row>
    <row r="187" spans="1:4" hidden="1" x14ac:dyDescent="0.25">
      <c r="A187" s="3" t="s">
        <v>76</v>
      </c>
      <c r="B187" s="3" t="s">
        <v>1014</v>
      </c>
      <c r="C187" s="3" t="s">
        <v>1057</v>
      </c>
      <c r="D187" s="3" t="s">
        <v>1058</v>
      </c>
    </row>
    <row r="188" spans="1:4" hidden="1" x14ac:dyDescent="0.25">
      <c r="A188" s="3" t="s">
        <v>76</v>
      </c>
      <c r="B188" s="3" t="s">
        <v>1014</v>
      </c>
      <c r="C188" s="3" t="s">
        <v>1057</v>
      </c>
      <c r="D188" s="3" t="s">
        <v>1058</v>
      </c>
    </row>
    <row r="189" spans="1:4" hidden="1" x14ac:dyDescent="0.25">
      <c r="A189" s="3" t="s">
        <v>76</v>
      </c>
      <c r="B189" s="3" t="s">
        <v>1014</v>
      </c>
      <c r="C189" s="3" t="s">
        <v>1057</v>
      </c>
      <c r="D189" s="3" t="s">
        <v>1058</v>
      </c>
    </row>
    <row r="190" spans="1:4" hidden="1" x14ac:dyDescent="0.25">
      <c r="A190" s="3" t="s">
        <v>76</v>
      </c>
      <c r="B190" s="3" t="s">
        <v>1014</v>
      </c>
      <c r="C190" s="3" t="s">
        <v>1057</v>
      </c>
      <c r="D190" s="3" t="s">
        <v>1058</v>
      </c>
    </row>
    <row r="191" spans="1:4" hidden="1" x14ac:dyDescent="0.25">
      <c r="A191" s="3" t="s">
        <v>76</v>
      </c>
      <c r="B191" s="3" t="s">
        <v>1014</v>
      </c>
      <c r="C191" s="3" t="s">
        <v>1057</v>
      </c>
      <c r="D191" s="3" t="s">
        <v>1058</v>
      </c>
    </row>
    <row r="192" spans="1:4" hidden="1" x14ac:dyDescent="0.25">
      <c r="A192" s="3" t="s">
        <v>76</v>
      </c>
      <c r="B192" s="3" t="s">
        <v>1014</v>
      </c>
      <c r="C192" s="3" t="s">
        <v>1057</v>
      </c>
      <c r="D192" s="3" t="s">
        <v>1058</v>
      </c>
    </row>
    <row r="193" spans="1:4" hidden="1" x14ac:dyDescent="0.25">
      <c r="A193" s="3" t="s">
        <v>76</v>
      </c>
      <c r="B193" s="3" t="s">
        <v>1014</v>
      </c>
      <c r="C193" s="3" t="s">
        <v>1057</v>
      </c>
      <c r="D193" s="3" t="s">
        <v>1058</v>
      </c>
    </row>
    <row r="194" spans="1:4" hidden="1" x14ac:dyDescent="0.25">
      <c r="A194" s="3" t="s">
        <v>76</v>
      </c>
      <c r="B194" s="3" t="s">
        <v>1014</v>
      </c>
      <c r="C194" s="3" t="s">
        <v>1057</v>
      </c>
      <c r="D194" s="3" t="s">
        <v>1058</v>
      </c>
    </row>
    <row r="195" spans="1:4" hidden="1" x14ac:dyDescent="0.25">
      <c r="A195" s="3" t="s">
        <v>90</v>
      </c>
      <c r="B195" s="3" t="s">
        <v>1015</v>
      </c>
      <c r="C195" s="3" t="s">
        <v>1020</v>
      </c>
      <c r="D195" s="3" t="s">
        <v>1002</v>
      </c>
    </row>
    <row r="196" spans="1:4" hidden="1" x14ac:dyDescent="0.25">
      <c r="A196" s="3" t="s">
        <v>90</v>
      </c>
      <c r="B196" s="3" t="s">
        <v>1015</v>
      </c>
      <c r="C196" s="3" t="s">
        <v>1020</v>
      </c>
      <c r="D196" s="3" t="s">
        <v>1002</v>
      </c>
    </row>
    <row r="197" spans="1:4" hidden="1" x14ac:dyDescent="0.25">
      <c r="A197" s="3" t="s">
        <v>90</v>
      </c>
      <c r="B197" s="3" t="s">
        <v>1015</v>
      </c>
      <c r="C197" s="3" t="s">
        <v>1020</v>
      </c>
      <c r="D197" s="3" t="s">
        <v>1002</v>
      </c>
    </row>
    <row r="198" spans="1:4" hidden="1" x14ac:dyDescent="0.25">
      <c r="A198" s="3" t="s">
        <v>90</v>
      </c>
      <c r="B198" s="3" t="s">
        <v>1015</v>
      </c>
      <c r="C198" s="3" t="s">
        <v>1020</v>
      </c>
      <c r="D198" s="3" t="s">
        <v>1002</v>
      </c>
    </row>
    <row r="199" spans="1:4" hidden="1" x14ac:dyDescent="0.25">
      <c r="A199" s="3" t="s">
        <v>604</v>
      </c>
      <c r="B199" s="3" t="s">
        <v>1016</v>
      </c>
      <c r="C199" s="3" t="s">
        <v>1020</v>
      </c>
      <c r="D199" s="3" t="s">
        <v>1002</v>
      </c>
    </row>
    <row r="200" spans="1:4" hidden="1" x14ac:dyDescent="0.25">
      <c r="A200" s="3" t="s">
        <v>419</v>
      </c>
      <c r="B200" s="3" t="s">
        <v>1017</v>
      </c>
      <c r="C200" s="3" t="s">
        <v>1020</v>
      </c>
      <c r="D200" s="3" t="s">
        <v>1002</v>
      </c>
    </row>
    <row r="201" spans="1:4" hidden="1" x14ac:dyDescent="0.25">
      <c r="A201" s="3" t="s">
        <v>419</v>
      </c>
      <c r="B201" s="3" t="s">
        <v>1017</v>
      </c>
      <c r="C201" s="3" t="s">
        <v>1020</v>
      </c>
      <c r="D201" s="3" t="s">
        <v>1002</v>
      </c>
    </row>
    <row r="202" spans="1:4" hidden="1" x14ac:dyDescent="0.25">
      <c r="A202" s="3" t="s">
        <v>190</v>
      </c>
      <c r="B202" s="3" t="s">
        <v>1010</v>
      </c>
      <c r="C202" s="3" t="s">
        <v>1020</v>
      </c>
      <c r="D202" s="3" t="s">
        <v>1002</v>
      </c>
    </row>
    <row r="203" spans="1:4" hidden="1" x14ac:dyDescent="0.25">
      <c r="A203" s="3" t="s">
        <v>190</v>
      </c>
      <c r="B203" s="3" t="s">
        <v>1010</v>
      </c>
      <c r="C203" s="3" t="s">
        <v>1020</v>
      </c>
      <c r="D203" s="3" t="s">
        <v>1002</v>
      </c>
    </row>
  </sheetData>
  <autoFilter ref="A1:D203" xr:uid="{7A01B5F5-B9FB-421A-B8AB-D824307029F7}">
    <filterColumn colId="0">
      <filters>
        <filter val="860503159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1426-3E64-4911-87ED-AD92AD806B30}">
  <dimension ref="A2:F26"/>
  <sheetViews>
    <sheetView tabSelected="1" workbookViewId="0">
      <selection activeCell="E24" sqref="E24"/>
    </sheetView>
  </sheetViews>
  <sheetFormatPr baseColWidth="10" defaultRowHeight="15" x14ac:dyDescent="0.25"/>
  <cols>
    <col min="2" max="2" width="41.7109375" customWidth="1"/>
    <col min="3" max="3" width="13.140625" bestFit="1" customWidth="1"/>
    <col min="4" max="5" width="14.140625" bestFit="1" customWidth="1"/>
  </cols>
  <sheetData>
    <row r="2" spans="1:6" x14ac:dyDescent="0.25">
      <c r="A2" s="9" t="s">
        <v>1067</v>
      </c>
      <c r="B2" s="9" t="s">
        <v>1068</v>
      </c>
      <c r="C2" s="9" t="s">
        <v>1066</v>
      </c>
      <c r="D2" s="9" t="s">
        <v>1069</v>
      </c>
      <c r="E2" s="11" t="s">
        <v>1070</v>
      </c>
      <c r="F2" s="11" t="s">
        <v>1071</v>
      </c>
    </row>
    <row r="3" spans="1:6" x14ac:dyDescent="0.25">
      <c r="A3" s="10" t="s">
        <v>810</v>
      </c>
      <c r="B3" t="s">
        <v>811</v>
      </c>
      <c r="C3" s="7">
        <v>30336</v>
      </c>
      <c r="D3" s="7">
        <v>190000</v>
      </c>
      <c r="E3" s="7">
        <v>159664</v>
      </c>
      <c r="F3" s="7">
        <f>D3-C3-E3</f>
        <v>0</v>
      </c>
    </row>
    <row r="4" spans="1:6" x14ac:dyDescent="0.25">
      <c r="A4" s="10" t="s">
        <v>76</v>
      </c>
      <c r="B4" t="s">
        <v>77</v>
      </c>
      <c r="C4" s="7">
        <v>1232230</v>
      </c>
      <c r="D4" s="7">
        <v>7717650</v>
      </c>
      <c r="E4" s="7">
        <v>6485420</v>
      </c>
      <c r="F4" s="7">
        <f t="shared" ref="F4:F21" si="0">D4-C4-E4</f>
        <v>0</v>
      </c>
    </row>
    <row r="5" spans="1:6" x14ac:dyDescent="0.25">
      <c r="A5" s="10" t="s">
        <v>254</v>
      </c>
      <c r="B5" t="s">
        <v>255</v>
      </c>
      <c r="C5" s="7">
        <v>6026</v>
      </c>
      <c r="D5" s="7">
        <v>37742</v>
      </c>
      <c r="E5" s="7">
        <v>31716</v>
      </c>
      <c r="F5" s="7">
        <f t="shared" si="0"/>
        <v>0</v>
      </c>
    </row>
    <row r="6" spans="1:6" x14ac:dyDescent="0.25">
      <c r="A6" s="10" t="s">
        <v>190</v>
      </c>
      <c r="B6" t="s">
        <v>191</v>
      </c>
      <c r="C6" s="7">
        <v>193539</v>
      </c>
      <c r="D6" s="7">
        <v>1212167</v>
      </c>
      <c r="E6" s="7">
        <v>1018628</v>
      </c>
      <c r="F6" s="7">
        <f t="shared" si="0"/>
        <v>0</v>
      </c>
    </row>
    <row r="7" spans="1:6" x14ac:dyDescent="0.25">
      <c r="A7" s="10" t="s">
        <v>289</v>
      </c>
      <c r="B7" t="s">
        <v>290</v>
      </c>
      <c r="C7" s="7">
        <v>1245736</v>
      </c>
      <c r="D7" s="7">
        <v>7802244</v>
      </c>
      <c r="E7" s="7">
        <v>6556508</v>
      </c>
      <c r="F7" s="7">
        <f t="shared" si="0"/>
        <v>0</v>
      </c>
    </row>
    <row r="8" spans="1:6" x14ac:dyDescent="0.25">
      <c r="A8" s="10" t="s">
        <v>604</v>
      </c>
      <c r="B8" t="s">
        <v>605</v>
      </c>
      <c r="C8" s="7">
        <v>38693</v>
      </c>
      <c r="D8" s="7">
        <v>242340</v>
      </c>
      <c r="E8" s="7">
        <v>203647</v>
      </c>
      <c r="F8" s="7">
        <f t="shared" si="0"/>
        <v>0</v>
      </c>
    </row>
    <row r="9" spans="1:6" x14ac:dyDescent="0.25">
      <c r="A9" s="10" t="s">
        <v>90</v>
      </c>
      <c r="B9" t="s">
        <v>91</v>
      </c>
      <c r="C9" s="7">
        <v>190635</v>
      </c>
      <c r="D9" s="7">
        <v>1193975</v>
      </c>
      <c r="E9" s="7">
        <v>1003340</v>
      </c>
      <c r="F9" s="7">
        <f t="shared" si="0"/>
        <v>0</v>
      </c>
    </row>
    <row r="10" spans="1:6" x14ac:dyDescent="0.25">
      <c r="A10" s="10" t="s">
        <v>657</v>
      </c>
      <c r="B10" t="s">
        <v>658</v>
      </c>
      <c r="C10" s="7">
        <v>11951</v>
      </c>
      <c r="D10" s="7">
        <v>74850</v>
      </c>
      <c r="E10" s="7">
        <v>62899</v>
      </c>
      <c r="F10" s="7">
        <f t="shared" si="0"/>
        <v>0</v>
      </c>
    </row>
    <row r="11" spans="1:6" x14ac:dyDescent="0.25">
      <c r="A11" s="10" t="s">
        <v>794</v>
      </c>
      <c r="B11" t="s">
        <v>795</v>
      </c>
      <c r="C11" s="7">
        <v>112348</v>
      </c>
      <c r="D11" s="7">
        <v>703653</v>
      </c>
      <c r="E11" s="7">
        <v>591305</v>
      </c>
      <c r="F11" s="7">
        <f t="shared" si="0"/>
        <v>0</v>
      </c>
    </row>
    <row r="12" spans="1:6" x14ac:dyDescent="0.25">
      <c r="A12" s="10" t="s">
        <v>800</v>
      </c>
      <c r="B12" t="s">
        <v>801</v>
      </c>
      <c r="C12" s="7">
        <v>883291</v>
      </c>
      <c r="D12" s="7">
        <v>5532188</v>
      </c>
      <c r="E12" s="7">
        <v>4648897</v>
      </c>
      <c r="F12" s="7">
        <f t="shared" si="0"/>
        <v>0</v>
      </c>
    </row>
    <row r="13" spans="1:6" x14ac:dyDescent="0.25">
      <c r="A13" s="10" t="s">
        <v>433</v>
      </c>
      <c r="B13" t="s">
        <v>434</v>
      </c>
      <c r="C13" s="7">
        <v>217941</v>
      </c>
      <c r="D13" s="7">
        <v>1365000</v>
      </c>
      <c r="E13" s="7">
        <v>1147059</v>
      </c>
      <c r="F13" s="7">
        <f t="shared" si="0"/>
        <v>0</v>
      </c>
    </row>
    <row r="14" spans="1:6" x14ac:dyDescent="0.25">
      <c r="A14" s="10" t="s">
        <v>419</v>
      </c>
      <c r="B14" t="s">
        <v>420</v>
      </c>
      <c r="C14" s="7">
        <v>197376</v>
      </c>
      <c r="D14" s="7">
        <v>1236200</v>
      </c>
      <c r="E14" s="7">
        <v>1038824</v>
      </c>
      <c r="F14" s="7">
        <f t="shared" si="0"/>
        <v>0</v>
      </c>
    </row>
    <row r="15" spans="1:6" x14ac:dyDescent="0.25">
      <c r="A15" s="10" t="s">
        <v>732</v>
      </c>
      <c r="B15" t="s">
        <v>733</v>
      </c>
      <c r="C15" s="7">
        <v>292903</v>
      </c>
      <c r="D15" s="7">
        <v>1834500</v>
      </c>
      <c r="E15" s="7">
        <v>1541597</v>
      </c>
      <c r="F15" s="7">
        <f t="shared" si="0"/>
        <v>0</v>
      </c>
    </row>
    <row r="16" spans="1:6" x14ac:dyDescent="0.25">
      <c r="A16" s="10" t="s">
        <v>67</v>
      </c>
      <c r="B16" t="s">
        <v>68</v>
      </c>
      <c r="C16" s="7">
        <v>250425</v>
      </c>
      <c r="D16" s="7">
        <v>1568450</v>
      </c>
      <c r="E16" s="7">
        <v>1318025</v>
      </c>
      <c r="F16" s="7">
        <f t="shared" si="0"/>
        <v>0</v>
      </c>
    </row>
    <row r="17" spans="1:6" x14ac:dyDescent="0.25">
      <c r="A17" s="10" t="s">
        <v>662</v>
      </c>
      <c r="B17" t="s">
        <v>663</v>
      </c>
      <c r="C17" s="7">
        <v>90050</v>
      </c>
      <c r="D17" s="7">
        <v>564000</v>
      </c>
      <c r="E17" s="7">
        <v>473950</v>
      </c>
      <c r="F17" s="7">
        <f t="shared" si="0"/>
        <v>0</v>
      </c>
    </row>
    <row r="18" spans="1:6" x14ac:dyDescent="0.25">
      <c r="A18" s="10" t="s">
        <v>474</v>
      </c>
      <c r="B18" t="s">
        <v>475</v>
      </c>
      <c r="C18" s="7">
        <v>97139</v>
      </c>
      <c r="D18" s="7">
        <v>608400</v>
      </c>
      <c r="E18" s="7">
        <v>511261</v>
      </c>
      <c r="F18" s="7">
        <f t="shared" si="0"/>
        <v>0</v>
      </c>
    </row>
    <row r="19" spans="1:6" x14ac:dyDescent="0.25">
      <c r="A19" s="10" t="s">
        <v>397</v>
      </c>
      <c r="B19" t="s">
        <v>398</v>
      </c>
      <c r="C19" s="7">
        <v>39916</v>
      </c>
      <c r="D19" s="7">
        <v>250000</v>
      </c>
      <c r="E19" s="7">
        <v>210084</v>
      </c>
      <c r="F19" s="7">
        <f t="shared" si="0"/>
        <v>0</v>
      </c>
    </row>
    <row r="20" spans="1:6" x14ac:dyDescent="0.25">
      <c r="A20" s="10" t="s">
        <v>132</v>
      </c>
      <c r="B20" t="s">
        <v>197</v>
      </c>
      <c r="C20" s="7">
        <v>33929</v>
      </c>
      <c r="D20" s="7">
        <v>215500</v>
      </c>
      <c r="E20" s="7">
        <v>178574</v>
      </c>
      <c r="F20" s="7">
        <f t="shared" si="0"/>
        <v>2997</v>
      </c>
    </row>
    <row r="21" spans="1:6" x14ac:dyDescent="0.25">
      <c r="A21" s="10" t="s">
        <v>563</v>
      </c>
      <c r="B21" t="s">
        <v>564</v>
      </c>
      <c r="C21" s="7">
        <v>72360</v>
      </c>
      <c r="D21" s="7">
        <v>503200</v>
      </c>
      <c r="E21" s="7">
        <v>380842</v>
      </c>
      <c r="F21" s="7">
        <f t="shared" si="0"/>
        <v>49998</v>
      </c>
    </row>
    <row r="23" spans="1:6" x14ac:dyDescent="0.25">
      <c r="B23" t="s">
        <v>1069</v>
      </c>
      <c r="C23" s="7">
        <f>SUM(C3:C22)</f>
        <v>5236824</v>
      </c>
      <c r="D23" s="7">
        <f t="shared" ref="D23:F23" si="1">SUM(D3:D22)</f>
        <v>32852059</v>
      </c>
      <c r="E23" s="7">
        <f>SUM(E3:E22)</f>
        <v>27562240</v>
      </c>
      <c r="F23" s="7">
        <f t="shared" si="1"/>
        <v>52995</v>
      </c>
    </row>
    <row r="26" spans="1:6" x14ac:dyDescent="0.25">
      <c r="E26" s="7">
        <f>E23+F23</f>
        <v>27615235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9EC0-652C-47A1-91D4-761CA5423921}">
  <dimension ref="A2:F51"/>
  <sheetViews>
    <sheetView workbookViewId="0">
      <pane ySplit="2" topLeftCell="A30" activePane="bottomLeft" state="frozen"/>
      <selection pane="bottomLeft" activeCell="E52" sqref="E52"/>
    </sheetView>
  </sheetViews>
  <sheetFormatPr baseColWidth="10" defaultRowHeight="15" x14ac:dyDescent="0.25"/>
  <cols>
    <col min="2" max="2" width="56.5703125" customWidth="1"/>
    <col min="3" max="3" width="13.140625" bestFit="1" customWidth="1"/>
    <col min="4" max="5" width="14.140625" bestFit="1" customWidth="1"/>
    <col min="6" max="6" width="13.7109375" customWidth="1"/>
  </cols>
  <sheetData>
    <row r="2" spans="1:6" x14ac:dyDescent="0.25">
      <c r="A2" s="9" t="s">
        <v>1072</v>
      </c>
      <c r="B2" s="9" t="s">
        <v>1068</v>
      </c>
      <c r="C2" s="9" t="s">
        <v>1066</v>
      </c>
      <c r="D2" s="9" t="s">
        <v>1069</v>
      </c>
      <c r="E2" s="11" t="s">
        <v>1070</v>
      </c>
      <c r="F2" s="11" t="s">
        <v>1071</v>
      </c>
    </row>
    <row r="3" spans="1:6" x14ac:dyDescent="0.25">
      <c r="A3" s="10">
        <v>900276962</v>
      </c>
      <c r="B3" t="s">
        <v>468</v>
      </c>
      <c r="C3" s="7">
        <v>17136</v>
      </c>
      <c r="D3" s="7">
        <v>129630</v>
      </c>
      <c r="E3" s="7">
        <v>90189</v>
      </c>
      <c r="F3" s="7">
        <v>22305</v>
      </c>
    </row>
    <row r="4" spans="1:6" x14ac:dyDescent="0.25">
      <c r="A4" s="10" t="s">
        <v>593</v>
      </c>
      <c r="B4" t="s">
        <v>594</v>
      </c>
      <c r="C4" s="7">
        <v>2315</v>
      </c>
      <c r="D4" s="7">
        <v>206500</v>
      </c>
      <c r="E4" s="7">
        <v>12184</v>
      </c>
      <c r="F4" s="7">
        <v>192001</v>
      </c>
    </row>
    <row r="5" spans="1:6" x14ac:dyDescent="0.25">
      <c r="A5" s="10" t="s">
        <v>329</v>
      </c>
      <c r="B5" t="s">
        <v>330</v>
      </c>
      <c r="C5" s="7">
        <v>0</v>
      </c>
      <c r="D5" s="7">
        <v>175450</v>
      </c>
      <c r="E5" s="7">
        <v>0</v>
      </c>
      <c r="F5" s="7">
        <v>175450</v>
      </c>
    </row>
    <row r="6" spans="1:6" x14ac:dyDescent="0.25">
      <c r="A6" s="10" t="s">
        <v>248</v>
      </c>
      <c r="B6" t="s">
        <v>249</v>
      </c>
      <c r="C6" s="7">
        <v>27925</v>
      </c>
      <c r="D6" s="7">
        <v>174900</v>
      </c>
      <c r="E6" s="7">
        <v>146975</v>
      </c>
      <c r="F6" s="7">
        <v>0</v>
      </c>
    </row>
    <row r="7" spans="1:6" x14ac:dyDescent="0.25">
      <c r="A7" s="10" t="s">
        <v>156</v>
      </c>
      <c r="B7" t="s">
        <v>157</v>
      </c>
      <c r="C7" s="7">
        <v>381278</v>
      </c>
      <c r="D7" s="7">
        <v>2445806</v>
      </c>
      <c r="E7" s="7">
        <v>2006726</v>
      </c>
      <c r="F7" s="7">
        <v>57802</v>
      </c>
    </row>
    <row r="8" spans="1:6" x14ac:dyDescent="0.25">
      <c r="A8" s="10" t="s">
        <v>208</v>
      </c>
      <c r="B8" t="s">
        <v>209</v>
      </c>
      <c r="C8" s="7">
        <v>46935</v>
      </c>
      <c r="D8" s="7">
        <v>293960</v>
      </c>
      <c r="E8" s="7">
        <v>247025</v>
      </c>
      <c r="F8" s="7">
        <v>0</v>
      </c>
    </row>
    <row r="9" spans="1:6" x14ac:dyDescent="0.25">
      <c r="A9" s="10" t="s">
        <v>823</v>
      </c>
      <c r="B9" t="s">
        <v>824</v>
      </c>
      <c r="C9" s="7">
        <v>10602</v>
      </c>
      <c r="D9" s="7">
        <v>66400</v>
      </c>
      <c r="E9" s="7">
        <v>55798</v>
      </c>
      <c r="F9" s="7">
        <v>0</v>
      </c>
    </row>
    <row r="10" spans="1:6" x14ac:dyDescent="0.25">
      <c r="A10" s="10" t="s">
        <v>391</v>
      </c>
      <c r="B10" t="s">
        <v>392</v>
      </c>
      <c r="C10" s="7">
        <v>0</v>
      </c>
      <c r="D10" s="7">
        <v>239600</v>
      </c>
      <c r="E10" s="7">
        <v>0</v>
      </c>
      <c r="F10" s="7">
        <v>239600</v>
      </c>
    </row>
    <row r="11" spans="1:6" x14ac:dyDescent="0.25">
      <c r="A11" s="10" t="s">
        <v>426</v>
      </c>
      <c r="B11" t="s">
        <v>427</v>
      </c>
      <c r="C11" s="7">
        <v>0</v>
      </c>
      <c r="D11" s="7">
        <v>1083113</v>
      </c>
      <c r="E11" s="7">
        <v>0</v>
      </c>
      <c r="F11" s="7">
        <v>1083113</v>
      </c>
    </row>
    <row r="12" spans="1:6" x14ac:dyDescent="0.25">
      <c r="A12" s="10" t="s">
        <v>344</v>
      </c>
      <c r="B12" t="s">
        <v>345</v>
      </c>
      <c r="C12" s="7">
        <v>149334</v>
      </c>
      <c r="D12" s="7">
        <v>935300</v>
      </c>
      <c r="E12" s="7">
        <v>785966</v>
      </c>
      <c r="F12" s="7">
        <v>0</v>
      </c>
    </row>
    <row r="13" spans="1:6" x14ac:dyDescent="0.25">
      <c r="A13" s="10" t="s">
        <v>113</v>
      </c>
      <c r="B13" t="s">
        <v>114</v>
      </c>
      <c r="C13" s="7">
        <v>0</v>
      </c>
      <c r="D13" s="7">
        <v>260000</v>
      </c>
      <c r="E13" s="7">
        <v>0</v>
      </c>
      <c r="F13" s="7">
        <v>260000</v>
      </c>
    </row>
    <row r="14" spans="1:6" x14ac:dyDescent="0.25">
      <c r="A14" s="10" t="s">
        <v>709</v>
      </c>
      <c r="B14" t="s">
        <v>710</v>
      </c>
      <c r="C14" s="7">
        <v>302584</v>
      </c>
      <c r="D14" s="7">
        <v>1895129</v>
      </c>
      <c r="E14" s="7">
        <v>1592545</v>
      </c>
      <c r="F14" s="7">
        <v>0</v>
      </c>
    </row>
    <row r="15" spans="1:6" x14ac:dyDescent="0.25">
      <c r="A15" s="10" t="s">
        <v>834</v>
      </c>
      <c r="B15" t="s">
        <v>835</v>
      </c>
      <c r="C15" s="7">
        <v>11176</v>
      </c>
      <c r="D15" s="7">
        <v>70000</v>
      </c>
      <c r="E15" s="7">
        <v>58824</v>
      </c>
      <c r="F15" s="7">
        <v>0</v>
      </c>
    </row>
    <row r="16" spans="1:6" x14ac:dyDescent="0.25">
      <c r="A16" s="10" t="s">
        <v>41</v>
      </c>
      <c r="B16" t="s">
        <v>42</v>
      </c>
      <c r="C16" s="7">
        <v>91088</v>
      </c>
      <c r="D16" s="7">
        <v>570500</v>
      </c>
      <c r="E16" s="7">
        <v>479412</v>
      </c>
      <c r="F16" s="7">
        <v>0</v>
      </c>
    </row>
    <row r="17" spans="1:6" x14ac:dyDescent="0.25">
      <c r="A17" s="10" t="s">
        <v>307</v>
      </c>
      <c r="B17" t="s">
        <v>308</v>
      </c>
      <c r="C17" s="7">
        <v>0</v>
      </c>
      <c r="D17" s="7">
        <v>172590</v>
      </c>
      <c r="E17" s="7">
        <v>0</v>
      </c>
      <c r="F17" s="7">
        <v>172590</v>
      </c>
    </row>
    <row r="18" spans="1:6" x14ac:dyDescent="0.25">
      <c r="A18" s="10" t="s">
        <v>876</v>
      </c>
      <c r="B18" t="s">
        <v>877</v>
      </c>
      <c r="C18" s="7">
        <v>0</v>
      </c>
      <c r="D18" s="7">
        <v>106900</v>
      </c>
      <c r="E18" s="7">
        <v>0</v>
      </c>
      <c r="F18" s="7">
        <v>106900</v>
      </c>
    </row>
    <row r="19" spans="1:6" x14ac:dyDescent="0.25">
      <c r="A19" s="10" t="s">
        <v>139</v>
      </c>
      <c r="B19" t="s">
        <v>140</v>
      </c>
      <c r="C19" s="7">
        <v>9172</v>
      </c>
      <c r="D19" s="7">
        <v>131200</v>
      </c>
      <c r="E19" s="7">
        <v>48274</v>
      </c>
      <c r="F19" s="7">
        <v>73754</v>
      </c>
    </row>
    <row r="20" spans="1:6" x14ac:dyDescent="0.25">
      <c r="A20" s="10" t="s">
        <v>983</v>
      </c>
      <c r="B20" t="s">
        <v>984</v>
      </c>
      <c r="C20" s="7">
        <v>41512</v>
      </c>
      <c r="D20" s="7">
        <v>260000</v>
      </c>
      <c r="E20" s="7">
        <v>218488</v>
      </c>
      <c r="F20" s="7">
        <v>0</v>
      </c>
    </row>
    <row r="21" spans="1:6" x14ac:dyDescent="0.25">
      <c r="A21" s="10" t="s">
        <v>296</v>
      </c>
      <c r="B21" t="s">
        <v>297</v>
      </c>
      <c r="C21" s="7">
        <v>0</v>
      </c>
      <c r="D21" s="7">
        <v>250000</v>
      </c>
      <c r="E21" s="7">
        <v>0</v>
      </c>
      <c r="F21" s="7">
        <v>250000</v>
      </c>
    </row>
    <row r="22" spans="1:6" x14ac:dyDescent="0.25">
      <c r="A22" s="10" t="s">
        <v>541</v>
      </c>
      <c r="B22" t="s">
        <v>542</v>
      </c>
      <c r="C22" s="7">
        <v>400255</v>
      </c>
      <c r="D22" s="7">
        <v>2535260</v>
      </c>
      <c r="E22" s="7">
        <v>2106605</v>
      </c>
      <c r="F22" s="7">
        <v>28400</v>
      </c>
    </row>
    <row r="23" spans="1:6" x14ac:dyDescent="0.25">
      <c r="A23" s="10" t="s">
        <v>577</v>
      </c>
      <c r="B23" t="s">
        <v>578</v>
      </c>
      <c r="C23" s="7">
        <v>0</v>
      </c>
      <c r="D23" s="7">
        <v>166898</v>
      </c>
      <c r="E23" s="7">
        <v>0</v>
      </c>
      <c r="F23" s="7">
        <v>166898</v>
      </c>
    </row>
    <row r="24" spans="1:6" x14ac:dyDescent="0.25">
      <c r="A24" s="10" t="s">
        <v>106</v>
      </c>
      <c r="B24" t="s">
        <v>107</v>
      </c>
      <c r="C24" s="7">
        <v>72826</v>
      </c>
      <c r="D24" s="7">
        <v>1250141</v>
      </c>
      <c r="E24" s="7">
        <v>383295</v>
      </c>
      <c r="F24" s="7">
        <v>794020</v>
      </c>
    </row>
    <row r="25" spans="1:6" x14ac:dyDescent="0.25">
      <c r="A25" s="10" t="s">
        <v>275</v>
      </c>
      <c r="B25" t="s">
        <v>276</v>
      </c>
      <c r="C25" s="7">
        <v>0</v>
      </c>
      <c r="D25" s="7">
        <v>176330</v>
      </c>
      <c r="E25" s="7">
        <v>0</v>
      </c>
      <c r="F25" s="7">
        <v>176330</v>
      </c>
    </row>
    <row r="26" spans="1:6" x14ac:dyDescent="0.25">
      <c r="A26" s="10" t="s">
        <v>184</v>
      </c>
      <c r="B26" t="s">
        <v>185</v>
      </c>
      <c r="C26" s="7">
        <v>0</v>
      </c>
      <c r="D26" s="7">
        <v>1757395</v>
      </c>
      <c r="E26" s="7">
        <v>0</v>
      </c>
      <c r="F26" s="7">
        <v>1757395</v>
      </c>
    </row>
    <row r="27" spans="1:6" x14ac:dyDescent="0.25">
      <c r="A27" s="10" t="s">
        <v>467</v>
      </c>
      <c r="B27" t="s">
        <v>468</v>
      </c>
      <c r="C27" s="7">
        <v>7825</v>
      </c>
      <c r="D27" s="7">
        <v>49010</v>
      </c>
      <c r="E27" s="7">
        <v>41185</v>
      </c>
      <c r="F27" s="7">
        <v>0</v>
      </c>
    </row>
    <row r="28" spans="1:6" x14ac:dyDescent="0.25">
      <c r="A28" s="10" t="s">
        <v>440</v>
      </c>
      <c r="B28" t="s">
        <v>441</v>
      </c>
      <c r="C28" s="7">
        <v>0</v>
      </c>
      <c r="D28" s="7">
        <v>100008</v>
      </c>
      <c r="E28" s="7">
        <v>0</v>
      </c>
      <c r="F28" s="7">
        <v>100008</v>
      </c>
    </row>
    <row r="29" spans="1:6" x14ac:dyDescent="0.25">
      <c r="A29" s="10" t="s">
        <v>98</v>
      </c>
      <c r="B29" t="s">
        <v>99</v>
      </c>
      <c r="C29" s="7">
        <v>464350</v>
      </c>
      <c r="D29" s="7">
        <v>4055678</v>
      </c>
      <c r="E29" s="7">
        <v>2443947</v>
      </c>
      <c r="F29" s="7">
        <v>1147381</v>
      </c>
    </row>
    <row r="30" spans="1:6" x14ac:dyDescent="0.25">
      <c r="A30" s="10" t="s">
        <v>51</v>
      </c>
      <c r="B30" t="s">
        <v>52</v>
      </c>
      <c r="C30" s="7">
        <v>22832</v>
      </c>
      <c r="D30" s="7">
        <v>143000</v>
      </c>
      <c r="E30" s="7">
        <v>120168</v>
      </c>
      <c r="F30" s="7">
        <v>0</v>
      </c>
    </row>
    <row r="31" spans="1:6" x14ac:dyDescent="0.25">
      <c r="A31" s="10" t="s">
        <v>146</v>
      </c>
      <c r="B31" t="s">
        <v>147</v>
      </c>
      <c r="C31" s="7">
        <v>30364</v>
      </c>
      <c r="D31" s="7">
        <v>323550</v>
      </c>
      <c r="E31" s="7">
        <v>159811</v>
      </c>
      <c r="F31" s="7">
        <v>133375</v>
      </c>
    </row>
    <row r="32" spans="1:6" x14ac:dyDescent="0.25">
      <c r="A32" s="10" t="s">
        <v>923</v>
      </c>
      <c r="B32" t="s">
        <v>924</v>
      </c>
      <c r="C32" s="7">
        <v>55882</v>
      </c>
      <c r="D32" s="7">
        <v>350000</v>
      </c>
      <c r="E32" s="7">
        <v>294118</v>
      </c>
      <c r="F32" s="7">
        <v>0</v>
      </c>
    </row>
    <row r="33" spans="1:6" x14ac:dyDescent="0.25">
      <c r="A33" s="10" t="s">
        <v>964</v>
      </c>
      <c r="B33" t="s">
        <v>965</v>
      </c>
      <c r="C33" s="7">
        <v>0</v>
      </c>
      <c r="D33" s="7">
        <v>60000</v>
      </c>
      <c r="E33" s="7">
        <v>0</v>
      </c>
      <c r="F33" s="7">
        <v>60000</v>
      </c>
    </row>
    <row r="34" spans="1:6" x14ac:dyDescent="0.25">
      <c r="A34" s="10" t="s">
        <v>318</v>
      </c>
      <c r="B34" t="s">
        <v>319</v>
      </c>
      <c r="C34" s="7">
        <v>12294</v>
      </c>
      <c r="D34" s="7">
        <v>77000</v>
      </c>
      <c r="E34" s="7">
        <v>64706</v>
      </c>
      <c r="F34" s="7">
        <v>0</v>
      </c>
    </row>
    <row r="35" spans="1:6" x14ac:dyDescent="0.25">
      <c r="A35" s="10" t="s">
        <v>760</v>
      </c>
      <c r="B35" t="s">
        <v>761</v>
      </c>
      <c r="C35" s="7">
        <v>0</v>
      </c>
      <c r="D35" s="7">
        <v>169070</v>
      </c>
      <c r="E35" s="7">
        <v>0</v>
      </c>
      <c r="F35" s="7">
        <v>169070</v>
      </c>
    </row>
    <row r="36" spans="1:6" x14ac:dyDescent="0.25">
      <c r="A36" s="10" t="s">
        <v>613</v>
      </c>
      <c r="B36" t="s">
        <v>614</v>
      </c>
      <c r="C36" s="7">
        <v>29479</v>
      </c>
      <c r="D36" s="7">
        <v>184632</v>
      </c>
      <c r="E36" s="7">
        <v>155153</v>
      </c>
      <c r="F36" s="7">
        <v>0</v>
      </c>
    </row>
    <row r="37" spans="1:6" x14ac:dyDescent="0.25">
      <c r="A37" s="10" t="s">
        <v>669</v>
      </c>
      <c r="B37" t="s">
        <v>670</v>
      </c>
      <c r="C37" s="7">
        <v>0</v>
      </c>
      <c r="D37" s="7">
        <v>155936</v>
      </c>
      <c r="E37" s="7">
        <v>0</v>
      </c>
      <c r="F37" s="7">
        <v>155936</v>
      </c>
    </row>
    <row r="38" spans="1:6" x14ac:dyDescent="0.25">
      <c r="A38" s="10" t="s">
        <v>217</v>
      </c>
      <c r="B38" t="s">
        <v>218</v>
      </c>
      <c r="C38" s="7">
        <v>0</v>
      </c>
      <c r="D38" s="7">
        <v>351376</v>
      </c>
      <c r="E38" s="7">
        <v>0</v>
      </c>
      <c r="F38" s="7">
        <v>351376</v>
      </c>
    </row>
    <row r="39" spans="1:6" x14ac:dyDescent="0.25">
      <c r="A39" s="10" t="s">
        <v>723</v>
      </c>
      <c r="B39" t="s">
        <v>724</v>
      </c>
      <c r="C39" s="7">
        <v>0</v>
      </c>
      <c r="D39" s="7">
        <v>73000</v>
      </c>
      <c r="E39" s="7">
        <v>0</v>
      </c>
      <c r="F39" s="7">
        <v>73000</v>
      </c>
    </row>
    <row r="40" spans="1:6" x14ac:dyDescent="0.25">
      <c r="A40" s="10" t="s">
        <v>59</v>
      </c>
      <c r="B40" t="s">
        <v>60</v>
      </c>
      <c r="C40" s="7">
        <v>8850</v>
      </c>
      <c r="D40" s="7">
        <v>55428</v>
      </c>
      <c r="E40" s="7">
        <v>46578</v>
      </c>
      <c r="F40" s="7">
        <v>0</v>
      </c>
    </row>
    <row r="41" spans="1:6" x14ac:dyDescent="0.25">
      <c r="A41" s="10" t="s">
        <v>662</v>
      </c>
      <c r="B41" t="s">
        <v>663</v>
      </c>
      <c r="C41" s="7">
        <v>11815</v>
      </c>
      <c r="D41" s="7">
        <v>74000</v>
      </c>
      <c r="E41" s="7">
        <v>62185</v>
      </c>
      <c r="F41" s="7">
        <v>0</v>
      </c>
    </row>
    <row r="42" spans="1:6" x14ac:dyDescent="0.25">
      <c r="A42" s="10" t="s">
        <v>849</v>
      </c>
      <c r="B42" t="s">
        <v>850</v>
      </c>
      <c r="C42" s="7">
        <v>0</v>
      </c>
      <c r="D42" s="7">
        <v>106517</v>
      </c>
      <c r="E42" s="7">
        <v>0</v>
      </c>
      <c r="F42" s="7">
        <v>106517</v>
      </c>
    </row>
    <row r="43" spans="1:6" x14ac:dyDescent="0.25">
      <c r="A43" s="10" t="s">
        <v>125</v>
      </c>
      <c r="B43" t="s">
        <v>126</v>
      </c>
      <c r="C43" s="7">
        <v>19160</v>
      </c>
      <c r="D43" s="7">
        <v>120000</v>
      </c>
      <c r="E43" s="7">
        <v>100840</v>
      </c>
      <c r="F43" s="7">
        <v>0</v>
      </c>
    </row>
    <row r="44" spans="1:6" x14ac:dyDescent="0.25">
      <c r="A44" s="10" t="s">
        <v>715</v>
      </c>
      <c r="B44" t="s">
        <v>716</v>
      </c>
      <c r="C44" s="7">
        <v>0</v>
      </c>
      <c r="D44" s="7">
        <v>147279</v>
      </c>
      <c r="E44" s="7">
        <v>0</v>
      </c>
      <c r="F44" s="7">
        <v>147279</v>
      </c>
    </row>
    <row r="45" spans="1:6" x14ac:dyDescent="0.25">
      <c r="A45" s="10" t="s">
        <v>527</v>
      </c>
      <c r="B45" t="s">
        <v>528</v>
      </c>
      <c r="C45" s="7">
        <v>59714</v>
      </c>
      <c r="D45" s="7">
        <v>374000</v>
      </c>
      <c r="E45" s="7">
        <v>314286</v>
      </c>
      <c r="F45" s="7">
        <v>0</v>
      </c>
    </row>
    <row r="46" spans="1:6" x14ac:dyDescent="0.25">
      <c r="A46" s="10" t="s">
        <v>236</v>
      </c>
      <c r="B46" t="s">
        <v>237</v>
      </c>
      <c r="C46" s="7">
        <v>0</v>
      </c>
      <c r="D46" s="7">
        <v>176440</v>
      </c>
      <c r="E46" s="7">
        <v>0</v>
      </c>
      <c r="F46" s="7">
        <v>176440</v>
      </c>
    </row>
    <row r="47" spans="1:6" x14ac:dyDescent="0.25">
      <c r="A47" s="10" t="s">
        <v>132</v>
      </c>
      <c r="B47" t="s">
        <v>461</v>
      </c>
      <c r="C47" s="7">
        <v>115233</v>
      </c>
      <c r="D47" s="7">
        <v>768920</v>
      </c>
      <c r="E47" s="7">
        <v>606489</v>
      </c>
      <c r="F47" s="7">
        <v>47198</v>
      </c>
    </row>
    <row r="49" spans="3:6" x14ac:dyDescent="0.25">
      <c r="C49" s="7">
        <f>SUM(C3:C48)</f>
        <v>2401936</v>
      </c>
      <c r="D49" s="7">
        <f t="shared" ref="D49:F49" si="0">SUM(D3:D48)</f>
        <v>23267846</v>
      </c>
      <c r="E49" s="7">
        <f t="shared" si="0"/>
        <v>12641772</v>
      </c>
      <c r="F49" s="7">
        <f t="shared" si="0"/>
        <v>8224138</v>
      </c>
    </row>
    <row r="51" spans="3:6" x14ac:dyDescent="0.25">
      <c r="E51" s="7">
        <f>E49+F49</f>
        <v>20865910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Rp_Doc_20260508_0323</vt:lpstr>
      <vt:lpstr>Hoja2</vt:lpstr>
      <vt:lpstr>Hoja3</vt:lpstr>
      <vt:lpstr>cliente_agrupado</vt:lpstr>
      <vt:lpstr>cli</vt:lpstr>
      <vt:lpstr>clientes</vt:lpstr>
      <vt:lpstr>compras_tot</vt:lpstr>
      <vt:lpstr>gastos_tot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GUTIERREZ</dc:creator>
  <cp:lastModifiedBy>JUAN MIGUEL ZAPATA CANTILLO</cp:lastModifiedBy>
  <dcterms:created xsi:type="dcterms:W3CDTF">2026-05-08T03:23:01Z</dcterms:created>
  <dcterms:modified xsi:type="dcterms:W3CDTF">2026-05-21T02:43:42Z</dcterms:modified>
</cp:coreProperties>
</file>