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5720"/>
  </bookViews>
  <sheets>
    <sheet name="F1001" sheetId="1" r:id="rId1"/>
    <sheet name="F1003" sheetId="2" r:id="rId2"/>
    <sheet name="F1005" sheetId="4" r:id="rId3"/>
    <sheet name="F1006" sheetId="5" r:id="rId4"/>
    <sheet name="F1007" sheetId="6" r:id="rId5"/>
    <sheet name="F1008" sheetId="7" r:id="rId6"/>
    <sheet name="F1009" sheetId="8" r:id="rId7"/>
    <sheet name="F1010" sheetId="10" r:id="rId8"/>
    <sheet name="info" sheetId="9" r:id="rId9"/>
    <sheet name="clientes" sheetId="11" r:id="rId10"/>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7" l="1"/>
</calcChain>
</file>

<file path=xl/comments1.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authors>
    <author>Leonardo</author>
  </authors>
  <commentList>
    <comment ref="C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authors>
    <author>Leonardo</author>
  </authors>
  <commentList>
    <comment ref="D5"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authors>
    <author>Leonardo</author>
    <author>LEONARDO</author>
  </authors>
  <commentList>
    <comment ref="C3" authorId="0">
      <text>
        <r>
          <rPr>
            <b/>
            <sz val="9"/>
            <color indexed="81"/>
            <rFont val="Tahoma"/>
            <family val="2"/>
          </rPr>
          <t>Para el tipo de documento 31–
Nit, si se conoce debe diligenciarse</t>
        </r>
        <r>
          <rPr>
            <sz val="9"/>
            <color indexed="81"/>
            <rFont val="Tahoma"/>
            <family val="2"/>
          </rPr>
          <t xml:space="preserve">
</t>
        </r>
      </text>
    </comment>
    <comment ref="M3" authorId="1">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sharedStrings.xml><?xml version="1.0" encoding="utf-8"?>
<sst xmlns="http://schemas.openxmlformats.org/spreadsheetml/2006/main" count="725" uniqueCount="358">
  <si>
    <t>concepto</t>
  </si>
  <si>
    <t>tipo de documento</t>
  </si>
  <si>
    <t>numero de identificacio</t>
  </si>
  <si>
    <t>primer apellido</t>
  </si>
  <si>
    <t>segundo apellido</t>
  </si>
  <si>
    <t>primer nombre</t>
  </si>
  <si>
    <t>segundo nombre</t>
  </si>
  <si>
    <t>razon social</t>
  </si>
  <si>
    <t>direccion</t>
  </si>
  <si>
    <t>codigo Dpto</t>
  </si>
  <si>
    <t>Codigo mcp</t>
  </si>
  <si>
    <t>pais</t>
  </si>
  <si>
    <t>pago o abono en cuenta deducible</t>
  </si>
  <si>
    <t>pago o abono en cuenta NO deducible</t>
  </si>
  <si>
    <t>IVA mayor valor del costo o gasto deducible</t>
  </si>
  <si>
    <t>IVA mayor valor del costo o gasto NO deducible</t>
  </si>
  <si>
    <t>Retencion en la fuente practicada Renta</t>
  </si>
  <si>
    <t>Retencion en la fuente asumida Renta</t>
  </si>
  <si>
    <t>Retencion en la fuente practicada IVA a responsable del IVA</t>
  </si>
  <si>
    <t>Retencio en la fuente practicada IVA a no residente o no domiciliados</t>
  </si>
  <si>
    <t>Pagos o abonos en cuenta y retenciones practicadas  V10</t>
  </si>
  <si>
    <t>1003
Retenciones en la fuente que le practicaron</t>
  </si>
  <si>
    <t>Retenciones en la fuente que le practicaron  V7</t>
  </si>
  <si>
    <t>Concepto</t>
  </si>
  <si>
    <t>Tipo de documento</t>
  </si>
  <si>
    <t xml:space="preserve">Número identificación </t>
  </si>
  <si>
    <t>DV</t>
  </si>
  <si>
    <t>Primer apellido del informado</t>
  </si>
  <si>
    <t>Segundo apellido del informado</t>
  </si>
  <si>
    <t>Primer nombre del informado</t>
  </si>
  <si>
    <t>Otros nombres del informado</t>
  </si>
  <si>
    <t>Razón social informado</t>
  </si>
  <si>
    <t>Dirección</t>
  </si>
  <si>
    <t>Código dpto.</t>
  </si>
  <si>
    <t>Código mcp</t>
  </si>
  <si>
    <t>Valor acumulado del pago o abono sujeto a retención en la fuente</t>
  </si>
  <si>
    <t>Retención en la fuente que le practicaron</t>
  </si>
  <si>
    <t>Sin cuantias minimas</t>
  </si>
  <si>
    <t>Tipo de Documento</t>
  </si>
  <si>
    <t>Numero de identificación del informado</t>
  </si>
  <si>
    <t>dv</t>
  </si>
  <si>
    <t>Impuesto descontable</t>
  </si>
  <si>
    <t>IVA resultante por devoluciones en ventas anuladas, rescindidas o resueltas</t>
  </si>
  <si>
    <t>Impuesto a las ventas por pagar (descontable) V8</t>
  </si>
  <si>
    <t>IVA tratado como mayor valor del costo o gasto Art. 490 E.T)</t>
  </si>
  <si>
    <t>Impuesto a las ventas por pagar (generado) e impuesto al consumo V8</t>
  </si>
  <si>
    <t>El valor del IVA generado y/o el
impuesto al consumo de las operaciones donde el valor acumulado del ingreso hubiese
sido igual o superior a quinientos mil pesos ($ 500.000)</t>
  </si>
  <si>
    <t>Numero de identificación</t>
  </si>
  <si>
    <t>Impuesto generado</t>
  </si>
  <si>
    <t>IVA recuperado por operaciones en devoluciones en compras anuladas, rescindidas o resueltas</t>
  </si>
  <si>
    <t>Impuesto al consumo</t>
  </si>
  <si>
    <t>Ingresos recibidos V9</t>
  </si>
  <si>
    <t>169 Colombia</t>
  </si>
  <si>
    <t>Ingresos superiores a $500.000</t>
  </si>
  <si>
    <t>Número identificación del informado</t>
  </si>
  <si>
    <t>País de residencia o domicilio</t>
  </si>
  <si>
    <t xml:space="preserve">Ingresos brutos recibidos </t>
  </si>
  <si>
    <t>Devoluciones, rebajas y descuentos</t>
  </si>
  <si>
    <t>Saldo de cuentas por cobrar al 31 de diciembre V7</t>
  </si>
  <si>
    <t>Primer apellido deudor</t>
  </si>
  <si>
    <t>Segundo apellido deudor</t>
  </si>
  <si>
    <t>Primer nombre deudor</t>
  </si>
  <si>
    <t>Otros nombres deudor</t>
  </si>
  <si>
    <t>Razón social deudor</t>
  </si>
  <si>
    <t>Saldo cuentas por cobrar al 31-12</t>
  </si>
  <si>
    <t>Saldo de cuentas por pagar al 31 de diciembre V7</t>
  </si>
  <si>
    <t xml:space="preserve">Primer apellido </t>
  </si>
  <si>
    <t xml:space="preserve">Segundo apellido </t>
  </si>
  <si>
    <t xml:space="preserve">Primer nombre </t>
  </si>
  <si>
    <t>Otros nombres</t>
  </si>
  <si>
    <t xml:space="preserve">Razón social </t>
  </si>
  <si>
    <t>Saldo cuentas por pagar al 31-12</t>
  </si>
  <si>
    <t>Conceptos en F1001</t>
  </si>
  <si>
    <t>Descripción</t>
  </si>
  <si>
    <t>Honorarios</t>
  </si>
  <si>
    <t>Comisiones</t>
  </si>
  <si>
    <t>Servicios</t>
  </si>
  <si>
    <t>Arrendamientos</t>
  </si>
  <si>
    <t>Intereses y rendimientos financieros</t>
  </si>
  <si>
    <t>Compra de activos movibles</t>
  </si>
  <si>
    <t>Compra de activos fijos</t>
  </si>
  <si>
    <t>Aportes a EPS y riesgos laborales</t>
  </si>
  <si>
    <t>Aportes obligatorios a pensión</t>
  </si>
  <si>
    <t>Viáticos</t>
  </si>
  <si>
    <t>Gastos de representación</t>
  </si>
  <si>
    <t>Adquisición de acciones o cuotas en sociedades no cotizadas</t>
  </si>
  <si>
    <t>Aportes parafiscales (SENA, caja de compensacion familiar y al Institulo)</t>
  </si>
  <si>
    <t>Donaciones en dinero</t>
  </si>
  <si>
    <t>Donaciones en activos diferente a dinero</t>
  </si>
  <si>
    <t>valor de losimpuesto solicitado como deducion</t>
  </si>
  <si>
    <t>los demas costos y deduciones</t>
  </si>
  <si>
    <t>Importe de las primas de asegurados pagados o abononado en cuenta</t>
  </si>
  <si>
    <t>monto de las amortizaciones realizadas</t>
  </si>
  <si>
    <t>Compra de activos fijos reales productivos sobre los cuales solicitó deducion</t>
  </si>
  <si>
    <t>valor acomulado de los pagos o abonos en cuenta al exterior por asistencia tecnica</t>
  </si>
  <si>
    <t>valor acomulado de los pagos o abonos en cuenta al exterior por marcas</t>
  </si>
  <si>
    <t>valor acomulado de los pagos o abonos en cuenta al exterior por patentes</t>
  </si>
  <si>
    <t>valor acomulado de los pagos o abonos en cuenta al exterior por regalias</t>
  </si>
  <si>
    <t>valor acomulado de los pagos o abonos en cuenta al exterior por servicio tecnico</t>
  </si>
  <si>
    <t>El valor acumulado de las devoluciones de pagos o abonos en cuenta y retenciones correspondiente a operaciones del años ant.</t>
  </si>
  <si>
    <t>Gastos pagados por anticipos por Compras</t>
  </si>
  <si>
    <t>Gastos pagados por anticipos por Honorarios</t>
  </si>
  <si>
    <t>Gastos pagados por anticipos por Comisiones</t>
  </si>
  <si>
    <t>Gastos pagados por anticipos por Servicios</t>
  </si>
  <si>
    <t>Gastos pagados por anticipos por Arrendamientos</t>
  </si>
  <si>
    <t>Gastos pagados por anticipos por Intereses y rendimientos financieros</t>
  </si>
  <si>
    <t>Gastos pagados por anticipos por otros conceptos</t>
  </si>
  <si>
    <t>El pago por loterias, rifas, apuestas y similares</t>
  </si>
  <si>
    <t>Retencion sobre ingresos de tarjeta debitos y creditos</t>
  </si>
  <si>
    <t>Enajenacion de activos fijos de personas naturales ante oficinas de transito y otras entidades autorizadas</t>
  </si>
  <si>
    <t>Importe de los siniestros por lucro cesante pagados o abonafos en cuenta</t>
  </si>
  <si>
    <t>Importe de los siniestros por daño emergente pagados y abonados en cuenta</t>
  </si>
  <si>
    <t>Retenciones practicadas a titulo de timbre</t>
  </si>
  <si>
    <t>La devolucion de retenciones a titulo de impuesto timbre, correspondiente a operaciones de años anteriores</t>
  </si>
  <si>
    <t>Valor de los aportes, tasas y contribuciones solicitado como deducion</t>
  </si>
  <si>
    <t>El pago o abono en cuenta realizada a cadda uno de los cooperados, del valor del Fondo para revalorizacion del apo.</t>
  </si>
  <si>
    <t>Redecion de inversiones en lo que corresponde al reembolso del capital por titulo de capitalizacion</t>
  </si>
  <si>
    <t>Utilidades pagadas o abonadas en cuenta, cuando el beneficiario es diferente al fideicomitente</t>
  </si>
  <si>
    <t>Intereses y rendimientos financieros efectivamente pagados</t>
  </si>
  <si>
    <t>Devoluciones de saldos de aportes pensionales pagados</t>
  </si>
  <si>
    <t>Excedentes pensionales de libre disponibilidad componente de capital pagados</t>
  </si>
  <si>
    <t>El valor de impuesto nacional al consumo</t>
  </si>
  <si>
    <t>El valor acomulado de los pagos o abonos en cuenta al exterior por consultoria</t>
  </si>
  <si>
    <t>Participacion o dividendos pagados o abonados en cuenta en calidad de exigibles correspondiente al 2016 y anteriores, p</t>
  </si>
  <si>
    <t>Participacion o dividendos pagados o abonados en cuenta en calidad de exigibles correspondiente al 2016 y anteriores, n</t>
  </si>
  <si>
    <t>Participacion o dividendos pagados o abonados en cuenta en calidad de exigibles correspondiente al 2017 y anteriores, p</t>
  </si>
  <si>
    <t>Participacion o dividendos pagados o abonados en cuenta en calidad de exigibles correspondiente al 2017 y anteriores, n</t>
  </si>
  <si>
    <t>El importe de los siniestros por segurosde vida pagados o abonados en cuenta</t>
  </si>
  <si>
    <t>Desembolso por deposito judiciales, Se debe identificar el beneficiario</t>
  </si>
  <si>
    <t>Desembolso por reintegro de deposito judiciales, Se debe identificar el beneficiario</t>
  </si>
  <si>
    <t>Regalias y explotacion de la propiedad intelectual</t>
  </si>
  <si>
    <t>Valor de utilidades distribuidas proveniente de diferimiento de ingresos</t>
  </si>
  <si>
    <t>Intereses por deuda a vinculados en subcapitalizacion</t>
  </si>
  <si>
    <t>El valor acomulado de los pagos o abonos efectuados a proveedores del exterior  por servicios audivisuales digitales</t>
  </si>
  <si>
    <t>El valor acomulado de los pagos o abonos efectuados a proveedores del exterior  por servicios prestados a traves de plataforma</t>
  </si>
  <si>
    <t>El valor acomulado de los pagos o abonos efectuados a proveedores del exterior  por servicios de publicidad onl</t>
  </si>
  <si>
    <t>El valor acomulado de los pagos o abonos efectuados a proveedores del exterior  por servicios de enseñanza o entrenamiento</t>
  </si>
  <si>
    <t>El valor acomulado de los pagos o abonos efectuados a proveedores del exterior  por servicios de derecho de uso o explotacion</t>
  </si>
  <si>
    <t>El valor acomulado de los pagos o abonos efectuados a proveedores del exterior  por servicios electronicos o digitales</t>
  </si>
  <si>
    <t>Valor de retencion en la fuente trasladada a terceros por participacion o dividendos recibidos de soliciedades nacionales</t>
  </si>
  <si>
    <t>Valor de los puntos premio redemidos en el periodo que afectan el gasto directamente, procedentes de programas de fidelizacion</t>
  </si>
  <si>
    <t>Costos y gastos por diferencia en cambio, se debe reportar con el NIT del informante</t>
  </si>
  <si>
    <t>Valor compra de acciones, cuotas o parte de interes social o aporte de sociedades que no cotizan en la bolsa</t>
  </si>
  <si>
    <t>Valor donacion de acciones, cuotas o parte de interes social o aporte de sociedades que no cotizan en la bolsa</t>
  </si>
  <si>
    <t>Valor cesion de acciones, cuotas o partes de interes social o aporte de sociedades que no cotizan en la bolsa</t>
  </si>
  <si>
    <t>Valor donacion de acciones, cuotas o partes de interes social o aporte de sociedades que no cotizan en la bolsa</t>
  </si>
  <si>
    <t>Valor pago constituyente de ingresos en especie para el beneficiario</t>
  </si>
  <si>
    <t>Donaciones de bebidas utltraprocesadas y azucaradas a los bancos de alimentos por los responsable del impuesto a estos bi</t>
  </si>
  <si>
    <t xml:space="preserve">Donaciones de productos comestibles ultraprocesados industrialmente y/o con alto contenido de azucares añadidos, sodio o </t>
  </si>
  <si>
    <t>Pago por conceptos de regalias pagadas a la Nacion u otros entes territoriales por la explotacion de hidrocarburos</t>
  </si>
  <si>
    <t>Pago por conceptos de regalias pagadas a la Nacion u otros entes territoriales por la explotacion de gas</t>
  </si>
  <si>
    <t>Pago por conceptos de regalias pagadas a la Nacion u otros entes territoriales por la explotacion de carbon</t>
  </si>
  <si>
    <t>Pago por conceptos de regalias pagadas a la Nacion u otros entes territoriales por la explotacion otros minerales y piedras</t>
  </si>
  <si>
    <t>Pago por conceptos de regalias pagadas a la Nacion u otros entes territoriales por la explotacion sal y materiales de const.</t>
  </si>
  <si>
    <t>Valor de pago o abono en cuenta por prima en colocacion de acciones y otros conceptos patrimoniales</t>
  </si>
  <si>
    <t>Valor de Gravamen a los movimientos financieros -GMF</t>
  </si>
  <si>
    <t>Valor de los pagos por apoyos economicos no reembolsables o condonados para financiar educacion con recursos publicos ant.</t>
  </si>
  <si>
    <t>PEREZ</t>
  </si>
  <si>
    <t>ANGARITA</t>
  </si>
  <si>
    <t>31</t>
  </si>
  <si>
    <t>Conceptos en F1003</t>
  </si>
  <si>
    <t>Retenciones por salario y demas pagos laborales</t>
  </si>
  <si>
    <t>retencion por ventas</t>
  </si>
  <si>
    <t>retencion por servicios</t>
  </si>
  <si>
    <t>retencion por honorarios</t>
  </si>
  <si>
    <t>retencion por comisiones</t>
  </si>
  <si>
    <t>retencion por intereses y rendimientos financieros</t>
  </si>
  <si>
    <t>retencion por arrendamientos</t>
  </si>
  <si>
    <t>retencion por otros conceptos</t>
  </si>
  <si>
    <t>retencion en la fuente en el impuesto de venta</t>
  </si>
  <si>
    <t>retencion por dividendos y participaciones</t>
  </si>
  <si>
    <t>retencion por enajenacion de activos fijos de personas naturales ante oficina del transito y otras entidades autorizadas</t>
  </si>
  <si>
    <t>retencion por ingresos de tarjetas debito y credito</t>
  </si>
  <si>
    <t>retencion por loteria, rifas, apuestas y similiares</t>
  </si>
  <si>
    <t>retencion por impuesto de timbre</t>
  </si>
  <si>
    <t>retencion por dividendos y participaciones recibidas por sociedades nacionales</t>
  </si>
  <si>
    <t>1004120253</t>
  </si>
  <si>
    <t>LUIS</t>
  </si>
  <si>
    <t>FABREGA</t>
  </si>
  <si>
    <t>PERTUZ</t>
  </si>
  <si>
    <t>DEL CARMEN</t>
  </si>
  <si>
    <t>13</t>
  </si>
  <si>
    <t>Conceptos en F1007</t>
  </si>
  <si>
    <t>ingresos brutos de actividades ordinarias</t>
  </si>
  <si>
    <t>Otros ingresos brutos</t>
  </si>
  <si>
    <t>ingresos por intereses y rendimiento financiero</t>
  </si>
  <si>
    <t>ingresos por intereses correspondiente a creditos hipotecarios</t>
  </si>
  <si>
    <t>ingresos a traves de consorcio o uniones temporales</t>
  </si>
  <si>
    <t>4001</t>
  </si>
  <si>
    <t>819000976</t>
  </si>
  <si>
    <t>SERVICIOS PORTUARIOS S.A.S SERPORT S.A.S</t>
  </si>
  <si>
    <t>169</t>
  </si>
  <si>
    <t>CALLE 10</t>
  </si>
  <si>
    <t>47</t>
  </si>
  <si>
    <t>551</t>
  </si>
  <si>
    <t>Conceptos en F1008</t>
  </si>
  <si>
    <t>saldo de las cuentas por cobrar a clientes</t>
  </si>
  <si>
    <t>saldo de las cuentas por cobrar a accionistas, socios</t>
  </si>
  <si>
    <t>otras cuentas por cobrar</t>
  </si>
  <si>
    <t>valor total del saldo final del deterioro de cartera, identificandolo con el nit del deudor</t>
  </si>
  <si>
    <t>ingresos a traves del mandato o administracion delegada</t>
  </si>
  <si>
    <t>ingresos a traves de exploracion y explotacion de hidrocarburos</t>
  </si>
  <si>
    <t>ingresos a traves de Fiducia</t>
  </si>
  <si>
    <t>ingresos a traves de terceros (Beneficiario)</t>
  </si>
  <si>
    <t>ingresos a traves de Joint venture</t>
  </si>
  <si>
    <t>ingresos a traves de cuentas de participacion</t>
  </si>
  <si>
    <t>ingresos a traves de convenios de coorporacion con entidades publicas</t>
  </si>
  <si>
    <t>ingresos por ventas con puntos premio redimidos en el periodo, procedente de programas de fidelizacion</t>
  </si>
  <si>
    <t>Patrimonio líquido</t>
  </si>
  <si>
    <t>En cuantía superior a tres millones de pesos ($3.000.000)</t>
  </si>
  <si>
    <t>Número identificación socio o accionista</t>
  </si>
  <si>
    <t>Primer apellido socio o accionista</t>
  </si>
  <si>
    <t>Primer nombre del socio o accionista</t>
  </si>
  <si>
    <t>Otros nombres socio o accionista</t>
  </si>
  <si>
    <t>57300866</t>
  </si>
  <si>
    <t xml:space="preserve">NUBIA </t>
  </si>
  <si>
    <t>CL 12 9 04</t>
  </si>
  <si>
    <t>Información de socios, accionistas, comuneros y/o cooperados V9</t>
  </si>
  <si>
    <t>otro nombre del accionista</t>
  </si>
  <si>
    <t>Valor nominal de la accion , aporte o derecho social al 31 diciembre</t>
  </si>
  <si>
    <t>valor prima en colocacion de acciones a 31 de diciembre</t>
  </si>
  <si>
    <t>porcentaje de participacion</t>
  </si>
  <si>
    <t>porcentaje de paricipacion (posicion decimal)</t>
  </si>
  <si>
    <t>1315</t>
  </si>
  <si>
    <t>dpto</t>
  </si>
  <si>
    <t>ciudad</t>
  </si>
  <si>
    <t>munic</t>
  </si>
  <si>
    <t>Cra. 52 # 70 - 168</t>
  </si>
  <si>
    <t>Atlántico</t>
  </si>
  <si>
    <t>Barranquilla</t>
  </si>
  <si>
    <t>08</t>
  </si>
  <si>
    <t>001</t>
  </si>
  <si>
    <t>Cl. 116 #42b 91</t>
  </si>
  <si>
    <t>Puerto Colombia</t>
  </si>
  <si>
    <t>573</t>
  </si>
  <si>
    <t>Cra. 51B #106-200</t>
  </si>
  <si>
    <t>Calle 66 Vía 40, Esquina</t>
  </si>
  <si>
    <t>Carrera 51B #93-119</t>
  </si>
  <si>
    <t>Carrera 41 No. 46 - 137</t>
  </si>
  <si>
    <t>Cra. 56 #5c - 50, </t>
  </si>
  <si>
    <t>Cundinamarca</t>
  </si>
  <si>
    <t>Bogotá</t>
  </si>
  <si>
    <t>11</t>
  </si>
  <si>
    <t xml:space="preserve">Cra. 53 #98-2 </t>
  </si>
  <si>
    <t>CALLE 77 B CR 59 61 OF1002</t>
  </si>
  <si>
    <t>Cl. 44 #43-115</t>
  </si>
  <si>
    <t>Carrera 43 #80-120.</t>
  </si>
  <si>
    <t>Cra. 51 #76 - 47</t>
  </si>
  <si>
    <t>Carrera 38 No. 69D - 29</t>
  </si>
  <si>
    <t>Carrera 43 # 9-97, Local 42, 43, 44 y 45</t>
  </si>
  <si>
    <t>Cl. 84b #38 - 11</t>
  </si>
  <si>
    <t>Cra. 43 #80 186</t>
  </si>
  <si>
    <t>Calle 30 # 26-48</t>
  </si>
  <si>
    <t>Carrera 51B con Avenida Circunvalar Esquina (Lote B3, sector Portal del Genovés)</t>
  </si>
  <si>
    <t>Calle 110 # 42 - 235</t>
  </si>
  <si>
    <t>Cra. 72 #12a-75</t>
  </si>
  <si>
    <t>Carrera 43 # 70B-55</t>
  </si>
  <si>
    <t>Cl. 53 #46-143</t>
  </si>
  <si>
    <t>Calle 30 #23-08</t>
  </si>
  <si>
    <t>Carrera 53 No. 94-50, Local 3</t>
  </si>
  <si>
    <t>Calle 54 No. 42-15</t>
  </si>
  <si>
    <t>Cra. 53 #106 - 280</t>
  </si>
  <si>
    <t>Cra. 38 #36-02</t>
  </si>
  <si>
    <t>Cra. 55 #99 51</t>
  </si>
  <si>
    <t>Calle 98 # 51B - 91</t>
  </si>
  <si>
    <t>Calle 40 No. 44-39, Oficina 6H</t>
  </si>
  <si>
    <t>CALLE 110 43 C 735</t>
  </si>
  <si>
    <t>Carrera 43 # 82-09</t>
  </si>
  <si>
    <t>CALLE 1 #10-50 LTE</t>
  </si>
  <si>
    <t>Carrera 53 con calle 106 esquina</t>
  </si>
  <si>
    <t>CARRERA 60 #70 130</t>
  </si>
  <si>
    <t>CL 65 27 33</t>
  </si>
  <si>
    <t>Calle 110 # 43C - 91</t>
  </si>
  <si>
    <t>Cra. 38 #35-69 LOCAL 1</t>
  </si>
  <si>
    <t>Cra. 59c # 81-12</t>
  </si>
  <si>
    <t>CR 64 # 80-194 Local 3</t>
  </si>
  <si>
    <t>KM 8 VIA BARRANQUILLA ZF LA CAYENA LOTE</t>
  </si>
  <si>
    <t>Calle 77 # 70 – 55 (Local 1)</t>
  </si>
  <si>
    <t>Cl 72 # 38-186</t>
  </si>
  <si>
    <t>Av. Murillo (Calle 45) # 50B - 54</t>
  </si>
  <si>
    <t>Cl. 70 #45-41</t>
  </si>
  <si>
    <t>Carrera 51B No. 75 - 171</t>
  </si>
  <si>
    <t>CARRERA 47 85 167</t>
  </si>
  <si>
    <t> Cl. 44 # 70-88 local 2,</t>
  </si>
  <si>
    <t>Cra. 43 # 84B - 101</t>
  </si>
  <si>
    <t>CALLE 80 CR 63 26</t>
  </si>
  <si>
    <t>Cl. 69c #32-08</t>
  </si>
  <si>
    <t xml:space="preserve">Cll 86 #47-05 </t>
  </si>
  <si>
    <t>Via 40 No. 85 - 470 Local 17- A</t>
  </si>
  <si>
    <t>Calle 3A N° 24-104</t>
  </si>
  <si>
    <t>Cra. 48 #75-54 Local 4</t>
  </si>
  <si>
    <t>Calle 73 No 41D - 19.</t>
  </si>
  <si>
    <t>Cl. 36 #43 68</t>
  </si>
  <si>
    <t>nit</t>
  </si>
  <si>
    <t>nombre</t>
  </si>
  <si>
    <t>D1 S A S</t>
  </si>
  <si>
    <t>FERRETERIA PONQUIFON SEDE 93</t>
  </si>
  <si>
    <t>MARENA DE LA ROSA NIEBLES</t>
  </si>
  <si>
    <t>NULE MARINO &amp; COMPAÑIA SAS</t>
  </si>
  <si>
    <t>GRUPO DECOR S.A.S.</t>
  </si>
  <si>
    <t>ALCANTARA ASOCIADOS S.A.S.</t>
  </si>
  <si>
    <t>TEXTILES 1 x 1 SAS</t>
  </si>
  <si>
    <t>SODIMAC COLOMBIA S.A.</t>
  </si>
  <si>
    <t>TEXVIGAR S.A.S.</t>
  </si>
  <si>
    <t>DISNAR S.A.S - VILLA CAMPESTRE</t>
  </si>
  <si>
    <t>FERRETERIA METROPOLIS S.A.S.</t>
  </si>
  <si>
    <t>CREPES CARIBE S.A.</t>
  </si>
  <si>
    <t>SODICSA S.A.S</t>
  </si>
  <si>
    <t>CONNY DE LA COSTA S.A.S.</t>
  </si>
  <si>
    <t>DISTRACOM S.A.</t>
  </si>
  <si>
    <t>MADECENTRO COLOMBIA SAS</t>
  </si>
  <si>
    <t>METALES Y MADERAS DEL RISARALDA S.A.S</t>
  </si>
  <si>
    <t>TUGO S A S</t>
  </si>
  <si>
    <t>DISTRIBUIDORA NISSAN S.A</t>
  </si>
  <si>
    <t>TEXTILES LAFAYETTE SAS PUDIENDO GIRAR BAJO LA RAZON SOCIAL TELAS LAFAYETTE SAS O SIMPLEMENTE LAFAYETTE SAS</t>
  </si>
  <si>
    <t>COMPAÑIA COLOMBIANA DE CERAMICA S A S</t>
  </si>
  <si>
    <t>CALYPSO BARRANQUILLA S.A.S</t>
  </si>
  <si>
    <t>ALMACENES CORONA S.A.S</t>
  </si>
  <si>
    <t>PASH S.A.S</t>
  </si>
  <si>
    <t>ENRIQUE RICARDO HENRIQUEZ ARAZO</t>
  </si>
  <si>
    <t>CAMARA DE COMERCIO DE BARRANQUILLA</t>
  </si>
  <si>
    <t>GRUPO MI CORRAL S.A</t>
  </si>
  <si>
    <t>FRENOS BARRANQUILLA  SAS</t>
  </si>
  <si>
    <t>HOT AMERICA`S FAVORITE PIZZA S.A.S</t>
  </si>
  <si>
    <t>COLOMBIANA DE COMERCIO S.A.</t>
  </si>
  <si>
    <t>CREDISEGUROS DE LA COSTA LTDA</t>
  </si>
  <si>
    <t>MAKRO SUPERMAYORISTA S.A.S</t>
  </si>
  <si>
    <t>INVERSIONES COMBGAS S.A.S</t>
  </si>
  <si>
    <t>ESTACION DE SERVICIO COLISEO S.A</t>
  </si>
  <si>
    <t>SANTA MARIA DEL MAR S.A.S</t>
  </si>
  <si>
    <t>PRICESMART COLOMBIA S.A.S.</t>
  </si>
  <si>
    <t>GRUPO MODA SUMA SAS</t>
  </si>
  <si>
    <t xml:space="preserve"> ARTEMARMOL COLOMBIA S.A.S.</t>
  </si>
  <si>
    <t>JERONIMO MARTINS COLOMBIA S.A.S.</t>
  </si>
  <si>
    <t>DISTRIBUIDORA DE RUEDAS SAS BARRANQUILLA</t>
  </si>
  <si>
    <t>PANIFICADORA LA BAGUETTE  S.A.S</t>
  </si>
  <si>
    <t>A PORTER SAS</t>
  </si>
  <si>
    <t>SURAMERICA COMERCIAL S.A.S</t>
  </si>
  <si>
    <t>WALL DE COLOMBIA S.A.S.</t>
  </si>
  <si>
    <t>OPERACIONES Y SERVICIOS TECNICOS S.A.S</t>
  </si>
  <si>
    <t>TOOLSERVICENTER S.A.S.</t>
  </si>
  <si>
    <t>OLGLASS INTERNACIONAL SAS</t>
  </si>
  <si>
    <t>COESCO COLOMBIA SAS</t>
  </si>
  <si>
    <t>INVERSIONES K&amp;A S.A.S</t>
  </si>
  <si>
    <t>CLEAN PERSIANAS S.A.S.</t>
  </si>
  <si>
    <t>restaurante medio oriente sas</t>
  </si>
  <si>
    <t>GRUPO RUEDA ARDILA S.A.S</t>
  </si>
  <si>
    <t>Expo electricos sas</t>
  </si>
  <si>
    <t>ASADERO EL CHURRASQUITO SAS</t>
  </si>
  <si>
    <t>SUGAR ROSE SAS</t>
  </si>
  <si>
    <t>PERSIANAS GAMADEKO S.A.S.</t>
  </si>
  <si>
    <t>VICTOR'S CASUAL FOODS SAS</t>
  </si>
  <si>
    <t>DOTACIONES MYV S.A.S</t>
  </si>
  <si>
    <t>TEXAS ENERGY STAR S.A.S.</t>
  </si>
  <si>
    <t>MUNDO FERRETERO BAQ S.A.S.</t>
  </si>
  <si>
    <t>Cra. 49c #92 72 </t>
  </si>
  <si>
    <t>INVERSIONES 3 EN 1 SAS</t>
  </si>
  <si>
    <t>tipo</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</si>
</sst>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43" formatCode="_-* #,##0.00_-;\-* #,##0.00_-;_-* &quot;-&quot;??_-;_-@_-"/>
    <numFmt numFmtId="164" formatCode="_-* #,##0_-;\-* #,##0_-;_-* &quot;-&quot;??_-;_-@_-"/>
    <numFmt numFmtId="165" formatCode="_-* #,##0.00_-;\-* #,##0.00_-;_-* &quot;-&quot;_-;_-@_-"/>
    <numFmt numFmtId="166" formatCode="_(* #,##0_);_(* \(#,##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4"/>
      <name val="Arial"/>
      <family val="2"/>
    </font>
    <font>
      <b/>
      <sz val="10"/>
      <name val="Arial"/>
      <family val="2"/>
    </font>
    <font>
      <b/>
      <sz val="10"/>
      <color indexed="9"/>
      <name val="Arial"/>
      <family val="2"/>
    </font>
    <font>
      <sz val="10"/>
      <name val="Arial"/>
      <family val="2"/>
    </font>
    <font>
      <b/>
      <sz val="14"/>
      <color indexed="9"/>
      <name val="Arial"/>
      <family val="2"/>
    </font>
    <font>
      <b/>
      <sz val="14"/>
      <name val="Arial"/>
      <family val="2"/>
    </font>
    <font>
      <b/>
      <sz val="9"/>
      <color indexed="81"/>
      <name val="Tahoma"/>
      <family val="2"/>
    </font>
    <font>
      <sz val="9"/>
      <color indexed="81"/>
      <name val="Tahoma"/>
      <family val="2"/>
    </font>
    <font>
      <sz val="10"/>
      <color theme="1"/>
      <name val="Arial"/>
      <family val="2"/>
    </font>
    <font>
      <sz val="14"/>
      <color theme="1"/>
      <name val="Arial"/>
      <family val="2"/>
    </font>
    <font>
      <b/>
      <sz val="14"/>
      <color theme="1"/>
      <name val="Arial"/>
      <family val="2"/>
    </font>
    <font>
      <b/>
      <sz val="11"/>
      <name val="Calibri"/>
      <family val="2"/>
    </font>
    <font>
      <sz val="12"/>
      <name val="Calibri"/>
      <family val="2"/>
      <scheme val="minor"/>
    </font>
    <font>
      <b/>
      <sz val="10"/>
      <color theme="1"/>
      <name val="Arial"/>
      <family val="2"/>
    </font>
    <font>
      <b/>
      <sz val="11"/>
      <color theme="1"/>
      <name val="Calibri"/>
      <family val="2"/>
    </font>
  </fonts>
  <fills count="7">
    <fill>
      <patternFill patternType="none"/>
    </fill>
    <fill>
      <patternFill patternType="gray125"/>
    </fill>
    <fill>
      <patternFill patternType="solid">
        <fgColor indexed="21"/>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6" fillId="0" borderId="0"/>
  </cellStyleXfs>
  <cellXfs count="56">
    <xf numFmtId="0" fontId="0" fillId="0" borderId="0" xfId="0"/>
    <xf numFmtId="0" fontId="0" fillId="0" borderId="0" xfId="0" applyAlignment="1">
      <alignment horizontal="center" vertical="center" wrapText="1"/>
    </xf>
    <xf numFmtId="0" fontId="3" fillId="0" borderId="0" xfId="0" applyFont="1" applyAlignment="1">
      <alignment horizontal="left"/>
    </xf>
    <xf numFmtId="0" fontId="3" fillId="0" borderId="0" xfId="0" applyFont="1"/>
    <xf numFmtId="0" fontId="4" fillId="0" borderId="0" xfId="0" applyFont="1"/>
    <xf numFmtId="49" fontId="5" fillId="2" borderId="1" xfId="0" applyNumberFormat="1" applyFont="1" applyFill="1" applyBorder="1" applyAlignment="1">
      <alignment horizontal="center" vertical="center" wrapText="1"/>
    </xf>
    <xf numFmtId="49" fontId="0" fillId="0" borderId="0" xfId="0" applyNumberFormat="1"/>
    <xf numFmtId="49" fontId="6" fillId="3" borderId="0" xfId="0" applyNumberFormat="1" applyFont="1" applyFill="1"/>
    <xf numFmtId="4" fontId="0" fillId="0" borderId="0" xfId="0" applyNumberFormat="1"/>
    <xf numFmtId="49" fontId="8" fillId="0" borderId="0" xfId="0" applyNumberFormat="1" applyFont="1"/>
    <xf numFmtId="49" fontId="3" fillId="3" borderId="0" xfId="0" applyNumberFormat="1" applyFont="1" applyFill="1"/>
    <xf numFmtId="4" fontId="5" fillId="2" borderId="1" xfId="1" applyNumberFormat="1" applyFont="1" applyFill="1" applyBorder="1" applyAlignment="1" applyProtection="1">
      <alignment horizontal="center" vertical="center" wrapText="1"/>
    </xf>
    <xf numFmtId="49" fontId="11" fillId="0" borderId="0" xfId="0" applyNumberFormat="1" applyFont="1"/>
    <xf numFmtId="2" fontId="11" fillId="0" borderId="0" xfId="2" applyNumberFormat="1" applyFont="1"/>
    <xf numFmtId="164" fontId="11" fillId="0" borderId="0" xfId="2" applyNumberFormat="1" applyFont="1"/>
    <xf numFmtId="49" fontId="12" fillId="0" borderId="0" xfId="0" applyNumberFormat="1" applyFont="1"/>
    <xf numFmtId="49" fontId="13" fillId="0" borderId="0" xfId="0" applyNumberFormat="1" applyFont="1"/>
    <xf numFmtId="2" fontId="13" fillId="0" borderId="0" xfId="2" applyNumberFormat="1" applyFont="1"/>
    <xf numFmtId="164" fontId="13" fillId="0" borderId="0" xfId="2" applyNumberFormat="1" applyFont="1"/>
    <xf numFmtId="164" fontId="0" fillId="0" borderId="0" xfId="2" applyNumberFormat="1" applyFont="1"/>
    <xf numFmtId="165" fontId="0" fillId="0" borderId="0" xfId="2" applyNumberFormat="1" applyFont="1"/>
    <xf numFmtId="49" fontId="3" fillId="0" borderId="0" xfId="0" applyNumberFormat="1" applyFont="1"/>
    <xf numFmtId="49" fontId="6" fillId="0" borderId="0" xfId="0" applyNumberFormat="1" applyFont="1"/>
    <xf numFmtId="164" fontId="5" fillId="2" borderId="1" xfId="2" applyNumberFormat="1" applyFont="1" applyFill="1" applyBorder="1" applyAlignment="1" applyProtection="1">
      <alignment horizontal="center" vertical="center" wrapText="1"/>
    </xf>
    <xf numFmtId="165" fontId="5" fillId="2" borderId="1" xfId="2" applyNumberFormat="1" applyFont="1" applyFill="1" applyBorder="1" applyAlignment="1" applyProtection="1">
      <alignment horizontal="center" vertical="center" wrapText="1"/>
    </xf>
    <xf numFmtId="49" fontId="0" fillId="0" borderId="0" xfId="1" applyNumberFormat="1" applyFont="1"/>
    <xf numFmtId="49" fontId="8" fillId="0" borderId="0" xfId="1" applyNumberFormat="1" applyFont="1"/>
    <xf numFmtId="49" fontId="5" fillId="2" borderId="1" xfId="1" applyNumberFormat="1" applyFont="1" applyFill="1" applyBorder="1" applyAlignment="1" applyProtection="1">
      <alignment horizontal="center" vertical="center" wrapText="1"/>
    </xf>
    <xf numFmtId="3" fontId="0" fillId="0" borderId="0" xfId="2" applyNumberFormat="1" applyFont="1"/>
    <xf numFmtId="49" fontId="4" fillId="0" borderId="0" xfId="0" applyNumberFormat="1" applyFont="1"/>
    <xf numFmtId="49" fontId="5" fillId="2" borderId="2" xfId="0" applyNumberFormat="1" applyFont="1" applyFill="1" applyBorder="1" applyAlignment="1">
      <alignment horizontal="center" vertical="center" wrapText="1"/>
    </xf>
    <xf numFmtId="49" fontId="5" fillId="2" borderId="2" xfId="1" applyNumberFormat="1" applyFont="1" applyFill="1" applyBorder="1" applyAlignment="1" applyProtection="1">
      <alignment horizontal="center" vertical="center" wrapText="1"/>
    </xf>
    <xf numFmtId="3" fontId="5" fillId="2" borderId="2" xfId="2" applyNumberFormat="1" applyFont="1" applyFill="1" applyBorder="1" applyAlignment="1" applyProtection="1">
      <alignment horizontal="center" vertical="center" wrapText="1"/>
    </xf>
    <xf numFmtId="0" fontId="14" fillId="0" borderId="0" xfId="0" applyFont="1"/>
    <xf numFmtId="0" fontId="0" fillId="0" borderId="0" xfId="0" applyNumberFormat="1"/>
    <xf numFmtId="0" fontId="5" fillId="2" borderId="1" xfId="0" applyNumberFormat="1" applyFont="1" applyFill="1" applyBorder="1" applyAlignment="1">
      <alignment horizontal="center" vertical="center" wrapText="1"/>
    </xf>
    <xf numFmtId="43" fontId="0" fillId="0" borderId="0" xfId="1" applyFont="1"/>
    <xf numFmtId="43" fontId="5" fillId="2" borderId="1" xfId="1" applyFont="1" applyFill="1" applyBorder="1" applyAlignment="1">
      <alignment horizontal="center" vertical="center" wrapText="1"/>
    </xf>
    <xf numFmtId="43" fontId="0" fillId="4" borderId="0" xfId="1" applyFont="1" applyFill="1"/>
    <xf numFmtId="166" fontId="15" fillId="5" borderId="0" xfId="1" applyNumberFormat="1" applyFont="1" applyFill="1" applyBorder="1" applyAlignment="1">
      <alignment horizontal="right"/>
    </xf>
    <xf numFmtId="49" fontId="0" fillId="4" borderId="0" xfId="0" applyNumberFormat="1" applyFill="1"/>
    <xf numFmtId="0" fontId="16" fillId="0" borderId="3" xfId="0" applyFont="1" applyBorder="1"/>
    <xf numFmtId="43" fontId="5" fillId="2" borderId="1" xfId="1" applyFont="1" applyFill="1" applyBorder="1" applyAlignment="1" applyProtection="1">
      <alignment horizontal="center" vertical="center" wrapText="1"/>
    </xf>
    <xf numFmtId="49" fontId="6" fillId="0" borderId="0" xfId="3" applyNumberFormat="1"/>
    <xf numFmtId="0" fontId="6" fillId="3" borderId="0" xfId="1" applyNumberFormat="1" applyFont="1" applyFill="1" applyAlignment="1" applyProtection="1">
      <alignment horizontal="right"/>
    </xf>
    <xf numFmtId="0" fontId="0" fillId="4" borderId="0" xfId="1" applyNumberFormat="1" applyFont="1" applyFill="1"/>
    <xf numFmtId="165" fontId="0" fillId="0" borderId="0" xfId="2" applyNumberFormat="1" applyFont="1" applyBorder="1"/>
    <xf numFmtId="41" fontId="0" fillId="0" borderId="0" xfId="2" applyFont="1" applyBorder="1"/>
    <xf numFmtId="165" fontId="5" fillId="2" borderId="4" xfId="2" applyNumberFormat="1" applyFont="1" applyFill="1" applyBorder="1" applyAlignment="1" applyProtection="1">
      <alignment horizontal="center" vertical="center" wrapText="1"/>
    </xf>
    <xf numFmtId="0" fontId="17" fillId="6" borderId="3" xfId="0" applyFont="1" applyFill="1" applyBorder="1"/>
    <xf numFmtId="49" fontId="17" fillId="6" borderId="0" xfId="0" applyNumberFormat="1" applyFont="1" applyFill="1"/>
    <xf numFmtId="0" fontId="17" fillId="0" borderId="3" xfId="0" applyFont="1" applyBorder="1"/>
    <xf numFmtId="0" fontId="17" fillId="0" borderId="0" xfId="0" applyFont="1"/>
    <xf numFmtId="0" fontId="17" fillId="6" borderId="0" xfId="0" applyFont="1" applyFill="1"/>
    <xf numFmtId="49" fontId="7" fillId="3" borderId="0" xfId="0" applyNumberFormat="1" applyFont="1" applyFill="1" applyAlignment="1">
      <alignment horizontal="left" vertical="center" wrapText="1"/>
    </xf>
    <xf numFmtId="0" fontId="2" fillId="0" borderId="0" xfId="0" applyFont="1" applyAlignment="1">
      <alignment horizontal="center"/>
    </xf>
  </cellXfs>
  <cellStyles count="4">
    <cellStyle name="Millares" xfId="1" builtinId="3"/>
    <cellStyle name="Millares [0]" xfId="2" builtinId="6"/>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
  <sheetViews>
    <sheetView tabSelected="1" topLeftCell="G1" workbookViewId="0">
      <pane ySplit="2" topLeftCell="A3" activePane="bottomLeft" state="frozen"/>
      <selection activeCell="C29" sqref="C29"/>
      <selection pane="bottomLeft" activeCell="T3" sqref="T3"/>
    </sheetView>
  </sheetViews>
  <sheetFormatPr baseColWidth="10" defaultRowHeight="15" x14ac:dyDescent="0.25"/>
  <cols>
    <col min="1" max="1" width="9.28515625" bestFit="1" customWidth="1"/>
    <col min="2" max="2" width="9.5703125" customWidth="1"/>
    <col min="3" max="3" width="12.140625" bestFit="1" customWidth="1"/>
    <col min="4" max="4" width="22.140625" customWidth="1"/>
    <col min="5" max="5" width="19.85546875" customWidth="1"/>
    <col min="6" max="6" width="22.42578125" customWidth="1"/>
    <col min="7" max="7" width="23.42578125" customWidth="1"/>
    <col min="8" max="8" width="33.28515625" bestFit="1" customWidth="1"/>
    <col min="9" max="9" width="19.140625" bestFit="1" customWidth="1"/>
    <col min="10" max="10" width="7.140625" bestFit="1" customWidth="1"/>
    <col min="11" max="11" width="7.42578125" bestFit="1" customWidth="1"/>
    <col min="12" max="12" width="4.7109375" bestFit="1" customWidth="1"/>
    <col min="13" max="13" width="17" style="36" bestFit="1" customWidth="1"/>
    <col min="14" max="14" width="13.5703125" bestFit="1" customWidth="1"/>
    <col min="15" max="16" width="26.42578125" bestFit="1" customWidth="1"/>
    <col min="17" max="17" width="21.85546875" bestFit="1" customWidth="1"/>
    <col min="18" max="18" width="15.28515625" bestFit="1" customWidth="1"/>
    <col min="19" max="19" width="21.85546875" bestFit="1" customWidth="1"/>
    <col min="20" max="20" width="26.5703125" bestFit="1" customWidth="1"/>
  </cols>
  <sheetData>
    <row r="1" spans="1:22" ht="32.25" customHeight="1" x14ac:dyDescent="0.25">
      <c r="A1" s="2">
        <v>1001</v>
      </c>
      <c r="B1" s="3" t="s">
        <v>20</v>
      </c>
      <c r="E1" s="4"/>
    </row>
    <row r="2" spans="1:22" ht="57.75" customHeight="1" x14ac:dyDescent="0.25">
      <c r="A2" s="5" t="s">
        <v>0</v>
      </c>
      <c r="B2" s="5" t="s">
        <v>1</v>
      </c>
      <c r="C2" s="5" t="s">
        <v>2</v>
      </c>
      <c r="D2" s="5" t="s">
        <v>3</v>
      </c>
      <c r="E2" s="5" t="s">
        <v>4</v>
      </c>
      <c r="F2" s="5" t="s">
        <v>5</v>
      </c>
      <c r="G2" s="5" t="s">
        <v>6</v>
      </c>
      <c r="H2" s="5" t="s">
        <v>7</v>
      </c>
      <c r="I2" s="5" t="s">
        <v>8</v>
      </c>
      <c r="J2" s="5" t="s">
        <v>9</v>
      </c>
      <c r="K2" s="5" t="s">
        <v>10</v>
      </c>
      <c r="L2" s="5" t="s">
        <v>11</v>
      </c>
      <c r="M2" s="37" t="s">
        <v>12</v>
      </c>
      <c r="N2" s="5" t="s">
        <v>13</v>
      </c>
      <c r="O2" s="5" t="s">
        <v>14</v>
      </c>
      <c r="P2" s="5" t="s">
        <v>15</v>
      </c>
      <c r="Q2" s="5" t="s">
        <v>16</v>
      </c>
      <c r="R2" s="5" t="s">
        <v>17</v>
      </c>
      <c r="S2" s="5" t="s">
        <v>18</v>
      </c>
      <c r="T2" s="5" t="s">
        <v>19</v>
      </c>
      <c r="U2" s="1"/>
      <c r="V2" s="1"/>
    </row>
    <row r="3" spans="1:22" x14ac:dyDescent="0.25">
      <c r="M3"/>
      <c r="N3">
        <v>0</v>
      </c>
      <c r="O3">
        <v>0</v>
      </c>
      <c r="P3">
        <v>0</v>
      </c>
      <c r="Q3">
        <v>0</v>
      </c>
      <c r="R3">
        <v>0</v>
      </c>
      <c r="S3">
        <v>0</v>
      </c>
      <c r="T3">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4" topLeftCell="A5" activePane="bottomLeft" state="frozen"/>
      <selection pane="bottomLeft" activeCell="A5" sqref="A5:N5"/>
    </sheetView>
  </sheetViews>
  <sheetFormatPr baseColWidth="10" defaultRowHeight="15" x14ac:dyDescent="0.25"/>
  <cols>
    <col min="5" max="5" width="18.28515625" customWidth="1"/>
    <col min="6" max="6" width="22.28515625" customWidth="1"/>
    <col min="7" max="7" width="22.42578125" customWidth="1"/>
    <col min="8" max="8" width="24" customWidth="1"/>
    <col min="9" max="9" width="21.5703125" bestFit="1" customWidth="1"/>
    <col min="10" max="10" width="20.7109375" customWidth="1"/>
    <col min="11" max="12" width="11.42578125" style="34"/>
    <col min="13" max="13" width="22.7109375" customWidth="1"/>
    <col min="14" max="14" width="29.140625" customWidth="1"/>
  </cols>
  <sheetData>
    <row r="1" spans="1:14" ht="18" x14ac:dyDescent="0.25">
      <c r="A1" s="6"/>
      <c r="B1" s="7"/>
      <c r="C1" s="7"/>
      <c r="D1" s="54" t="s">
        <v>21</v>
      </c>
      <c r="E1" s="54"/>
      <c r="F1" s="54"/>
      <c r="G1" s="54"/>
      <c r="H1" s="54"/>
      <c r="I1" s="7"/>
      <c r="J1" s="7"/>
      <c r="K1" s="44"/>
      <c r="M1" s="8"/>
      <c r="N1" s="8"/>
    </row>
    <row r="2" spans="1:14" ht="18" x14ac:dyDescent="0.25">
      <c r="A2" s="9">
        <v>1003</v>
      </c>
      <c r="B2" s="10" t="s">
        <v>22</v>
      </c>
      <c r="C2" s="6"/>
      <c r="D2" s="10"/>
      <c r="E2" s="10"/>
      <c r="F2" s="10"/>
      <c r="G2" s="10"/>
      <c r="H2" s="10"/>
      <c r="I2" s="7"/>
      <c r="J2" s="7"/>
      <c r="K2" s="44"/>
      <c r="M2" s="8"/>
      <c r="N2" s="8"/>
    </row>
    <row r="3" spans="1:14" x14ac:dyDescent="0.25">
      <c r="A3" s="6"/>
      <c r="B3" s="7"/>
      <c r="C3" s="7"/>
      <c r="D3" s="7"/>
      <c r="E3" s="7"/>
      <c r="F3" s="7"/>
      <c r="G3" s="7"/>
      <c r="H3" s="7"/>
      <c r="I3" s="7"/>
      <c r="J3" s="7"/>
      <c r="K3" s="44"/>
      <c r="M3" s="8"/>
      <c r="N3" s="8"/>
    </row>
    <row r="4" spans="1:14" ht="51.75" customHeight="1" x14ac:dyDescent="0.25">
      <c r="A4" s="5" t="s">
        <v>23</v>
      </c>
      <c r="B4" s="5" t="s">
        <v>24</v>
      </c>
      <c r="C4" s="5" t="s">
        <v>25</v>
      </c>
      <c r="D4" s="5" t="s">
        <v>26</v>
      </c>
      <c r="E4" s="5" t="s">
        <v>27</v>
      </c>
      <c r="F4" s="5" t="s">
        <v>28</v>
      </c>
      <c r="G4" s="5" t="s">
        <v>29</v>
      </c>
      <c r="H4" s="5" t="s">
        <v>30</v>
      </c>
      <c r="I4" s="5" t="s">
        <v>31</v>
      </c>
      <c r="J4" s="5" t="s">
        <v>32</v>
      </c>
      <c r="K4" s="35" t="s">
        <v>33</v>
      </c>
      <c r="L4" s="35" t="s">
        <v>34</v>
      </c>
      <c r="M4" s="11" t="s">
        <v>35</v>
      </c>
      <c r="N4" s="11" t="s">
        <v>36</v>
      </c>
    </row>
    <row r="5" spans="1:14" ht="15.75" x14ac:dyDescent="0.25">
      <c r="A5" s="40"/>
      <c r="B5" s="6"/>
      <c r="J5" s="38"/>
      <c r="K5" s="45"/>
      <c r="L5" s="45"/>
      <c r="M5" s="39"/>
      <c r="N5" s="39"/>
    </row>
  </sheetData>
  <mergeCells count="1">
    <mergeCell ref="D1:H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4" topLeftCell="A5" activePane="bottomLeft" state="frozen"/>
      <selection pane="bottomLeft" activeCell="A5" sqref="A5"/>
    </sheetView>
  </sheetViews>
  <sheetFormatPr baseColWidth="10" defaultRowHeight="15" x14ac:dyDescent="0.25"/>
  <cols>
    <col min="9" max="9" width="20.28515625" customWidth="1"/>
    <col min="10" max="10" width="29.85546875" customWidth="1"/>
    <col min="11" max="11" width="31.7109375" customWidth="1"/>
  </cols>
  <sheetData>
    <row r="1" spans="1:11" x14ac:dyDescent="0.25">
      <c r="A1" s="12"/>
      <c r="B1" s="12"/>
      <c r="C1" s="12"/>
      <c r="D1" s="12"/>
      <c r="E1" s="12"/>
      <c r="F1" s="12"/>
      <c r="G1" s="12"/>
      <c r="H1" s="12"/>
      <c r="I1" s="13"/>
      <c r="J1" s="14"/>
    </row>
    <row r="2" spans="1:11" ht="18" x14ac:dyDescent="0.25">
      <c r="A2" s="15">
        <v>1005</v>
      </c>
      <c r="B2" s="15" t="s">
        <v>43</v>
      </c>
      <c r="C2" s="15"/>
      <c r="D2" s="16"/>
      <c r="E2" s="16"/>
      <c r="F2" s="16"/>
      <c r="G2" s="16"/>
      <c r="H2" s="16"/>
      <c r="I2" s="17"/>
      <c r="J2" s="18"/>
    </row>
    <row r="3" spans="1:11" ht="18" x14ac:dyDescent="0.25">
      <c r="A3" s="12" t="s">
        <v>37</v>
      </c>
      <c r="B3" s="16"/>
      <c r="C3" s="16"/>
      <c r="D3" s="16"/>
      <c r="E3" s="16"/>
      <c r="F3" s="16"/>
      <c r="G3" s="16"/>
      <c r="H3" s="16"/>
      <c r="I3" s="17"/>
      <c r="J3" s="18"/>
    </row>
    <row r="4" spans="1:11" ht="65.25" customHeight="1" x14ac:dyDescent="0.25">
      <c r="A4" s="5" t="s">
        <v>38</v>
      </c>
      <c r="B4" s="5" t="s">
        <v>39</v>
      </c>
      <c r="C4" s="5" t="s">
        <v>40</v>
      </c>
      <c r="D4" s="5" t="s">
        <v>27</v>
      </c>
      <c r="E4" s="5" t="s">
        <v>28</v>
      </c>
      <c r="F4" s="5" t="s">
        <v>29</v>
      </c>
      <c r="G4" s="5" t="s">
        <v>30</v>
      </c>
      <c r="H4" s="5" t="s">
        <v>31</v>
      </c>
      <c r="I4" s="5" t="s">
        <v>41</v>
      </c>
      <c r="J4" s="5" t="s">
        <v>42</v>
      </c>
      <c r="K4" s="5"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
  <sheetViews>
    <sheetView workbookViewId="0">
      <pane ySplit="4" topLeftCell="A5" activePane="bottomLeft" state="frozen"/>
      <selection pane="bottomLeft" activeCell="A5" sqref="A5"/>
    </sheetView>
  </sheetViews>
  <sheetFormatPr baseColWidth="10" defaultRowHeight="15" x14ac:dyDescent="0.25"/>
  <cols>
    <col min="1" max="1" width="14" customWidth="1"/>
    <col min="2" max="2" width="13.42578125" customWidth="1"/>
    <col min="10" max="10" width="25.42578125" customWidth="1"/>
    <col min="11" max="11" width="23.28515625" customWidth="1"/>
  </cols>
  <sheetData>
    <row r="1" spans="1:11" x14ac:dyDescent="0.25">
      <c r="A1" s="6"/>
      <c r="B1" s="6"/>
      <c r="C1" s="6"/>
      <c r="D1" s="6"/>
      <c r="E1" s="6"/>
      <c r="F1" s="6"/>
      <c r="G1" s="6"/>
      <c r="H1" s="6"/>
      <c r="I1" s="19"/>
      <c r="J1" s="19"/>
      <c r="K1" s="20"/>
    </row>
    <row r="2" spans="1:11" ht="18" x14ac:dyDescent="0.25">
      <c r="A2" s="21">
        <v>1006</v>
      </c>
      <c r="B2" s="21" t="s">
        <v>45</v>
      </c>
      <c r="C2" s="6"/>
      <c r="D2" s="6"/>
      <c r="E2" s="6"/>
      <c r="F2" s="6"/>
      <c r="G2" s="6"/>
      <c r="H2" s="6"/>
      <c r="I2" s="19"/>
      <c r="J2" s="19"/>
      <c r="K2" s="20"/>
    </row>
    <row r="3" spans="1:11" x14ac:dyDescent="0.25">
      <c r="A3" s="22" t="s">
        <v>46</v>
      </c>
      <c r="B3" s="6"/>
      <c r="C3" s="6"/>
      <c r="D3" s="6"/>
      <c r="E3" s="6"/>
      <c r="F3" s="6"/>
      <c r="G3" s="6"/>
      <c r="H3" s="6"/>
      <c r="I3" s="19"/>
      <c r="J3" s="19"/>
      <c r="K3" s="20"/>
    </row>
    <row r="4" spans="1:11" ht="67.5" customHeight="1" x14ac:dyDescent="0.25">
      <c r="A4" s="5" t="s">
        <v>38</v>
      </c>
      <c r="B4" s="5" t="s">
        <v>47</v>
      </c>
      <c r="C4" s="5" t="s">
        <v>26</v>
      </c>
      <c r="D4" s="5" t="s">
        <v>27</v>
      </c>
      <c r="E4" s="5" t="s">
        <v>28</v>
      </c>
      <c r="F4" s="5" t="s">
        <v>29</v>
      </c>
      <c r="G4" s="5" t="s">
        <v>30</v>
      </c>
      <c r="H4" s="5" t="s">
        <v>31</v>
      </c>
      <c r="I4" s="23" t="s">
        <v>48</v>
      </c>
      <c r="J4" s="23" t="s">
        <v>49</v>
      </c>
      <c r="K4" s="24" t="s">
        <v>50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pane ySplit="4" topLeftCell="A5" activePane="bottomLeft" state="frozen"/>
      <selection pane="bottomLeft" activeCell="D6" sqref="D6"/>
    </sheetView>
  </sheetViews>
  <sheetFormatPr baseColWidth="10" defaultRowHeight="15" x14ac:dyDescent="0.25"/>
  <cols>
    <col min="3" max="3" width="20.140625" customWidth="1"/>
    <col min="4" max="4" width="29" customWidth="1"/>
    <col min="5" max="5" width="23.7109375" customWidth="1"/>
    <col min="6" max="7" width="19.7109375" customWidth="1"/>
    <col min="8" max="8" width="40" customWidth="1"/>
    <col min="9" max="9" width="17.5703125" customWidth="1"/>
    <col min="10" max="10" width="16.85546875" style="36" bestFit="1" customWidth="1"/>
    <col min="11" max="11" width="22" customWidth="1"/>
  </cols>
  <sheetData>
    <row r="1" spans="1:11" x14ac:dyDescent="0.25">
      <c r="A1" s="6"/>
      <c r="B1" s="6"/>
      <c r="C1" s="22"/>
      <c r="D1" s="6"/>
      <c r="E1" s="6"/>
      <c r="F1" s="6"/>
      <c r="G1" s="6"/>
      <c r="H1" s="25"/>
      <c r="I1" s="25"/>
      <c r="K1" s="20"/>
    </row>
    <row r="2" spans="1:11" ht="18" x14ac:dyDescent="0.25">
      <c r="A2" s="21">
        <v>1007</v>
      </c>
      <c r="B2" s="21" t="s">
        <v>51</v>
      </c>
      <c r="C2" s="22"/>
      <c r="D2" s="6"/>
      <c r="E2" s="6"/>
      <c r="F2" s="6"/>
      <c r="G2" s="6"/>
      <c r="H2" s="26"/>
      <c r="I2" s="26"/>
      <c r="K2" s="20"/>
    </row>
    <row r="3" spans="1:11" x14ac:dyDescent="0.25">
      <c r="A3" s="22" t="s">
        <v>53</v>
      </c>
      <c r="B3" s="6"/>
      <c r="C3" s="22"/>
      <c r="D3" s="6"/>
      <c r="E3" s="6"/>
      <c r="F3" s="6"/>
      <c r="G3" s="6"/>
      <c r="H3" s="25"/>
      <c r="I3" s="25"/>
      <c r="K3" s="20"/>
    </row>
    <row r="4" spans="1:11" ht="38.25" x14ac:dyDescent="0.25">
      <c r="A4" s="5" t="s">
        <v>23</v>
      </c>
      <c r="B4" s="5" t="s">
        <v>24</v>
      </c>
      <c r="C4" s="5" t="s">
        <v>54</v>
      </c>
      <c r="D4" s="5" t="s">
        <v>3</v>
      </c>
      <c r="E4" s="5" t="s">
        <v>4</v>
      </c>
      <c r="F4" s="5" t="s">
        <v>5</v>
      </c>
      <c r="G4" s="5" t="s">
        <v>6</v>
      </c>
      <c r="H4" s="5" t="s">
        <v>7</v>
      </c>
      <c r="I4" s="5" t="s">
        <v>11</v>
      </c>
      <c r="J4" s="42" t="s">
        <v>56</v>
      </c>
      <c r="K4" s="24" t="s">
        <v>57</v>
      </c>
    </row>
    <row r="5" spans="1:11" ht="15.75" x14ac:dyDescent="0.25">
      <c r="A5" s="6" t="s">
        <v>188</v>
      </c>
      <c r="B5" s="6" t="s">
        <v>181</v>
      </c>
      <c r="C5" s="41" t="s">
        <v>176</v>
      </c>
      <c r="D5" t="s">
        <v>178</v>
      </c>
      <c r="E5" t="s">
        <v>179</v>
      </c>
      <c r="F5" t="s">
        <v>177</v>
      </c>
      <c r="I5">
        <v>169</v>
      </c>
      <c r="J5" s="36">
        <v>8067949</v>
      </c>
      <c r="K5" s="3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4" topLeftCell="A5" activePane="bottomLeft" state="frozen"/>
      <selection pane="bottomLeft" activeCell="C5" sqref="C5"/>
    </sheetView>
  </sheetViews>
  <sheetFormatPr baseColWidth="10" defaultRowHeight="15" x14ac:dyDescent="0.25"/>
  <cols>
    <col min="3" max="3" width="14.5703125" customWidth="1"/>
    <col min="5" max="5" width="17.28515625" customWidth="1"/>
    <col min="6" max="6" width="15.140625" customWidth="1"/>
    <col min="7" max="7" width="16.85546875" customWidth="1"/>
    <col min="8" max="8" width="15.5703125" customWidth="1"/>
    <col min="9" max="9" width="42.5703125" customWidth="1"/>
    <col min="10" max="10" width="19.140625" customWidth="1"/>
    <col min="13" max="13" width="14.42578125" customWidth="1"/>
    <col min="14" max="14" width="15.28515625" customWidth="1"/>
  </cols>
  <sheetData>
    <row r="1" spans="1:14" x14ac:dyDescent="0.25">
      <c r="A1" s="6"/>
      <c r="B1" s="6"/>
      <c r="C1" s="6"/>
      <c r="D1" s="6"/>
      <c r="E1" s="6"/>
      <c r="F1" s="6"/>
      <c r="G1" s="6"/>
      <c r="H1" s="6"/>
      <c r="I1" s="6"/>
      <c r="J1" s="6"/>
      <c r="K1" s="6"/>
      <c r="L1" s="6"/>
      <c r="M1" s="25"/>
      <c r="N1" s="20"/>
    </row>
    <row r="2" spans="1:14" ht="18" x14ac:dyDescent="0.25">
      <c r="A2" s="21">
        <v>1008</v>
      </c>
      <c r="B2" s="21" t="s">
        <v>58</v>
      </c>
      <c r="C2" s="6"/>
      <c r="D2" s="6"/>
      <c r="E2" s="6"/>
      <c r="F2" s="6"/>
      <c r="G2" s="6"/>
      <c r="H2" s="6"/>
      <c r="I2" s="6"/>
      <c r="J2" s="6"/>
      <c r="K2" s="6"/>
      <c r="L2" s="6"/>
      <c r="M2" s="26" t="s">
        <v>52</v>
      </c>
      <c r="N2" s="20"/>
    </row>
    <row r="3" spans="1:14" x14ac:dyDescent="0.25">
      <c r="A3" s="6"/>
      <c r="B3" s="6"/>
      <c r="C3" s="6"/>
      <c r="D3" s="6"/>
      <c r="E3" s="6"/>
      <c r="F3" s="6"/>
      <c r="G3" s="6"/>
      <c r="H3" s="6"/>
      <c r="I3" s="6"/>
      <c r="J3" s="6"/>
      <c r="K3" s="6"/>
      <c r="L3" s="6"/>
      <c r="M3" s="25"/>
      <c r="N3" s="20"/>
    </row>
    <row r="4" spans="1:14" ht="38.25" x14ac:dyDescent="0.25">
      <c r="A4" s="5" t="s">
        <v>23</v>
      </c>
      <c r="B4" s="5" t="s">
        <v>24</v>
      </c>
      <c r="C4" s="5" t="s">
        <v>25</v>
      </c>
      <c r="D4" s="5" t="s">
        <v>26</v>
      </c>
      <c r="E4" s="5" t="s">
        <v>59</v>
      </c>
      <c r="F4" s="5" t="s">
        <v>60</v>
      </c>
      <c r="G4" s="5" t="s">
        <v>61</v>
      </c>
      <c r="H4" s="5" t="s">
        <v>62</v>
      </c>
      <c r="I4" s="5" t="s">
        <v>63</v>
      </c>
      <c r="J4" s="5" t="s">
        <v>32</v>
      </c>
      <c r="K4" s="5" t="s">
        <v>33</v>
      </c>
      <c r="L4" s="5" t="s">
        <v>34</v>
      </c>
      <c r="M4" s="27" t="s">
        <v>55</v>
      </c>
      <c r="N4" s="24" t="s">
        <v>64</v>
      </c>
    </row>
    <row r="5" spans="1:14" x14ac:dyDescent="0.25">
      <c r="A5" s="6" t="s">
        <v>223</v>
      </c>
      <c r="B5" s="6" t="s">
        <v>159</v>
      </c>
      <c r="C5" t="s">
        <v>189</v>
      </c>
      <c r="I5" t="s">
        <v>190</v>
      </c>
      <c r="J5" s="40" t="s">
        <v>192</v>
      </c>
      <c r="K5" s="40" t="s">
        <v>193</v>
      </c>
      <c r="L5" s="40" t="s">
        <v>194</v>
      </c>
      <c r="M5" s="43" t="s">
        <v>191</v>
      </c>
      <c r="N5" s="20">
        <f>29462592+1473715+26457115</f>
        <v>57393422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5" topLeftCell="A6" activePane="bottomLeft" state="frozen"/>
      <selection pane="bottomLeft" activeCell="A6" sqref="A6"/>
    </sheetView>
  </sheetViews>
  <sheetFormatPr baseColWidth="10" defaultRowHeight="15" x14ac:dyDescent="0.25"/>
  <cols>
    <col min="5" max="5" width="14.85546875" customWidth="1"/>
    <col min="6" max="6" width="18.28515625" customWidth="1"/>
    <col min="7" max="7" width="14.5703125" customWidth="1"/>
    <col min="8" max="8" width="15.85546875" customWidth="1"/>
    <col min="9" max="9" width="24.42578125" customWidth="1"/>
    <col min="13" max="13" width="16.85546875" customWidth="1"/>
    <col min="14" max="14" width="19" customWidth="1"/>
  </cols>
  <sheetData>
    <row r="1" spans="1:14" x14ac:dyDescent="0.25">
      <c r="A1" s="6"/>
      <c r="B1" s="6"/>
      <c r="C1" s="6"/>
      <c r="D1" s="6"/>
      <c r="E1" s="6"/>
      <c r="F1" s="6"/>
      <c r="G1" s="6"/>
      <c r="H1" s="6"/>
      <c r="I1" s="6"/>
      <c r="J1" s="6"/>
      <c r="K1" s="6"/>
      <c r="L1" s="6"/>
      <c r="M1" s="25"/>
      <c r="N1" s="28"/>
    </row>
    <row r="2" spans="1:14" ht="18" x14ac:dyDescent="0.25">
      <c r="A2" s="21">
        <v>1009</v>
      </c>
      <c r="B2" s="21" t="s">
        <v>65</v>
      </c>
      <c r="C2" s="6"/>
      <c r="D2" s="6"/>
      <c r="E2" s="6"/>
      <c r="F2" s="6"/>
      <c r="G2" s="29"/>
      <c r="H2" s="6"/>
      <c r="I2" s="6"/>
      <c r="J2" s="6"/>
      <c r="K2" s="6"/>
      <c r="L2" s="6"/>
      <c r="M2" s="26" t="s">
        <v>52</v>
      </c>
      <c r="N2" s="28"/>
    </row>
    <row r="3" spans="1:14" x14ac:dyDescent="0.25">
      <c r="A3" s="6"/>
      <c r="B3" s="6"/>
      <c r="C3" s="6"/>
      <c r="D3" s="6"/>
      <c r="E3" s="6"/>
      <c r="F3" s="6"/>
      <c r="G3" s="6"/>
      <c r="H3" s="6"/>
      <c r="I3" s="6"/>
      <c r="J3" s="6"/>
      <c r="K3" s="6"/>
      <c r="L3" s="6"/>
      <c r="M3" s="25"/>
      <c r="N3" s="28"/>
    </row>
    <row r="4" spans="1:14" x14ac:dyDescent="0.25">
      <c r="A4" s="6"/>
      <c r="B4" s="6"/>
      <c r="C4" s="6"/>
      <c r="D4" s="6"/>
      <c r="E4" s="6"/>
      <c r="F4" s="6"/>
      <c r="G4" s="6"/>
      <c r="H4" s="6"/>
      <c r="I4" s="6"/>
      <c r="J4" s="6"/>
      <c r="K4" s="6"/>
      <c r="L4" s="6"/>
      <c r="M4" s="25"/>
      <c r="N4" s="28"/>
    </row>
    <row r="5" spans="1:14" ht="38.25" x14ac:dyDescent="0.25">
      <c r="A5" s="30" t="s">
        <v>23</v>
      </c>
      <c r="B5" s="30" t="s">
        <v>24</v>
      </c>
      <c r="C5" s="30" t="s">
        <v>25</v>
      </c>
      <c r="D5" s="30" t="s">
        <v>26</v>
      </c>
      <c r="E5" s="30" t="s">
        <v>66</v>
      </c>
      <c r="F5" s="30" t="s">
        <v>67</v>
      </c>
      <c r="G5" s="30" t="s">
        <v>68</v>
      </c>
      <c r="H5" s="30" t="s">
        <v>69</v>
      </c>
      <c r="I5" s="30" t="s">
        <v>70</v>
      </c>
      <c r="J5" s="30" t="s">
        <v>32</v>
      </c>
      <c r="K5" s="30" t="s">
        <v>33</v>
      </c>
      <c r="L5" s="30" t="s">
        <v>34</v>
      </c>
      <c r="M5" s="31" t="s">
        <v>55</v>
      </c>
      <c r="N5" s="32" t="s">
        <v>71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
  <sheetViews>
    <sheetView workbookViewId="0">
      <selection activeCell="A5" sqref="A5:P7"/>
    </sheetView>
  </sheetViews>
  <sheetFormatPr baseColWidth="10" defaultRowHeight="15" x14ac:dyDescent="0.25"/>
  <cols>
    <col min="15" max="15" width="16" customWidth="1"/>
    <col min="16" max="16" width="16.42578125" customWidth="1"/>
  </cols>
  <sheetData>
    <row r="1" spans="1:16" ht="18" x14ac:dyDescent="0.25">
      <c r="A1" s="21">
        <v>1010</v>
      </c>
      <c r="B1" s="21" t="s">
        <v>217</v>
      </c>
      <c r="C1" s="6"/>
      <c r="D1" s="6"/>
      <c r="E1" s="6"/>
      <c r="F1" s="6"/>
      <c r="G1" s="6"/>
      <c r="H1" s="6"/>
      <c r="I1" s="6"/>
      <c r="J1" s="6"/>
      <c r="K1" s="6"/>
      <c r="L1" s="25"/>
      <c r="M1" s="46"/>
      <c r="N1" s="46" t="s">
        <v>208</v>
      </c>
      <c r="O1" s="46"/>
    </row>
    <row r="2" spans="1:16" ht="18" x14ac:dyDescent="0.25">
      <c r="A2" s="22" t="s">
        <v>209</v>
      </c>
      <c r="B2" s="6"/>
      <c r="C2" s="6"/>
      <c r="D2" s="6"/>
      <c r="E2" s="6"/>
      <c r="F2" s="6"/>
      <c r="G2" s="6"/>
      <c r="H2" s="6"/>
      <c r="I2" s="6"/>
      <c r="J2" s="6"/>
      <c r="K2" s="6"/>
      <c r="L2" s="26"/>
      <c r="M2" s="46"/>
      <c r="N2" s="46"/>
      <c r="O2" s="46"/>
    </row>
    <row r="3" spans="1:16" ht="89.25" x14ac:dyDescent="0.25">
      <c r="A3" s="5" t="s">
        <v>24</v>
      </c>
      <c r="B3" s="5" t="s">
        <v>210</v>
      </c>
      <c r="C3" s="5" t="s">
        <v>26</v>
      </c>
      <c r="D3" s="5" t="s">
        <v>211</v>
      </c>
      <c r="E3" s="5" t="s">
        <v>218</v>
      </c>
      <c r="F3" s="5" t="s">
        <v>212</v>
      </c>
      <c r="G3" s="5" t="s">
        <v>213</v>
      </c>
      <c r="H3" s="5" t="s">
        <v>70</v>
      </c>
      <c r="I3" s="5" t="s">
        <v>32</v>
      </c>
      <c r="J3" s="5" t="s">
        <v>33</v>
      </c>
      <c r="K3" s="5" t="s">
        <v>34</v>
      </c>
      <c r="L3" s="5" t="s">
        <v>55</v>
      </c>
      <c r="M3" s="24" t="s">
        <v>219</v>
      </c>
      <c r="N3" s="24" t="s">
        <v>220</v>
      </c>
      <c r="O3" s="24" t="s">
        <v>221</v>
      </c>
      <c r="P3" s="48" t="s">
        <v>222</v>
      </c>
    </row>
    <row r="4" spans="1:16" x14ac:dyDescent="0.25">
      <c r="A4" s="22" t="s">
        <v>181</v>
      </c>
      <c r="B4" s="22" t="s">
        <v>214</v>
      </c>
      <c r="C4" s="6"/>
      <c r="D4" s="22" t="s">
        <v>157</v>
      </c>
      <c r="E4" s="22" t="s">
        <v>158</v>
      </c>
      <c r="F4" s="22" t="s">
        <v>215</v>
      </c>
      <c r="G4" s="22" t="s">
        <v>180</v>
      </c>
      <c r="H4" s="6"/>
      <c r="I4" s="6" t="s">
        <v>216</v>
      </c>
      <c r="J4" s="22" t="s">
        <v>193</v>
      </c>
      <c r="K4" s="22" t="s">
        <v>194</v>
      </c>
      <c r="L4" s="22" t="s">
        <v>191</v>
      </c>
      <c r="M4" s="47">
        <v>2500000</v>
      </c>
      <c r="N4" s="47">
        <v>0</v>
      </c>
      <c r="O4" s="46">
        <v>0</v>
      </c>
      <c r="P4">
        <v>0</v>
      </c>
    </row>
    <row r="5" spans="1:16" x14ac:dyDescent="0.25">
      <c r="A5" s="22"/>
      <c r="B5" s="22"/>
      <c r="C5" s="6"/>
      <c r="D5" s="22"/>
      <c r="E5" s="22"/>
      <c r="F5" s="22"/>
      <c r="G5" s="22"/>
      <c r="H5" s="22"/>
      <c r="I5" s="6"/>
      <c r="J5" s="22"/>
      <c r="K5" s="22"/>
      <c r="L5" s="22"/>
      <c r="M5" s="47"/>
      <c r="N5" s="47"/>
      <c r="O5" s="46"/>
    </row>
    <row r="6" spans="1:16" x14ac:dyDescent="0.25">
      <c r="A6" s="22"/>
      <c r="B6" s="22"/>
      <c r="C6" s="6"/>
      <c r="D6" s="22"/>
      <c r="E6" s="22"/>
      <c r="F6" s="22"/>
      <c r="G6" s="22"/>
      <c r="H6" s="6"/>
      <c r="I6" s="6"/>
      <c r="J6" s="22"/>
      <c r="K6" s="22"/>
      <c r="L6" s="22"/>
      <c r="M6" s="47"/>
      <c r="N6" s="47"/>
      <c r="O6" s="46"/>
    </row>
    <row r="7" spans="1:16" x14ac:dyDescent="0.25">
      <c r="A7" s="22"/>
      <c r="B7" s="6"/>
      <c r="C7" s="6"/>
      <c r="D7" s="22"/>
      <c r="E7" s="22"/>
      <c r="F7" s="22"/>
      <c r="G7" s="22"/>
      <c r="H7" s="6"/>
      <c r="I7" s="6"/>
      <c r="J7" s="22"/>
      <c r="K7" s="22"/>
      <c r="L7" s="22"/>
      <c r="M7" s="47"/>
      <c r="N7" s="47"/>
      <c r="O7" s="46"/>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86"/>
  <sheetViews>
    <sheetView workbookViewId="0">
      <pane ySplit="3" topLeftCell="A4" activePane="bottomLeft" state="frozen"/>
      <selection pane="bottomLeft" activeCell="A4" sqref="A4"/>
    </sheetView>
  </sheetViews>
  <sheetFormatPr baseColWidth="10" defaultRowHeight="15" x14ac:dyDescent="0.25"/>
  <cols>
    <col min="1" max="1" width="9.7109375" customWidth="1"/>
    <col min="2" max="2" width="79.5703125" customWidth="1"/>
    <col min="3" max="3" width="13.5703125" customWidth="1"/>
    <col min="4" max="4" width="61.42578125" customWidth="1"/>
    <col min="6" max="6" width="12.28515625" customWidth="1"/>
    <col min="7" max="7" width="63.7109375" customWidth="1"/>
  </cols>
  <sheetData>
    <row r="2" spans="1:7" x14ac:dyDescent="0.25">
      <c r="A2" s="55" t="s">
        <v>72</v>
      </c>
      <c r="B2" s="55"/>
      <c r="C2" s="55" t="s">
        <v>160</v>
      </c>
      <c r="D2" s="55"/>
      <c r="F2" s="55" t="s">
        <v>195</v>
      </c>
      <c r="G2" s="55"/>
    </row>
    <row r="3" spans="1:7" x14ac:dyDescent="0.25">
      <c r="A3" s="33" t="s">
        <v>23</v>
      </c>
      <c r="B3" s="33" t="s">
        <v>73</v>
      </c>
      <c r="C3" s="33" t="s">
        <v>23</v>
      </c>
      <c r="D3" s="33" t="s">
        <v>73</v>
      </c>
      <c r="F3" s="33" t="s">
        <v>23</v>
      </c>
      <c r="G3" s="33" t="s">
        <v>73</v>
      </c>
    </row>
    <row r="4" spans="1:7" x14ac:dyDescent="0.25">
      <c r="A4">
        <v>5002</v>
      </c>
      <c r="B4" t="s">
        <v>74</v>
      </c>
      <c r="C4">
        <v>1301</v>
      </c>
      <c r="D4" t="s">
        <v>161</v>
      </c>
      <c r="F4">
        <v>1315</v>
      </c>
      <c r="G4" t="s">
        <v>196</v>
      </c>
    </row>
    <row r="5" spans="1:7" x14ac:dyDescent="0.25">
      <c r="A5">
        <v>5003</v>
      </c>
      <c r="B5" t="s">
        <v>75</v>
      </c>
      <c r="C5">
        <v>1302</v>
      </c>
      <c r="D5" t="s">
        <v>162</v>
      </c>
      <c r="F5">
        <v>1316</v>
      </c>
      <c r="G5" t="s">
        <v>197</v>
      </c>
    </row>
    <row r="6" spans="1:7" x14ac:dyDescent="0.25">
      <c r="A6">
        <v>5004</v>
      </c>
      <c r="B6" t="s">
        <v>76</v>
      </c>
      <c r="C6">
        <v>1303</v>
      </c>
      <c r="D6" t="s">
        <v>163</v>
      </c>
      <c r="F6">
        <v>1317</v>
      </c>
      <c r="G6" t="s">
        <v>198</v>
      </c>
    </row>
    <row r="7" spans="1:7" x14ac:dyDescent="0.25">
      <c r="A7">
        <v>5005</v>
      </c>
      <c r="B7" t="s">
        <v>77</v>
      </c>
      <c r="C7">
        <v>1304</v>
      </c>
      <c r="D7" t="s">
        <v>164</v>
      </c>
      <c r="F7">
        <v>1318</v>
      </c>
      <c r="G7" t="s">
        <v>199</v>
      </c>
    </row>
    <row r="8" spans="1:7" ht="15.75" customHeight="1" x14ac:dyDescent="0.25">
      <c r="A8">
        <v>5006</v>
      </c>
      <c r="B8" t="s">
        <v>78</v>
      </c>
      <c r="C8">
        <v>1305</v>
      </c>
      <c r="D8" t="s">
        <v>165</v>
      </c>
    </row>
    <row r="9" spans="1:7" x14ac:dyDescent="0.25">
      <c r="A9">
        <v>5007</v>
      </c>
      <c r="B9" t="s">
        <v>79</v>
      </c>
      <c r="C9">
        <v>1306</v>
      </c>
      <c r="D9" t="s">
        <v>166</v>
      </c>
    </row>
    <row r="10" spans="1:7" x14ac:dyDescent="0.25">
      <c r="A10">
        <v>5008</v>
      </c>
      <c r="B10" t="s">
        <v>80</v>
      </c>
      <c r="C10">
        <v>1307</v>
      </c>
      <c r="D10" t="s">
        <v>167</v>
      </c>
    </row>
    <row r="11" spans="1:7" x14ac:dyDescent="0.25">
      <c r="A11">
        <v>5010</v>
      </c>
      <c r="B11" t="s">
        <v>86</v>
      </c>
      <c r="C11">
        <v>1308</v>
      </c>
      <c r="D11" t="s">
        <v>168</v>
      </c>
    </row>
    <row r="12" spans="1:7" x14ac:dyDescent="0.25">
      <c r="A12">
        <v>5011</v>
      </c>
      <c r="B12" t="s">
        <v>81</v>
      </c>
      <c r="C12">
        <v>1309</v>
      </c>
      <c r="D12" t="s">
        <v>169</v>
      </c>
    </row>
    <row r="13" spans="1:7" x14ac:dyDescent="0.25">
      <c r="A13">
        <v>5012</v>
      </c>
      <c r="B13" t="s">
        <v>82</v>
      </c>
      <c r="C13">
        <v>1310</v>
      </c>
      <c r="D13" t="s">
        <v>170</v>
      </c>
    </row>
    <row r="14" spans="1:7" x14ac:dyDescent="0.25">
      <c r="A14">
        <v>5013</v>
      </c>
      <c r="B14" t="s">
        <v>87</v>
      </c>
      <c r="C14">
        <v>1311</v>
      </c>
      <c r="D14" t="s">
        <v>171</v>
      </c>
    </row>
    <row r="15" spans="1:7" x14ac:dyDescent="0.25">
      <c r="A15">
        <v>5014</v>
      </c>
      <c r="B15" t="s">
        <v>88</v>
      </c>
      <c r="C15">
        <v>1312</v>
      </c>
      <c r="D15" t="s">
        <v>172</v>
      </c>
    </row>
    <row r="16" spans="1:7" x14ac:dyDescent="0.25">
      <c r="A16">
        <v>5015</v>
      </c>
      <c r="B16" t="s">
        <v>89</v>
      </c>
      <c r="C16">
        <v>1313</v>
      </c>
      <c r="D16" t="s">
        <v>173</v>
      </c>
    </row>
    <row r="17" spans="1:4" x14ac:dyDescent="0.25">
      <c r="A17">
        <v>5016</v>
      </c>
      <c r="B17" t="s">
        <v>90</v>
      </c>
      <c r="C17">
        <v>1314</v>
      </c>
      <c r="D17" t="s">
        <v>174</v>
      </c>
    </row>
    <row r="18" spans="1:4" x14ac:dyDescent="0.25">
      <c r="A18">
        <v>5018</v>
      </c>
      <c r="B18" t="s">
        <v>91</v>
      </c>
      <c r="C18">
        <v>1320</v>
      </c>
      <c r="D18" t="s">
        <v>175</v>
      </c>
    </row>
    <row r="19" spans="1:4" x14ac:dyDescent="0.25">
      <c r="A19">
        <v>5019</v>
      </c>
      <c r="B19" t="s">
        <v>92</v>
      </c>
    </row>
    <row r="20" spans="1:4" x14ac:dyDescent="0.25">
      <c r="A20">
        <v>5020</v>
      </c>
      <c r="B20" t="s">
        <v>93</v>
      </c>
      <c r="C20" s="55" t="s">
        <v>182</v>
      </c>
      <c r="D20" s="55"/>
    </row>
    <row r="21" spans="1:4" x14ac:dyDescent="0.25">
      <c r="A21">
        <v>5023</v>
      </c>
      <c r="B21" t="s">
        <v>94</v>
      </c>
      <c r="C21" s="33" t="s">
        <v>23</v>
      </c>
      <c r="D21" s="33" t="s">
        <v>73</v>
      </c>
    </row>
    <row r="22" spans="1:4" x14ac:dyDescent="0.25">
      <c r="A22">
        <v>5024</v>
      </c>
      <c r="B22" t="s">
        <v>95</v>
      </c>
      <c r="C22">
        <v>4001</v>
      </c>
      <c r="D22" t="s">
        <v>183</v>
      </c>
    </row>
    <row r="23" spans="1:4" x14ac:dyDescent="0.25">
      <c r="A23">
        <v>5025</v>
      </c>
      <c r="B23" t="s">
        <v>96</v>
      </c>
      <c r="C23">
        <v>4002</v>
      </c>
      <c r="D23" t="s">
        <v>184</v>
      </c>
    </row>
    <row r="24" spans="1:4" x14ac:dyDescent="0.25">
      <c r="A24">
        <v>5026</v>
      </c>
      <c r="B24" t="s">
        <v>97</v>
      </c>
      <c r="C24">
        <v>4003</v>
      </c>
      <c r="D24" t="s">
        <v>185</v>
      </c>
    </row>
    <row r="25" spans="1:4" x14ac:dyDescent="0.25">
      <c r="A25">
        <v>5027</v>
      </c>
      <c r="B25" t="s">
        <v>98</v>
      </c>
      <c r="C25">
        <v>4004</v>
      </c>
      <c r="D25" t="s">
        <v>186</v>
      </c>
    </row>
    <row r="26" spans="1:4" x14ac:dyDescent="0.25">
      <c r="A26">
        <v>5028</v>
      </c>
      <c r="B26" t="s">
        <v>99</v>
      </c>
      <c r="C26">
        <v>4005</v>
      </c>
      <c r="D26" t="s">
        <v>187</v>
      </c>
    </row>
    <row r="27" spans="1:4" x14ac:dyDescent="0.25">
      <c r="A27">
        <v>5029</v>
      </c>
      <c r="B27" t="s">
        <v>100</v>
      </c>
      <c r="C27">
        <v>4006</v>
      </c>
      <c r="D27" t="s">
        <v>200</v>
      </c>
    </row>
    <row r="28" spans="1:4" x14ac:dyDescent="0.25">
      <c r="A28">
        <v>5030</v>
      </c>
      <c r="B28" t="s">
        <v>101</v>
      </c>
      <c r="C28">
        <v>4007</v>
      </c>
      <c r="D28" t="s">
        <v>201</v>
      </c>
    </row>
    <row r="29" spans="1:4" x14ac:dyDescent="0.25">
      <c r="A29">
        <v>5031</v>
      </c>
      <c r="B29" t="s">
        <v>102</v>
      </c>
      <c r="C29">
        <v>4008</v>
      </c>
      <c r="D29" t="s">
        <v>202</v>
      </c>
    </row>
    <row r="30" spans="1:4" x14ac:dyDescent="0.25">
      <c r="A30">
        <v>5032</v>
      </c>
      <c r="B30" t="s">
        <v>103</v>
      </c>
      <c r="C30">
        <v>4009</v>
      </c>
      <c r="D30" t="s">
        <v>203</v>
      </c>
    </row>
    <row r="31" spans="1:4" x14ac:dyDescent="0.25">
      <c r="A31">
        <v>5033</v>
      </c>
      <c r="B31" t="s">
        <v>104</v>
      </c>
      <c r="C31">
        <v>4011</v>
      </c>
      <c r="D31" t="s">
        <v>204</v>
      </c>
    </row>
    <row r="32" spans="1:4" x14ac:dyDescent="0.25">
      <c r="A32">
        <v>5034</v>
      </c>
      <c r="B32" t="s">
        <v>105</v>
      </c>
      <c r="C32">
        <v>4012</v>
      </c>
      <c r="D32" t="s">
        <v>205</v>
      </c>
    </row>
    <row r="33" spans="1:4" x14ac:dyDescent="0.25">
      <c r="A33">
        <v>5035</v>
      </c>
      <c r="B33" t="s">
        <v>106</v>
      </c>
      <c r="C33">
        <v>4013</v>
      </c>
      <c r="D33" t="s">
        <v>206</v>
      </c>
    </row>
    <row r="34" spans="1:4" x14ac:dyDescent="0.25">
      <c r="A34">
        <v>5040</v>
      </c>
      <c r="B34" t="s">
        <v>107</v>
      </c>
      <c r="C34">
        <v>4014</v>
      </c>
      <c r="D34" t="s">
        <v>207</v>
      </c>
    </row>
    <row r="35" spans="1:4" x14ac:dyDescent="0.25">
      <c r="A35">
        <v>5045</v>
      </c>
      <c r="B35" t="s">
        <v>108</v>
      </c>
      <c r="C35">
        <v>4015</v>
      </c>
    </row>
    <row r="36" spans="1:4" x14ac:dyDescent="0.25">
      <c r="A36">
        <v>5046</v>
      </c>
      <c r="B36" t="s">
        <v>109</v>
      </c>
      <c r="C36">
        <v>4016</v>
      </c>
    </row>
    <row r="37" spans="1:4" x14ac:dyDescent="0.25">
      <c r="A37">
        <v>5047</v>
      </c>
      <c r="B37" t="s">
        <v>110</v>
      </c>
      <c r="C37">
        <v>4017</v>
      </c>
    </row>
    <row r="38" spans="1:4" x14ac:dyDescent="0.25">
      <c r="A38">
        <v>5048</v>
      </c>
      <c r="B38" t="s">
        <v>111</v>
      </c>
      <c r="C38">
        <v>4018</v>
      </c>
    </row>
    <row r="39" spans="1:4" x14ac:dyDescent="0.25">
      <c r="A39">
        <v>5053</v>
      </c>
      <c r="B39" t="s">
        <v>112</v>
      </c>
      <c r="C39">
        <v>4019</v>
      </c>
    </row>
    <row r="40" spans="1:4" x14ac:dyDescent="0.25">
      <c r="A40">
        <v>5054</v>
      </c>
      <c r="B40" t="s">
        <v>113</v>
      </c>
      <c r="C40">
        <v>4020</v>
      </c>
    </row>
    <row r="41" spans="1:4" x14ac:dyDescent="0.25">
      <c r="A41">
        <v>5055</v>
      </c>
      <c r="B41" t="s">
        <v>83</v>
      </c>
      <c r="C41">
        <v>4021</v>
      </c>
    </row>
    <row r="42" spans="1:4" x14ac:dyDescent="0.25">
      <c r="A42">
        <v>5056</v>
      </c>
      <c r="B42" t="s">
        <v>84</v>
      </c>
      <c r="C42">
        <v>4022</v>
      </c>
    </row>
    <row r="43" spans="1:4" x14ac:dyDescent="0.25">
      <c r="A43">
        <v>5058</v>
      </c>
      <c r="B43" t="s">
        <v>114</v>
      </c>
      <c r="C43">
        <v>4023</v>
      </c>
    </row>
    <row r="44" spans="1:4" x14ac:dyDescent="0.25">
      <c r="A44">
        <v>5059</v>
      </c>
      <c r="B44" t="s">
        <v>115</v>
      </c>
      <c r="C44">
        <v>4024</v>
      </c>
    </row>
    <row r="45" spans="1:4" x14ac:dyDescent="0.25">
      <c r="A45">
        <v>5060</v>
      </c>
      <c r="B45" t="s">
        <v>116</v>
      </c>
    </row>
    <row r="46" spans="1:4" x14ac:dyDescent="0.25">
      <c r="A46">
        <v>5061</v>
      </c>
      <c r="B46" t="s">
        <v>117</v>
      </c>
    </row>
    <row r="47" spans="1:4" x14ac:dyDescent="0.25">
      <c r="A47">
        <v>5063</v>
      </c>
      <c r="B47" t="s">
        <v>118</v>
      </c>
    </row>
    <row r="48" spans="1:4" x14ac:dyDescent="0.25">
      <c r="A48">
        <v>5064</v>
      </c>
      <c r="B48" t="s">
        <v>119</v>
      </c>
    </row>
    <row r="49" spans="1:2" x14ac:dyDescent="0.25">
      <c r="A49">
        <v>5065</v>
      </c>
      <c r="B49" t="s">
        <v>120</v>
      </c>
    </row>
    <row r="50" spans="1:2" x14ac:dyDescent="0.25">
      <c r="A50">
        <v>5066</v>
      </c>
      <c r="B50" t="s">
        <v>121</v>
      </c>
    </row>
    <row r="51" spans="1:2" x14ac:dyDescent="0.25">
      <c r="A51">
        <v>5067</v>
      </c>
      <c r="B51" t="s">
        <v>122</v>
      </c>
    </row>
    <row r="52" spans="1:2" x14ac:dyDescent="0.25">
      <c r="A52">
        <v>5068</v>
      </c>
      <c r="B52" t="s">
        <v>123</v>
      </c>
    </row>
    <row r="53" spans="1:2" x14ac:dyDescent="0.25">
      <c r="A53">
        <v>5069</v>
      </c>
      <c r="B53" t="s">
        <v>124</v>
      </c>
    </row>
    <row r="54" spans="1:2" x14ac:dyDescent="0.25">
      <c r="A54">
        <v>5070</v>
      </c>
      <c r="B54" t="s">
        <v>125</v>
      </c>
    </row>
    <row r="55" spans="1:2" x14ac:dyDescent="0.25">
      <c r="A55">
        <v>5071</v>
      </c>
      <c r="B55" t="s">
        <v>126</v>
      </c>
    </row>
    <row r="56" spans="1:2" x14ac:dyDescent="0.25">
      <c r="A56">
        <v>5072</v>
      </c>
      <c r="B56" t="s">
        <v>127</v>
      </c>
    </row>
    <row r="57" spans="1:2" x14ac:dyDescent="0.25">
      <c r="A57">
        <v>5073</v>
      </c>
      <c r="B57" t="s">
        <v>128</v>
      </c>
    </row>
    <row r="58" spans="1:2" x14ac:dyDescent="0.25">
      <c r="A58">
        <v>5074</v>
      </c>
      <c r="B58" t="s">
        <v>129</v>
      </c>
    </row>
    <row r="59" spans="1:2" x14ac:dyDescent="0.25">
      <c r="A59">
        <v>5075</v>
      </c>
      <c r="B59" t="s">
        <v>130</v>
      </c>
    </row>
    <row r="60" spans="1:2" x14ac:dyDescent="0.25">
      <c r="A60">
        <v>5076</v>
      </c>
      <c r="B60" t="s">
        <v>131</v>
      </c>
    </row>
    <row r="61" spans="1:2" x14ac:dyDescent="0.25">
      <c r="A61">
        <v>5079</v>
      </c>
      <c r="B61" t="s">
        <v>132</v>
      </c>
    </row>
    <row r="62" spans="1:2" x14ac:dyDescent="0.25">
      <c r="A62">
        <v>5080</v>
      </c>
      <c r="B62" t="s">
        <v>133</v>
      </c>
    </row>
    <row r="63" spans="1:2" x14ac:dyDescent="0.25">
      <c r="A63">
        <v>5081</v>
      </c>
      <c r="B63" t="s">
        <v>134</v>
      </c>
    </row>
    <row r="64" spans="1:2" x14ac:dyDescent="0.25">
      <c r="A64">
        <v>5082</v>
      </c>
      <c r="B64" t="s">
        <v>135</v>
      </c>
    </row>
    <row r="65" spans="1:2" x14ac:dyDescent="0.25">
      <c r="A65">
        <v>5083</v>
      </c>
      <c r="B65" t="s">
        <v>136</v>
      </c>
    </row>
    <row r="66" spans="1:2" x14ac:dyDescent="0.25">
      <c r="A66">
        <v>5084</v>
      </c>
      <c r="B66" t="s">
        <v>137</v>
      </c>
    </row>
    <row r="67" spans="1:2" x14ac:dyDescent="0.25">
      <c r="A67">
        <v>5085</v>
      </c>
      <c r="B67" t="s">
        <v>138</v>
      </c>
    </row>
    <row r="68" spans="1:2" x14ac:dyDescent="0.25">
      <c r="A68">
        <v>5086</v>
      </c>
      <c r="B68" t="s">
        <v>139</v>
      </c>
    </row>
    <row r="69" spans="1:2" x14ac:dyDescent="0.25">
      <c r="A69">
        <v>5087</v>
      </c>
      <c r="B69" t="s">
        <v>140</v>
      </c>
    </row>
    <row r="70" spans="1:2" x14ac:dyDescent="0.25">
      <c r="A70">
        <v>5088</v>
      </c>
      <c r="B70" t="s">
        <v>141</v>
      </c>
    </row>
    <row r="71" spans="1:2" x14ac:dyDescent="0.25">
      <c r="A71">
        <v>5089</v>
      </c>
      <c r="B71" t="s">
        <v>142</v>
      </c>
    </row>
    <row r="72" spans="1:2" x14ac:dyDescent="0.25">
      <c r="A72">
        <v>5090</v>
      </c>
      <c r="B72" t="s">
        <v>143</v>
      </c>
    </row>
    <row r="73" spans="1:2" x14ac:dyDescent="0.25">
      <c r="A73">
        <v>5089</v>
      </c>
      <c r="B73" t="s">
        <v>85</v>
      </c>
    </row>
    <row r="74" spans="1:2" x14ac:dyDescent="0.25">
      <c r="A74">
        <v>5090</v>
      </c>
      <c r="B74" t="s">
        <v>145</v>
      </c>
    </row>
    <row r="75" spans="1:2" x14ac:dyDescent="0.25">
      <c r="A75">
        <v>5091</v>
      </c>
      <c r="B75" t="s">
        <v>144</v>
      </c>
    </row>
    <row r="76" spans="1:2" x14ac:dyDescent="0.25">
      <c r="A76">
        <v>5092</v>
      </c>
      <c r="B76" t="s">
        <v>146</v>
      </c>
    </row>
    <row r="77" spans="1:2" x14ac:dyDescent="0.25">
      <c r="A77">
        <v>5093</v>
      </c>
      <c r="B77" t="s">
        <v>147</v>
      </c>
    </row>
    <row r="78" spans="1:2" x14ac:dyDescent="0.25">
      <c r="A78">
        <v>5094</v>
      </c>
      <c r="B78" t="s">
        <v>148</v>
      </c>
    </row>
    <row r="79" spans="1:2" x14ac:dyDescent="0.25">
      <c r="A79">
        <v>5095</v>
      </c>
      <c r="B79" t="s">
        <v>149</v>
      </c>
    </row>
    <row r="80" spans="1:2" x14ac:dyDescent="0.25">
      <c r="A80">
        <v>5096</v>
      </c>
      <c r="B80" t="s">
        <v>150</v>
      </c>
    </row>
    <row r="81" spans="1:2" x14ac:dyDescent="0.25">
      <c r="A81">
        <v>5097</v>
      </c>
      <c r="B81" t="s">
        <v>151</v>
      </c>
    </row>
    <row r="82" spans="1:2" x14ac:dyDescent="0.25">
      <c r="A82">
        <v>5098</v>
      </c>
      <c r="B82" t="s">
        <v>152</v>
      </c>
    </row>
    <row r="83" spans="1:2" x14ac:dyDescent="0.25">
      <c r="A83">
        <v>5099</v>
      </c>
      <c r="B83" t="s">
        <v>153</v>
      </c>
    </row>
    <row r="84" spans="1:2" x14ac:dyDescent="0.25">
      <c r="A84">
        <v>5100</v>
      </c>
      <c r="B84" t="s">
        <v>154</v>
      </c>
    </row>
    <row r="85" spans="1:2" x14ac:dyDescent="0.25">
      <c r="A85">
        <v>5101</v>
      </c>
      <c r="B85" t="s">
        <v>155</v>
      </c>
    </row>
    <row r="86" spans="1:2" x14ac:dyDescent="0.25">
      <c r="A86">
        <v>5102</v>
      </c>
      <c r="B86" t="s">
        <v>156</v>
      </c>
    </row>
  </sheetData>
  <mergeCells count="4">
    <mergeCell ref="A2:B2"/>
    <mergeCell ref="C2:D2"/>
    <mergeCell ref="C20:D20"/>
    <mergeCell ref="F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5"/>
  <sheetViews>
    <sheetView workbookViewId="0">
      <pane ySplit="2" topLeftCell="A3" activePane="bottomLeft" state="frozen"/>
      <selection pane="bottomLeft" activeCell="G28" sqref="G28:G65"/>
    </sheetView>
  </sheetViews>
  <sheetFormatPr baseColWidth="10" defaultRowHeight="15" x14ac:dyDescent="0.25"/>
  <cols>
    <col min="1" max="1" width="15.5703125" customWidth="1"/>
    <col min="2" max="2" width="37.42578125" customWidth="1"/>
    <col min="8" max="8" width="70.5703125" customWidth="1"/>
  </cols>
  <sheetData>
    <row r="2" spans="1:8" x14ac:dyDescent="0.25">
      <c r="A2" s="49" t="s">
        <v>293</v>
      </c>
      <c r="B2" s="49" t="s">
        <v>8</v>
      </c>
      <c r="C2" s="49" t="s">
        <v>224</v>
      </c>
      <c r="D2" s="49" t="s">
        <v>225</v>
      </c>
      <c r="E2" s="50" t="s">
        <v>224</v>
      </c>
      <c r="F2" s="50" t="s">
        <v>226</v>
      </c>
      <c r="G2" s="50" t="s">
        <v>357</v>
      </c>
      <c r="H2" s="53" t="s">
        <v>294</v>
      </c>
    </row>
    <row r="3" spans="1:8" x14ac:dyDescent="0.25">
      <c r="A3" s="51">
        <v>900276962</v>
      </c>
      <c r="B3" s="52" t="s">
        <v>227</v>
      </c>
      <c r="C3" t="s">
        <v>228</v>
      </c>
      <c r="D3" t="s">
        <v>229</v>
      </c>
      <c r="E3" s="6" t="s">
        <v>230</v>
      </c>
      <c r="F3" s="6" t="s">
        <v>231</v>
      </c>
      <c r="G3" s="6" t="s">
        <v>159</v>
      </c>
      <c r="H3" t="s">
        <v>295</v>
      </c>
    </row>
    <row r="4" spans="1:8" x14ac:dyDescent="0.25">
      <c r="A4" s="51">
        <v>901873198</v>
      </c>
      <c r="B4" s="52" t="s">
        <v>232</v>
      </c>
      <c r="C4" t="s">
        <v>228</v>
      </c>
      <c r="D4" t="s">
        <v>233</v>
      </c>
      <c r="E4" s="6" t="s">
        <v>230</v>
      </c>
      <c r="F4" s="6" t="s">
        <v>234</v>
      </c>
      <c r="G4" s="6" t="s">
        <v>159</v>
      </c>
      <c r="H4" t="s">
        <v>296</v>
      </c>
    </row>
    <row r="5" spans="1:8" x14ac:dyDescent="0.25">
      <c r="A5" s="51">
        <v>32826857</v>
      </c>
      <c r="B5" s="52" t="s">
        <v>235</v>
      </c>
      <c r="C5" t="s">
        <v>228</v>
      </c>
      <c r="D5" t="s">
        <v>229</v>
      </c>
      <c r="E5" s="6" t="s">
        <v>230</v>
      </c>
      <c r="F5" s="6" t="s">
        <v>231</v>
      </c>
      <c r="G5" s="6"/>
      <c r="H5" t="s">
        <v>297</v>
      </c>
    </row>
    <row r="6" spans="1:8" x14ac:dyDescent="0.25">
      <c r="A6" s="51">
        <v>800051755</v>
      </c>
      <c r="B6" s="52" t="s">
        <v>236</v>
      </c>
      <c r="C6" t="s">
        <v>228</v>
      </c>
      <c r="D6" t="s">
        <v>229</v>
      </c>
      <c r="E6" s="6" t="s">
        <v>230</v>
      </c>
      <c r="F6" s="6" t="s">
        <v>231</v>
      </c>
      <c r="G6" s="6" t="s">
        <v>159</v>
      </c>
      <c r="H6" t="s">
        <v>298</v>
      </c>
    </row>
    <row r="7" spans="1:8" x14ac:dyDescent="0.25">
      <c r="A7" s="51">
        <v>800165377</v>
      </c>
      <c r="B7" s="52" t="s">
        <v>237</v>
      </c>
      <c r="C7" t="s">
        <v>228</v>
      </c>
      <c r="D7" t="s">
        <v>229</v>
      </c>
      <c r="E7" s="6" t="s">
        <v>230</v>
      </c>
      <c r="F7" s="6" t="s">
        <v>231</v>
      </c>
      <c r="G7" s="6" t="s">
        <v>159</v>
      </c>
      <c r="H7" t="s">
        <v>299</v>
      </c>
    </row>
    <row r="8" spans="1:8" x14ac:dyDescent="0.25">
      <c r="A8" s="51">
        <v>800165720</v>
      </c>
      <c r="B8" s="52" t="s">
        <v>238</v>
      </c>
      <c r="C8" t="s">
        <v>228</v>
      </c>
      <c r="D8" t="s">
        <v>229</v>
      </c>
      <c r="E8" s="6" t="s">
        <v>230</v>
      </c>
      <c r="F8" s="6" t="s">
        <v>231</v>
      </c>
      <c r="G8" s="6" t="s">
        <v>159</v>
      </c>
      <c r="H8" t="s">
        <v>300</v>
      </c>
    </row>
    <row r="9" spans="1:8" x14ac:dyDescent="0.25">
      <c r="A9" s="51">
        <v>800165815</v>
      </c>
      <c r="B9" s="52" t="s">
        <v>239</v>
      </c>
      <c r="C9" t="s">
        <v>240</v>
      </c>
      <c r="D9" t="s">
        <v>241</v>
      </c>
      <c r="E9" s="6" t="s">
        <v>242</v>
      </c>
      <c r="F9" s="6" t="s">
        <v>231</v>
      </c>
      <c r="G9" s="6" t="s">
        <v>159</v>
      </c>
      <c r="H9" t="s">
        <v>301</v>
      </c>
    </row>
    <row r="10" spans="1:8" x14ac:dyDescent="0.25">
      <c r="A10" s="51">
        <v>800242106</v>
      </c>
      <c r="B10" s="52" t="s">
        <v>243</v>
      </c>
      <c r="C10" t="s">
        <v>228</v>
      </c>
      <c r="D10" t="s">
        <v>229</v>
      </c>
      <c r="E10" s="6" t="s">
        <v>230</v>
      </c>
      <c r="F10" s="6" t="s">
        <v>231</v>
      </c>
      <c r="G10" s="6" t="s">
        <v>159</v>
      </c>
      <c r="H10" t="s">
        <v>302</v>
      </c>
    </row>
    <row r="11" spans="1:8" x14ac:dyDescent="0.25">
      <c r="A11" s="51">
        <v>802002267</v>
      </c>
      <c r="B11" s="52" t="s">
        <v>244</v>
      </c>
      <c r="C11" t="s">
        <v>228</v>
      </c>
      <c r="D11" t="s">
        <v>229</v>
      </c>
      <c r="E11" s="6" t="s">
        <v>230</v>
      </c>
      <c r="F11" s="6" t="s">
        <v>231</v>
      </c>
      <c r="G11" s="6" t="s">
        <v>159</v>
      </c>
      <c r="H11" t="s">
        <v>303</v>
      </c>
    </row>
    <row r="12" spans="1:8" x14ac:dyDescent="0.25">
      <c r="A12" s="51">
        <v>802003599</v>
      </c>
      <c r="B12" s="52" t="s">
        <v>245</v>
      </c>
      <c r="C12" t="s">
        <v>228</v>
      </c>
      <c r="D12" t="s">
        <v>229</v>
      </c>
      <c r="E12" s="6" t="s">
        <v>230</v>
      </c>
      <c r="F12" s="6" t="s">
        <v>231</v>
      </c>
      <c r="G12" s="6" t="s">
        <v>159</v>
      </c>
      <c r="H12" t="s">
        <v>304</v>
      </c>
    </row>
    <row r="13" spans="1:8" x14ac:dyDescent="0.25">
      <c r="A13" s="51">
        <v>802004266</v>
      </c>
      <c r="B13" s="52" t="s">
        <v>246</v>
      </c>
      <c r="C13" t="s">
        <v>228</v>
      </c>
      <c r="D13" t="s">
        <v>229</v>
      </c>
      <c r="E13" s="6" t="s">
        <v>230</v>
      </c>
      <c r="F13" s="6" t="s">
        <v>231</v>
      </c>
      <c r="G13" s="6" t="s">
        <v>159</v>
      </c>
      <c r="H13" t="s">
        <v>305</v>
      </c>
    </row>
    <row r="14" spans="1:8" x14ac:dyDescent="0.25">
      <c r="A14" s="51">
        <v>802006391</v>
      </c>
      <c r="B14" s="52" t="s">
        <v>247</v>
      </c>
      <c r="C14" t="s">
        <v>228</v>
      </c>
      <c r="D14" t="s">
        <v>229</v>
      </c>
      <c r="E14" s="6" t="s">
        <v>230</v>
      </c>
      <c r="F14" s="6" t="s">
        <v>231</v>
      </c>
      <c r="G14" s="6" t="s">
        <v>159</v>
      </c>
      <c r="H14" t="s">
        <v>306</v>
      </c>
    </row>
    <row r="15" spans="1:8" x14ac:dyDescent="0.25">
      <c r="A15" s="51">
        <v>802017066</v>
      </c>
      <c r="B15" s="52" t="s">
        <v>248</v>
      </c>
      <c r="C15" t="s">
        <v>228</v>
      </c>
      <c r="D15" t="s">
        <v>229</v>
      </c>
      <c r="E15" s="6" t="s">
        <v>230</v>
      </c>
      <c r="F15" s="6" t="s">
        <v>231</v>
      </c>
      <c r="G15" s="6" t="s">
        <v>159</v>
      </c>
      <c r="H15" t="s">
        <v>307</v>
      </c>
    </row>
    <row r="16" spans="1:8" x14ac:dyDescent="0.25">
      <c r="A16" s="51">
        <v>802023507</v>
      </c>
      <c r="B16" s="52" t="s">
        <v>249</v>
      </c>
      <c r="C16" t="s">
        <v>228</v>
      </c>
      <c r="D16" t="s">
        <v>229</v>
      </c>
      <c r="E16" s="6" t="s">
        <v>230</v>
      </c>
      <c r="F16" s="6" t="s">
        <v>231</v>
      </c>
      <c r="G16" s="6" t="s">
        <v>159</v>
      </c>
      <c r="H16" t="s">
        <v>308</v>
      </c>
    </row>
    <row r="17" spans="1:8" x14ac:dyDescent="0.25">
      <c r="A17" s="51">
        <v>811009788</v>
      </c>
      <c r="B17" s="52" t="s">
        <v>250</v>
      </c>
      <c r="C17" t="s">
        <v>228</v>
      </c>
      <c r="D17" t="s">
        <v>229</v>
      </c>
      <c r="E17" s="6" t="s">
        <v>230</v>
      </c>
      <c r="F17" s="6" t="s">
        <v>231</v>
      </c>
      <c r="G17" s="6" t="s">
        <v>159</v>
      </c>
      <c r="H17" t="s">
        <v>309</v>
      </c>
    </row>
    <row r="18" spans="1:8" x14ac:dyDescent="0.25">
      <c r="A18" s="51">
        <v>811028650</v>
      </c>
      <c r="B18" s="52" t="s">
        <v>251</v>
      </c>
      <c r="C18" t="s">
        <v>228</v>
      </c>
      <c r="D18" t="s">
        <v>229</v>
      </c>
      <c r="E18" s="6" t="s">
        <v>230</v>
      </c>
      <c r="F18" s="6" t="s">
        <v>231</v>
      </c>
      <c r="G18" s="6" t="s">
        <v>159</v>
      </c>
      <c r="H18" t="s">
        <v>310</v>
      </c>
    </row>
    <row r="19" spans="1:8" x14ac:dyDescent="0.25">
      <c r="A19" s="51">
        <v>816008774</v>
      </c>
      <c r="B19" s="52" t="s">
        <v>252</v>
      </c>
      <c r="C19" t="s">
        <v>228</v>
      </c>
      <c r="D19" t="s">
        <v>229</v>
      </c>
      <c r="E19" s="6" t="s">
        <v>230</v>
      </c>
      <c r="F19" s="6" t="s">
        <v>231</v>
      </c>
      <c r="G19" s="6" t="s">
        <v>159</v>
      </c>
      <c r="H19" t="s">
        <v>311</v>
      </c>
    </row>
    <row r="20" spans="1:8" x14ac:dyDescent="0.25">
      <c r="A20" s="51">
        <v>830087848</v>
      </c>
      <c r="B20" s="52" t="s">
        <v>253</v>
      </c>
      <c r="C20" t="s">
        <v>228</v>
      </c>
      <c r="D20" t="s">
        <v>229</v>
      </c>
      <c r="E20" s="6" t="s">
        <v>230</v>
      </c>
      <c r="F20" s="6" t="s">
        <v>231</v>
      </c>
      <c r="G20" s="6" t="s">
        <v>159</v>
      </c>
      <c r="H20" t="s">
        <v>312</v>
      </c>
    </row>
    <row r="21" spans="1:8" x14ac:dyDescent="0.25">
      <c r="A21" s="51">
        <v>860001307</v>
      </c>
      <c r="B21" s="52" t="s">
        <v>254</v>
      </c>
      <c r="C21" t="s">
        <v>228</v>
      </c>
      <c r="D21" t="s">
        <v>229</v>
      </c>
      <c r="E21" s="6" t="s">
        <v>230</v>
      </c>
      <c r="F21" s="6" t="s">
        <v>231</v>
      </c>
      <c r="G21" s="6" t="s">
        <v>159</v>
      </c>
      <c r="H21" t="s">
        <v>313</v>
      </c>
    </row>
    <row r="22" spans="1:8" x14ac:dyDescent="0.25">
      <c r="A22" s="51">
        <v>860001965</v>
      </c>
      <c r="B22" s="52" t="s">
        <v>255</v>
      </c>
      <c r="C22" t="s">
        <v>228</v>
      </c>
      <c r="D22" t="s">
        <v>229</v>
      </c>
      <c r="E22" s="6" t="s">
        <v>230</v>
      </c>
      <c r="F22" s="6" t="s">
        <v>231</v>
      </c>
      <c r="G22" s="6" t="s">
        <v>159</v>
      </c>
      <c r="H22" t="s">
        <v>314</v>
      </c>
    </row>
    <row r="23" spans="1:8" x14ac:dyDescent="0.25">
      <c r="A23" s="51">
        <v>860002536</v>
      </c>
      <c r="B23" s="52" t="s">
        <v>256</v>
      </c>
      <c r="C23" t="s">
        <v>228</v>
      </c>
      <c r="D23" t="s">
        <v>229</v>
      </c>
      <c r="E23" s="6" t="s">
        <v>230</v>
      </c>
      <c r="F23" s="6" t="s">
        <v>231</v>
      </c>
      <c r="G23" s="6" t="s">
        <v>159</v>
      </c>
      <c r="H23" t="s">
        <v>315</v>
      </c>
    </row>
    <row r="24" spans="1:8" x14ac:dyDescent="0.25">
      <c r="A24" s="51">
        <v>860039794</v>
      </c>
      <c r="B24" s="52" t="s">
        <v>257</v>
      </c>
      <c r="C24" t="s">
        <v>228</v>
      </c>
      <c r="D24" t="s">
        <v>229</v>
      </c>
      <c r="E24" s="6" t="s">
        <v>230</v>
      </c>
      <c r="F24" s="6" t="s">
        <v>231</v>
      </c>
      <c r="G24" s="6" t="s">
        <v>159</v>
      </c>
      <c r="H24" t="s">
        <v>316</v>
      </c>
    </row>
    <row r="25" spans="1:8" x14ac:dyDescent="0.25">
      <c r="A25" s="51">
        <v>860500480</v>
      </c>
      <c r="B25" s="52" t="s">
        <v>258</v>
      </c>
      <c r="C25" t="s">
        <v>228</v>
      </c>
      <c r="D25" t="s">
        <v>229</v>
      </c>
      <c r="E25" s="6" t="s">
        <v>230</v>
      </c>
      <c r="F25" s="6" t="s">
        <v>231</v>
      </c>
      <c r="G25" s="6" t="s">
        <v>159</v>
      </c>
      <c r="H25" t="s">
        <v>317</v>
      </c>
    </row>
    <row r="26" spans="1:8" x14ac:dyDescent="0.25">
      <c r="A26" s="51">
        <v>860503159</v>
      </c>
      <c r="B26" s="52" t="s">
        <v>259</v>
      </c>
      <c r="C26" t="s">
        <v>228</v>
      </c>
      <c r="D26" t="s">
        <v>229</v>
      </c>
      <c r="E26" s="6" t="s">
        <v>230</v>
      </c>
      <c r="F26" s="6" t="s">
        <v>231</v>
      </c>
      <c r="G26" s="6" t="s">
        <v>159</v>
      </c>
      <c r="H26" t="s">
        <v>318</v>
      </c>
    </row>
    <row r="27" spans="1:8" x14ac:dyDescent="0.25">
      <c r="A27" s="51">
        <v>8674041</v>
      </c>
      <c r="B27" s="52" t="s">
        <v>260</v>
      </c>
      <c r="C27" t="s">
        <v>228</v>
      </c>
      <c r="D27" t="s">
        <v>229</v>
      </c>
      <c r="E27" s="6" t="s">
        <v>230</v>
      </c>
      <c r="F27" s="6" t="s">
        <v>231</v>
      </c>
      <c r="G27" s="6"/>
      <c r="H27" t="s">
        <v>319</v>
      </c>
    </row>
    <row r="28" spans="1:8" x14ac:dyDescent="0.25">
      <c r="A28" s="51">
        <v>890102010</v>
      </c>
      <c r="B28" s="52" t="s">
        <v>261</v>
      </c>
      <c r="C28" t="s">
        <v>228</v>
      </c>
      <c r="D28" t="s">
        <v>229</v>
      </c>
      <c r="E28" s="6" t="s">
        <v>230</v>
      </c>
      <c r="F28" s="6" t="s">
        <v>231</v>
      </c>
      <c r="G28" s="6" t="s">
        <v>159</v>
      </c>
      <c r="H28" t="s">
        <v>320</v>
      </c>
    </row>
    <row r="29" spans="1:8" x14ac:dyDescent="0.25">
      <c r="A29" s="51">
        <v>890102603</v>
      </c>
      <c r="B29" s="52" t="s">
        <v>262</v>
      </c>
      <c r="C29" t="s">
        <v>228</v>
      </c>
      <c r="D29" t="s">
        <v>229</v>
      </c>
      <c r="E29" s="6" t="s">
        <v>230</v>
      </c>
      <c r="F29" s="6" t="s">
        <v>231</v>
      </c>
      <c r="G29" s="6" t="s">
        <v>159</v>
      </c>
      <c r="H29" t="s">
        <v>321</v>
      </c>
    </row>
    <row r="30" spans="1:8" x14ac:dyDescent="0.25">
      <c r="A30" s="51">
        <v>890115118</v>
      </c>
      <c r="B30" s="52" t="s">
        <v>262</v>
      </c>
      <c r="C30" t="s">
        <v>228</v>
      </c>
      <c r="D30" t="s">
        <v>229</v>
      </c>
      <c r="E30" s="6" t="s">
        <v>230</v>
      </c>
      <c r="F30" s="6" t="s">
        <v>231</v>
      </c>
      <c r="G30" s="6" t="s">
        <v>159</v>
      </c>
      <c r="H30" t="s">
        <v>322</v>
      </c>
    </row>
    <row r="31" spans="1:8" x14ac:dyDescent="0.25">
      <c r="A31" s="51">
        <v>890115294</v>
      </c>
      <c r="B31" s="52" t="s">
        <v>263</v>
      </c>
      <c r="C31" t="s">
        <v>228</v>
      </c>
      <c r="D31" t="s">
        <v>229</v>
      </c>
      <c r="E31" s="6" t="s">
        <v>230</v>
      </c>
      <c r="F31" s="6" t="s">
        <v>231</v>
      </c>
      <c r="G31" s="6" t="s">
        <v>159</v>
      </c>
      <c r="H31" t="s">
        <v>323</v>
      </c>
    </row>
    <row r="32" spans="1:8" x14ac:dyDescent="0.25">
      <c r="A32" s="51">
        <v>890900943</v>
      </c>
      <c r="B32" s="52" t="s">
        <v>264</v>
      </c>
      <c r="C32" t="s">
        <v>228</v>
      </c>
      <c r="D32" t="s">
        <v>229</v>
      </c>
      <c r="E32" s="6" t="s">
        <v>230</v>
      </c>
      <c r="F32" s="6" t="s">
        <v>231</v>
      </c>
      <c r="G32" s="6" t="s">
        <v>159</v>
      </c>
      <c r="H32" t="s">
        <v>324</v>
      </c>
    </row>
    <row r="33" spans="1:8" x14ac:dyDescent="0.25">
      <c r="A33" s="51">
        <v>900021337</v>
      </c>
      <c r="B33" s="52" t="s">
        <v>265</v>
      </c>
      <c r="C33" t="s">
        <v>228</v>
      </c>
      <c r="D33" t="s">
        <v>229</v>
      </c>
      <c r="E33" s="6" t="s">
        <v>230</v>
      </c>
      <c r="F33" s="6" t="s">
        <v>231</v>
      </c>
      <c r="G33" s="6" t="s">
        <v>159</v>
      </c>
      <c r="H33" t="s">
        <v>325</v>
      </c>
    </row>
    <row r="34" spans="1:8" x14ac:dyDescent="0.25">
      <c r="A34" s="51">
        <v>900059238</v>
      </c>
      <c r="B34" s="52" t="s">
        <v>235</v>
      </c>
      <c r="C34" t="s">
        <v>228</v>
      </c>
      <c r="D34" t="s">
        <v>229</v>
      </c>
      <c r="E34" s="6" t="s">
        <v>230</v>
      </c>
      <c r="F34" s="6" t="s">
        <v>231</v>
      </c>
      <c r="G34" s="6" t="s">
        <v>159</v>
      </c>
      <c r="H34" t="s">
        <v>326</v>
      </c>
    </row>
    <row r="35" spans="1:8" x14ac:dyDescent="0.25">
      <c r="A35" s="51">
        <v>900214193</v>
      </c>
      <c r="B35" s="52" t="s">
        <v>266</v>
      </c>
      <c r="C35" t="s">
        <v>228</v>
      </c>
      <c r="D35" t="s">
        <v>229</v>
      </c>
      <c r="E35" s="6" t="s">
        <v>230</v>
      </c>
      <c r="F35" s="6" t="s">
        <v>231</v>
      </c>
      <c r="G35" s="6" t="s">
        <v>159</v>
      </c>
      <c r="H35" t="s">
        <v>327</v>
      </c>
    </row>
    <row r="36" spans="1:8" x14ac:dyDescent="0.25">
      <c r="A36" s="51">
        <v>900230625</v>
      </c>
      <c r="B36" s="52" t="s">
        <v>267</v>
      </c>
      <c r="C36" t="s">
        <v>228</v>
      </c>
      <c r="D36" t="s">
        <v>229</v>
      </c>
      <c r="E36" s="6" t="s">
        <v>230</v>
      </c>
      <c r="F36" s="6" t="s">
        <v>231</v>
      </c>
      <c r="G36" s="6" t="s">
        <v>159</v>
      </c>
      <c r="H36" t="s">
        <v>328</v>
      </c>
    </row>
    <row r="37" spans="1:8" x14ac:dyDescent="0.25">
      <c r="A37" s="51">
        <v>900276962</v>
      </c>
      <c r="B37" s="52" t="s">
        <v>227</v>
      </c>
      <c r="C37" t="s">
        <v>228</v>
      </c>
      <c r="D37" t="s">
        <v>229</v>
      </c>
      <c r="E37" s="6" t="s">
        <v>230</v>
      </c>
      <c r="F37" s="6" t="s">
        <v>231</v>
      </c>
      <c r="G37" s="6" t="s">
        <v>159</v>
      </c>
      <c r="H37" t="s">
        <v>295</v>
      </c>
    </row>
    <row r="38" spans="1:8" x14ac:dyDescent="0.25">
      <c r="A38" s="51">
        <v>900309367</v>
      </c>
      <c r="B38" s="52" t="s">
        <v>268</v>
      </c>
      <c r="C38" t="s">
        <v>228</v>
      </c>
      <c r="D38" t="s">
        <v>229</v>
      </c>
      <c r="E38" s="6" t="s">
        <v>230</v>
      </c>
      <c r="F38" s="6" t="s">
        <v>231</v>
      </c>
      <c r="G38" s="6" t="s">
        <v>159</v>
      </c>
      <c r="H38" t="s">
        <v>329</v>
      </c>
    </row>
    <row r="39" spans="1:8" x14ac:dyDescent="0.25">
      <c r="A39" s="51">
        <v>900319753</v>
      </c>
      <c r="B39" s="52" t="s">
        <v>269</v>
      </c>
      <c r="C39" t="s">
        <v>228</v>
      </c>
      <c r="D39" t="s">
        <v>229</v>
      </c>
      <c r="E39" s="6" t="s">
        <v>230</v>
      </c>
      <c r="F39" s="6" t="s">
        <v>231</v>
      </c>
      <c r="G39" s="6" t="s">
        <v>159</v>
      </c>
      <c r="H39" t="s">
        <v>330</v>
      </c>
    </row>
    <row r="40" spans="1:8" x14ac:dyDescent="0.25">
      <c r="A40" s="51">
        <v>900355557</v>
      </c>
      <c r="B40" s="52" t="s">
        <v>270</v>
      </c>
      <c r="C40" t="s">
        <v>228</v>
      </c>
      <c r="D40" t="s">
        <v>229</v>
      </c>
      <c r="E40" s="6" t="s">
        <v>230</v>
      </c>
      <c r="F40" s="6" t="s">
        <v>231</v>
      </c>
      <c r="G40" s="6" t="s">
        <v>159</v>
      </c>
      <c r="H40" t="s">
        <v>331</v>
      </c>
    </row>
    <row r="41" spans="1:8" x14ac:dyDescent="0.25">
      <c r="A41" s="51">
        <v>900383711</v>
      </c>
      <c r="B41" s="52" t="s">
        <v>271</v>
      </c>
      <c r="C41" t="s">
        <v>228</v>
      </c>
      <c r="D41" t="s">
        <v>229</v>
      </c>
      <c r="E41" s="6" t="s">
        <v>230</v>
      </c>
      <c r="F41" s="6" t="s">
        <v>231</v>
      </c>
      <c r="G41" s="6" t="s">
        <v>159</v>
      </c>
      <c r="H41" t="s">
        <v>332</v>
      </c>
    </row>
    <row r="42" spans="1:8" x14ac:dyDescent="0.25">
      <c r="A42" s="51">
        <v>900480569</v>
      </c>
      <c r="B42" s="52" t="s">
        <v>272</v>
      </c>
      <c r="C42" t="s">
        <v>228</v>
      </c>
      <c r="D42" t="s">
        <v>229</v>
      </c>
      <c r="E42" s="6" t="s">
        <v>230</v>
      </c>
      <c r="F42" s="6" t="s">
        <v>231</v>
      </c>
      <c r="G42" s="6" t="s">
        <v>159</v>
      </c>
      <c r="H42" t="s">
        <v>333</v>
      </c>
    </row>
    <row r="43" spans="1:8" x14ac:dyDescent="0.25">
      <c r="A43" s="51">
        <v>900576130</v>
      </c>
      <c r="B43" s="52" t="s">
        <v>273</v>
      </c>
      <c r="C43" t="s">
        <v>228</v>
      </c>
      <c r="D43" t="s">
        <v>229</v>
      </c>
      <c r="E43" s="6" t="s">
        <v>230</v>
      </c>
      <c r="F43" s="6" t="s">
        <v>231</v>
      </c>
      <c r="G43" s="6" t="s">
        <v>159</v>
      </c>
      <c r="H43" t="s">
        <v>334</v>
      </c>
    </row>
    <row r="44" spans="1:8" x14ac:dyDescent="0.25">
      <c r="A44" s="51">
        <v>900781464</v>
      </c>
      <c r="B44" s="52" t="s">
        <v>274</v>
      </c>
      <c r="C44" t="s">
        <v>228</v>
      </c>
      <c r="D44" t="s">
        <v>229</v>
      </c>
      <c r="E44" s="6" t="s">
        <v>230</v>
      </c>
      <c r="F44" s="6" t="s">
        <v>231</v>
      </c>
      <c r="G44" s="6" t="s">
        <v>159</v>
      </c>
      <c r="H44" t="s">
        <v>335</v>
      </c>
    </row>
    <row r="45" spans="1:8" x14ac:dyDescent="0.25">
      <c r="A45" s="51">
        <v>900834289</v>
      </c>
      <c r="B45" s="52" t="s">
        <v>275</v>
      </c>
      <c r="C45" t="s">
        <v>228</v>
      </c>
      <c r="D45" t="s">
        <v>229</v>
      </c>
      <c r="E45" s="6" t="s">
        <v>230</v>
      </c>
      <c r="F45" s="6" t="s">
        <v>231</v>
      </c>
      <c r="G45" s="6" t="s">
        <v>159</v>
      </c>
      <c r="H45" t="s">
        <v>336</v>
      </c>
    </row>
    <row r="46" spans="1:8" x14ac:dyDescent="0.25">
      <c r="A46" s="51">
        <v>900943243</v>
      </c>
      <c r="B46" s="52" t="s">
        <v>276</v>
      </c>
      <c r="C46" t="s">
        <v>228</v>
      </c>
      <c r="D46" t="s">
        <v>229</v>
      </c>
      <c r="E46" s="6" t="s">
        <v>230</v>
      </c>
      <c r="F46" s="6" t="s">
        <v>231</v>
      </c>
      <c r="G46" s="6" t="s">
        <v>159</v>
      </c>
      <c r="H46" t="s">
        <v>337</v>
      </c>
    </row>
    <row r="47" spans="1:8" x14ac:dyDescent="0.25">
      <c r="A47" s="51">
        <v>900986550</v>
      </c>
      <c r="B47" s="52" t="s">
        <v>277</v>
      </c>
      <c r="C47" t="s">
        <v>228</v>
      </c>
      <c r="D47" t="s">
        <v>229</v>
      </c>
      <c r="E47" s="6" t="s">
        <v>230</v>
      </c>
      <c r="F47" s="6" t="s">
        <v>231</v>
      </c>
      <c r="G47" s="6" t="s">
        <v>159</v>
      </c>
      <c r="H47" t="s">
        <v>338</v>
      </c>
    </row>
    <row r="48" spans="1:8" x14ac:dyDescent="0.25">
      <c r="A48" s="51">
        <v>901185697</v>
      </c>
      <c r="B48" s="52" t="s">
        <v>278</v>
      </c>
      <c r="C48" t="s">
        <v>228</v>
      </c>
      <c r="D48" t="s">
        <v>229</v>
      </c>
      <c r="E48" s="6" t="s">
        <v>230</v>
      </c>
      <c r="F48" s="6" t="s">
        <v>231</v>
      </c>
      <c r="G48" s="6" t="s">
        <v>159</v>
      </c>
      <c r="H48" t="s">
        <v>339</v>
      </c>
    </row>
    <row r="49" spans="1:8" x14ac:dyDescent="0.25">
      <c r="A49" s="51">
        <v>901213535</v>
      </c>
      <c r="B49" s="52" t="s">
        <v>279</v>
      </c>
      <c r="C49" t="s">
        <v>228</v>
      </c>
      <c r="D49" t="s">
        <v>229</v>
      </c>
      <c r="E49" s="6" t="s">
        <v>230</v>
      </c>
      <c r="F49" s="6" t="s">
        <v>231</v>
      </c>
      <c r="G49" s="6" t="s">
        <v>159</v>
      </c>
      <c r="H49" t="s">
        <v>340</v>
      </c>
    </row>
    <row r="50" spans="1:8" x14ac:dyDescent="0.25">
      <c r="A50" s="51">
        <v>901229957</v>
      </c>
      <c r="B50" s="52" t="s">
        <v>280</v>
      </c>
      <c r="C50" t="s">
        <v>228</v>
      </c>
      <c r="D50" t="s">
        <v>229</v>
      </c>
      <c r="E50" s="6" t="s">
        <v>230</v>
      </c>
      <c r="F50" s="6" t="s">
        <v>231</v>
      </c>
      <c r="G50" s="6" t="s">
        <v>159</v>
      </c>
      <c r="H50" t="s">
        <v>341</v>
      </c>
    </row>
    <row r="51" spans="1:8" x14ac:dyDescent="0.25">
      <c r="A51" s="51">
        <v>901300741</v>
      </c>
      <c r="B51" s="52" t="s">
        <v>281</v>
      </c>
      <c r="C51" t="s">
        <v>228</v>
      </c>
      <c r="D51" t="s">
        <v>229</v>
      </c>
      <c r="E51" s="6" t="s">
        <v>230</v>
      </c>
      <c r="F51" s="6" t="s">
        <v>231</v>
      </c>
      <c r="G51" s="6" t="s">
        <v>159</v>
      </c>
      <c r="H51" t="s">
        <v>342</v>
      </c>
    </row>
    <row r="52" spans="1:8" x14ac:dyDescent="0.25">
      <c r="A52" s="51">
        <v>901316914</v>
      </c>
      <c r="B52" s="52" t="s">
        <v>282</v>
      </c>
      <c r="C52" t="s">
        <v>228</v>
      </c>
      <c r="D52" t="s">
        <v>229</v>
      </c>
      <c r="E52" s="6" t="s">
        <v>230</v>
      </c>
      <c r="F52" s="6" t="s">
        <v>231</v>
      </c>
      <c r="G52" s="6" t="s">
        <v>159</v>
      </c>
      <c r="H52" t="s">
        <v>343</v>
      </c>
    </row>
    <row r="53" spans="1:8" x14ac:dyDescent="0.25">
      <c r="A53" s="51">
        <v>901320114</v>
      </c>
      <c r="B53" s="52" t="s">
        <v>283</v>
      </c>
      <c r="C53" t="s">
        <v>228</v>
      </c>
      <c r="D53" t="s">
        <v>229</v>
      </c>
      <c r="E53" s="6" t="s">
        <v>230</v>
      </c>
      <c r="F53" s="6" t="s">
        <v>231</v>
      </c>
      <c r="G53" s="6" t="s">
        <v>159</v>
      </c>
      <c r="H53" t="s">
        <v>344</v>
      </c>
    </row>
    <row r="54" spans="1:8" x14ac:dyDescent="0.25">
      <c r="A54" s="51">
        <v>901435329</v>
      </c>
      <c r="B54" s="52" t="s">
        <v>284</v>
      </c>
      <c r="C54" t="s">
        <v>228</v>
      </c>
      <c r="D54" t="s">
        <v>229</v>
      </c>
      <c r="E54" s="6" t="s">
        <v>230</v>
      </c>
      <c r="F54" s="6" t="s">
        <v>231</v>
      </c>
      <c r="G54" s="6" t="s">
        <v>159</v>
      </c>
      <c r="H54" t="s">
        <v>345</v>
      </c>
    </row>
    <row r="55" spans="1:8" x14ac:dyDescent="0.25">
      <c r="A55" s="51">
        <v>901484212</v>
      </c>
      <c r="B55" s="52" t="s">
        <v>285</v>
      </c>
      <c r="C55" t="s">
        <v>228</v>
      </c>
      <c r="D55" t="s">
        <v>229</v>
      </c>
      <c r="E55" s="6" t="s">
        <v>230</v>
      </c>
      <c r="F55" s="6" t="s">
        <v>231</v>
      </c>
      <c r="G55" s="6" t="s">
        <v>159</v>
      </c>
      <c r="H55" t="s">
        <v>346</v>
      </c>
    </row>
    <row r="56" spans="1:8" x14ac:dyDescent="0.25">
      <c r="A56" s="51">
        <v>901515225</v>
      </c>
      <c r="B56" s="52" t="s">
        <v>246</v>
      </c>
      <c r="C56" t="s">
        <v>228</v>
      </c>
      <c r="D56" t="s">
        <v>229</v>
      </c>
      <c r="E56" s="6" t="s">
        <v>230</v>
      </c>
      <c r="F56" s="6" t="s">
        <v>231</v>
      </c>
      <c r="G56" s="6" t="s">
        <v>159</v>
      </c>
      <c r="H56" t="s">
        <v>347</v>
      </c>
    </row>
    <row r="57" spans="1:8" x14ac:dyDescent="0.25">
      <c r="A57" s="51">
        <v>901565698</v>
      </c>
      <c r="B57" s="52" t="s">
        <v>286</v>
      </c>
      <c r="C57" t="s">
        <v>228</v>
      </c>
      <c r="D57" t="s">
        <v>229</v>
      </c>
      <c r="E57" s="6" t="s">
        <v>230</v>
      </c>
      <c r="F57" s="6" t="s">
        <v>231</v>
      </c>
      <c r="G57" s="6" t="s">
        <v>159</v>
      </c>
      <c r="H57" t="s">
        <v>348</v>
      </c>
    </row>
    <row r="58" spans="1:8" x14ac:dyDescent="0.25">
      <c r="A58" s="51">
        <v>901571419</v>
      </c>
      <c r="B58" s="52" t="s">
        <v>287</v>
      </c>
      <c r="C58" t="s">
        <v>228</v>
      </c>
      <c r="D58" t="s">
        <v>229</v>
      </c>
      <c r="E58" s="6" t="s">
        <v>230</v>
      </c>
      <c r="F58" s="6" t="s">
        <v>231</v>
      </c>
      <c r="G58" s="6" t="s">
        <v>159</v>
      </c>
      <c r="H58" t="s">
        <v>349</v>
      </c>
    </row>
    <row r="59" spans="1:8" x14ac:dyDescent="0.25">
      <c r="A59" s="51">
        <v>901639056</v>
      </c>
      <c r="B59" s="52" t="s">
        <v>288</v>
      </c>
      <c r="C59" t="s">
        <v>228</v>
      </c>
      <c r="D59" t="s">
        <v>229</v>
      </c>
      <c r="E59" s="6" t="s">
        <v>230</v>
      </c>
      <c r="F59" s="6" t="s">
        <v>231</v>
      </c>
      <c r="G59" s="6" t="s">
        <v>159</v>
      </c>
      <c r="H59" t="s">
        <v>350</v>
      </c>
    </row>
    <row r="60" spans="1:8" x14ac:dyDescent="0.25">
      <c r="A60" s="51">
        <v>901787342</v>
      </c>
      <c r="B60" s="52" t="s">
        <v>289</v>
      </c>
      <c r="C60" t="s">
        <v>228</v>
      </c>
      <c r="D60" t="s">
        <v>233</v>
      </c>
      <c r="E60" s="6" t="s">
        <v>230</v>
      </c>
      <c r="F60" s="6" t="s">
        <v>234</v>
      </c>
      <c r="G60" s="6" t="s">
        <v>159</v>
      </c>
      <c r="H60" t="s">
        <v>351</v>
      </c>
    </row>
    <row r="61" spans="1:8" x14ac:dyDescent="0.25">
      <c r="A61" s="51">
        <v>901793368</v>
      </c>
      <c r="B61" s="52" t="s">
        <v>290</v>
      </c>
      <c r="C61" t="s">
        <v>228</v>
      </c>
      <c r="D61" t="s">
        <v>229</v>
      </c>
      <c r="E61" s="6" t="s">
        <v>230</v>
      </c>
      <c r="F61" s="6" t="s">
        <v>231</v>
      </c>
      <c r="G61" s="6" t="s">
        <v>159</v>
      </c>
      <c r="H61" t="s">
        <v>352</v>
      </c>
    </row>
    <row r="62" spans="1:8" x14ac:dyDescent="0.25">
      <c r="A62" s="51">
        <v>901844029</v>
      </c>
      <c r="B62" s="52" t="s">
        <v>291</v>
      </c>
      <c r="C62" t="s">
        <v>228</v>
      </c>
      <c r="D62" t="s">
        <v>229</v>
      </c>
      <c r="E62" s="6" t="s">
        <v>230</v>
      </c>
      <c r="F62" s="6" t="s">
        <v>231</v>
      </c>
      <c r="G62" s="6" t="s">
        <v>159</v>
      </c>
      <c r="H62" t="s">
        <v>353</v>
      </c>
    </row>
    <row r="63" spans="1:8" x14ac:dyDescent="0.25">
      <c r="A63" s="51">
        <v>901869171</v>
      </c>
      <c r="B63" s="52" t="s">
        <v>292</v>
      </c>
      <c r="C63" t="s">
        <v>228</v>
      </c>
      <c r="D63" t="s">
        <v>229</v>
      </c>
      <c r="E63" s="6" t="s">
        <v>230</v>
      </c>
      <c r="F63" s="6" t="s">
        <v>231</v>
      </c>
      <c r="G63" s="6" t="s">
        <v>159</v>
      </c>
      <c r="H63" t="s">
        <v>354</v>
      </c>
    </row>
    <row r="64" spans="1:8" x14ac:dyDescent="0.25">
      <c r="A64" s="51">
        <v>901873198</v>
      </c>
      <c r="B64" s="52" t="s">
        <v>232</v>
      </c>
      <c r="C64" t="s">
        <v>228</v>
      </c>
      <c r="D64" t="s">
        <v>229</v>
      </c>
      <c r="E64" s="6" t="s">
        <v>230</v>
      </c>
      <c r="F64" s="6" t="s">
        <v>231</v>
      </c>
      <c r="G64" s="6" t="s">
        <v>159</v>
      </c>
      <c r="H64" t="s">
        <v>296</v>
      </c>
    </row>
    <row r="65" spans="1:8" x14ac:dyDescent="0.25">
      <c r="A65" s="52">
        <v>901905997</v>
      </c>
      <c r="B65" t="s">
        <v>355</v>
      </c>
      <c r="C65" t="s">
        <v>228</v>
      </c>
      <c r="D65" t="s">
        <v>229</v>
      </c>
      <c r="E65" s="6" t="s">
        <v>230</v>
      </c>
      <c r="F65" s="6" t="s">
        <v>231</v>
      </c>
      <c r="G65" s="6" t="s">
        <v>159</v>
      </c>
      <c r="H65"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F1001</vt:lpstr>
      <vt:lpstr>F1003</vt:lpstr>
      <vt:lpstr>F1005</vt:lpstr>
      <vt:lpstr>F1006</vt:lpstr>
      <vt:lpstr>F1007</vt:lpstr>
      <vt:lpstr>F1008</vt:lpstr>
      <vt:lpstr>F1009</vt:lpstr>
      <vt:lpstr>F1010</vt:lpstr>
      <vt:lpstr>info</vt:lpstr>
      <vt:lpstr>clientes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MIGUEL ZAPATA CANTILLO</dc:creator>
  <cp:lastModifiedBy>Ryzen</cp:lastModifiedBy>
  <dcterms:created xsi:type="dcterms:W3CDTF">2026-05-16T17:11:13Z</dcterms:created>
  <dcterms:modified xsi:type="dcterms:W3CDTF">2026-06-11T21:43:41Z</dcterms:modified>
</cp:coreProperties>
</file>