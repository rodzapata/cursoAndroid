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MIGUEL\Documents\workspace\cursoAndroid\exogena\laura_duran\"/>
    </mc:Choice>
  </mc:AlternateContent>
  <xr:revisionPtr revIDLastSave="0" documentId="13_ncr:1_{1F1B1AE9-0A48-46B5-AF9A-18D46AF372BE}" xr6:coauthVersionLast="47" xr6:coauthVersionMax="47" xr10:uidLastSave="{00000000-0000-0000-0000-000000000000}"/>
  <bookViews>
    <workbookView xWindow="-120" yWindow="-120" windowWidth="29040" windowHeight="15720" activeTab="9" xr2:uid="{00000000-000D-0000-FFFF-FFFF00000000}"/>
  </bookViews>
  <sheets>
    <sheet name="F1001" sheetId="1" r:id="rId1"/>
    <sheet name="F1003" sheetId="2" r:id="rId2"/>
    <sheet name="F1005" sheetId="4" r:id="rId3"/>
    <sheet name="F1006" sheetId="5" r:id="rId4"/>
    <sheet name="F1007" sheetId="6" r:id="rId5"/>
    <sheet name="F1008" sheetId="7" r:id="rId6"/>
    <sheet name="F1009" sheetId="8" r:id="rId7"/>
    <sheet name="F1010" sheetId="10" r:id="rId8"/>
    <sheet name="info" sheetId="9" r:id="rId9"/>
    <sheet name="clientes" sheetId="11"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5" i="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D4" authorId="0" shapeId="0" xr:uid="{00000000-0006-0000-01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C4" authorId="0" shapeId="0" xr:uid="{00000000-0006-0000-03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D4" authorId="0" shapeId="0" xr:uid="{00000000-0006-0000-05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D5" authorId="0" shapeId="0" xr:uid="{00000000-0006-0000-06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Leonardo</author>
    <author>LEONARDO</author>
  </authors>
  <commentList>
    <comment ref="C3" authorId="0" shapeId="0" xr:uid="{00000000-0006-0000-0700-000001000000}">
      <text>
        <r>
          <rPr>
            <b/>
            <sz val="9"/>
            <color indexed="81"/>
            <rFont val="Tahoma"/>
            <family val="2"/>
          </rPr>
          <t>Para el tipo de documento 31–
Nit, si se conoce debe diligenciarse</t>
        </r>
        <r>
          <rPr>
            <sz val="9"/>
            <color indexed="81"/>
            <rFont val="Tahoma"/>
            <family val="2"/>
          </rPr>
          <t xml:space="preserve">
</t>
        </r>
      </text>
    </comment>
    <comment ref="M3" authorId="1" shapeId="0" xr:uid="{00000000-0006-0000-0700-000002000000}">
      <text>
        <r>
          <rPr>
            <b/>
            <sz val="9"/>
            <color indexed="81"/>
            <rFont val="Tahoma"/>
            <family val="2"/>
          </rPr>
          <t>El valor debe ser positivo, entero y no debe incluir ni puntos ni comas.
Siempre debe diligenciarse</t>
        </r>
        <r>
          <rPr>
            <sz val="9"/>
            <color indexed="81"/>
            <rFont val="Tahoma"/>
            <family val="2"/>
          </rPr>
          <t xml:space="preserve">
</t>
        </r>
      </text>
    </comment>
    <comment ref="N3" authorId="1" shapeId="0" xr:uid="{00000000-0006-0000-0700-000003000000}">
      <text>
        <r>
          <rPr>
            <b/>
            <sz val="9"/>
            <color indexed="81"/>
            <rFont val="Tahoma"/>
            <family val="2"/>
          </rPr>
          <t>Siempre debe diligenciarse.
Para valores con parte decimal, se debe diligenciar el valor sin separación decimal.
Ejemplo:
- Para el valor 12.78915, diligencie 1278915.
- Para el valor 0.000001 diligencie 1.
- Para el valor 100% diligencie 100.
El porcentaje de participación máximo es 100%.</t>
        </r>
        <r>
          <rPr>
            <sz val="9"/>
            <color indexed="81"/>
            <rFont val="Tahoma"/>
            <family val="2"/>
          </rPr>
          <t xml:space="preserve">
</t>
        </r>
      </text>
    </comment>
    <comment ref="O3" authorId="1" shapeId="0" xr:uid="{00000000-0006-0000-0700-000004000000}">
      <text>
        <r>
          <rPr>
            <b/>
            <sz val="9"/>
            <color indexed="81"/>
            <rFont val="Tahoma"/>
            <family val="2"/>
          </rPr>
          <t>Siempre debe diligenciarse
Diligencie el número de posiciones decimales para el valor de la casilla anterior, contada desde la derecha del valor de la casilla.
El valor de esta casilla puede ser máximo 20.
Ejemplo:
- Para el valor 12.78915, diligencie 5.
- Para el valor 0.000001 diligencie 6.
- Para el valor 100% diligencie 0.
En caso de no tener valor decimal diligencie 0 (Cero).</t>
        </r>
        <r>
          <rPr>
            <sz val="9"/>
            <color indexed="81"/>
            <rFont val="Tahoma"/>
            <family val="2"/>
          </rPr>
          <t xml:space="preserve">
</t>
        </r>
      </text>
    </comment>
  </commentList>
</comments>
</file>

<file path=xl/sharedStrings.xml><?xml version="1.0" encoding="utf-8"?>
<sst xmlns="http://schemas.openxmlformats.org/spreadsheetml/2006/main" count="725" uniqueCount="358">
  <si>
    <t>concepto</t>
  </si>
  <si>
    <t>tipo de documento</t>
  </si>
  <si>
    <t>numero de identificacio</t>
  </si>
  <si>
    <t>primer apellido</t>
  </si>
  <si>
    <t>segundo apellido</t>
  </si>
  <si>
    <t>primer nombre</t>
  </si>
  <si>
    <t>segundo nombre</t>
  </si>
  <si>
    <t>razon social</t>
  </si>
  <si>
    <t>direccion</t>
  </si>
  <si>
    <t>codigo Dpto</t>
  </si>
  <si>
    <t>Codigo mcp</t>
  </si>
  <si>
    <t>pais</t>
  </si>
  <si>
    <t>pago o abono en cuenta deducible</t>
  </si>
  <si>
    <t>pago o abono en cuenta NO deducible</t>
  </si>
  <si>
    <t>IVA mayor valor del costo o gasto deducible</t>
  </si>
  <si>
    <t>IVA mayor valor del costo o gasto NO deducible</t>
  </si>
  <si>
    <t>Retencion en la fuente practicada Renta</t>
  </si>
  <si>
    <t>Retencion en la fuente asumida Renta</t>
  </si>
  <si>
    <t>Retencion en la fuente practicada IVA a responsable del IVA</t>
  </si>
  <si>
    <t>Retencio en la fuente practicada IVA a no residente o no domiciliados</t>
  </si>
  <si>
    <t>Pagos o abonos en cuenta y retenciones practicadas  V10</t>
  </si>
  <si>
    <t>1003
Retenciones en la fuente que le practicaron</t>
  </si>
  <si>
    <t>Retenciones en la fuente que le practicaron  V7</t>
  </si>
  <si>
    <t>Concepto</t>
  </si>
  <si>
    <t>Tipo de documento</t>
  </si>
  <si>
    <t xml:space="preserve">Número identificación </t>
  </si>
  <si>
    <t>DV</t>
  </si>
  <si>
    <t>Primer apellido del informado</t>
  </si>
  <si>
    <t>Segundo apellido del informado</t>
  </si>
  <si>
    <t>Primer nombre del informado</t>
  </si>
  <si>
    <t>Otros nombres del informado</t>
  </si>
  <si>
    <t>Razón social informado</t>
  </si>
  <si>
    <t>Dirección</t>
  </si>
  <si>
    <t>Código dpto.</t>
  </si>
  <si>
    <t>Código mcp</t>
  </si>
  <si>
    <t>Valor acumulado del pago o abono sujeto a retención en la fuente</t>
  </si>
  <si>
    <t>Retención en la fuente que le practicaron</t>
  </si>
  <si>
    <t>Sin cuantias minimas</t>
  </si>
  <si>
    <t>Tipo de Documento</t>
  </si>
  <si>
    <t>Numero de identificación del informado</t>
  </si>
  <si>
    <t>dv</t>
  </si>
  <si>
    <t>Impuesto descontable</t>
  </si>
  <si>
    <t>IVA resultante por devoluciones en ventas anuladas, rescindidas o resueltas</t>
  </si>
  <si>
    <t>Impuesto a las ventas por pagar (descontable) V8</t>
  </si>
  <si>
    <t>IVA tratado como mayor valor del costo o gasto Art. 490 E.T)</t>
  </si>
  <si>
    <t>Impuesto a las ventas por pagar (generado) e impuesto al consumo V8</t>
  </si>
  <si>
    <t>El valor del IVA generado y/o el
impuesto al consumo de las operaciones donde el valor acumulado del ingreso hubiese
sido igual o superior a quinientos mil pesos ($ 500.000)</t>
  </si>
  <si>
    <t>Numero de identificación</t>
  </si>
  <si>
    <t>Impuesto generado</t>
  </si>
  <si>
    <t>IVA recuperado por operaciones en devoluciones en compras anuladas, rescindidas o resueltas</t>
  </si>
  <si>
    <t>Impuesto al consumo</t>
  </si>
  <si>
    <t>Ingresos recibidos V9</t>
  </si>
  <si>
    <t>169 Colombia</t>
  </si>
  <si>
    <t>Ingresos superiores a $500.000</t>
  </si>
  <si>
    <t>Número identificación del informado</t>
  </si>
  <si>
    <t>País de residencia o domicilio</t>
  </si>
  <si>
    <t xml:space="preserve">Ingresos brutos recibidos </t>
  </si>
  <si>
    <t>Devoluciones, rebajas y descuentos</t>
  </si>
  <si>
    <t>Saldo de cuentas por cobrar al 31 de diciembre V7</t>
  </si>
  <si>
    <t>Primer apellido deudor</t>
  </si>
  <si>
    <t>Segundo apellido deudor</t>
  </si>
  <si>
    <t>Primer nombre deudor</t>
  </si>
  <si>
    <t>Otros nombres deudor</t>
  </si>
  <si>
    <t>Razón social deudor</t>
  </si>
  <si>
    <t>Saldo cuentas por cobrar al 31-12</t>
  </si>
  <si>
    <t>Saldo de cuentas por pagar al 31 de diciembre V7</t>
  </si>
  <si>
    <t xml:space="preserve">Primer apellido </t>
  </si>
  <si>
    <t xml:space="preserve">Segundo apellido </t>
  </si>
  <si>
    <t xml:space="preserve">Primer nombre </t>
  </si>
  <si>
    <t>Otros nombres</t>
  </si>
  <si>
    <t xml:space="preserve">Razón social </t>
  </si>
  <si>
    <t>Saldo cuentas por pagar al 31-12</t>
  </si>
  <si>
    <t>Conceptos en F1001</t>
  </si>
  <si>
    <t>Descripción</t>
  </si>
  <si>
    <t>Honorarios</t>
  </si>
  <si>
    <t>Comisiones</t>
  </si>
  <si>
    <t>Servicios</t>
  </si>
  <si>
    <t>Arrendamientos</t>
  </si>
  <si>
    <t>Intereses y rendimientos financieros</t>
  </si>
  <si>
    <t>Compra de activos movibles</t>
  </si>
  <si>
    <t>Compra de activos fijos</t>
  </si>
  <si>
    <t>Aportes a EPS y riesgos laborales</t>
  </si>
  <si>
    <t>Aportes obligatorios a pensión</t>
  </si>
  <si>
    <t>Viáticos</t>
  </si>
  <si>
    <t>Gastos de representación</t>
  </si>
  <si>
    <t>Adquisición de acciones o cuotas en sociedades no cotizadas</t>
  </si>
  <si>
    <t>Aportes parafiscales (SENA, caja de compensacion familiar y al Institulo)</t>
  </si>
  <si>
    <t>Donaciones en dinero</t>
  </si>
  <si>
    <t>Donaciones en activos diferente a dinero</t>
  </si>
  <si>
    <t>valor de losimpuesto solicitado como deducion</t>
  </si>
  <si>
    <t>los demas costos y deduciones</t>
  </si>
  <si>
    <t>Importe de las primas de asegurados pagados o abononado en cuenta</t>
  </si>
  <si>
    <t>monto de las amortizaciones realizadas</t>
  </si>
  <si>
    <t>Compra de activos fijos reales productivos sobre los cuales solicitó deducion</t>
  </si>
  <si>
    <t>valor acomulado de los pagos o abonos en cuenta al exterior por asistencia tecnica</t>
  </si>
  <si>
    <t>valor acomulado de los pagos o abonos en cuenta al exterior por marcas</t>
  </si>
  <si>
    <t>valor acomulado de los pagos o abonos en cuenta al exterior por patentes</t>
  </si>
  <si>
    <t>valor acomulado de los pagos o abonos en cuenta al exterior por regalias</t>
  </si>
  <si>
    <t>valor acomulado de los pagos o abonos en cuenta al exterior por servicio tecnico</t>
  </si>
  <si>
    <t>El valor acumulado de las devoluciones de pagos o abonos en cuenta y retenciones correspondiente a operaciones del años ant.</t>
  </si>
  <si>
    <t>Gastos pagados por anticipos por Compras</t>
  </si>
  <si>
    <t>Gastos pagados por anticipos por Honorarios</t>
  </si>
  <si>
    <t>Gastos pagados por anticipos por Comisiones</t>
  </si>
  <si>
    <t>Gastos pagados por anticipos por Servicios</t>
  </si>
  <si>
    <t>Gastos pagados por anticipos por Arrendamientos</t>
  </si>
  <si>
    <t>Gastos pagados por anticipos por Intereses y rendimientos financieros</t>
  </si>
  <si>
    <t>Gastos pagados por anticipos por otros conceptos</t>
  </si>
  <si>
    <t>El pago por loterias, rifas, apuestas y similares</t>
  </si>
  <si>
    <t>Retencion sobre ingresos de tarjeta debitos y creditos</t>
  </si>
  <si>
    <t>Enajenacion de activos fijos de personas naturales ante oficinas de transito y otras entidades autorizadas</t>
  </si>
  <si>
    <t>Importe de los siniestros por lucro cesante pagados o abonafos en cuenta</t>
  </si>
  <si>
    <t>Importe de los siniestros por daño emergente pagados y abonados en cuenta</t>
  </si>
  <si>
    <t>Retenciones practicadas a titulo de timbre</t>
  </si>
  <si>
    <t>La devolucion de retenciones a titulo de impuesto timbre, correspondiente a operaciones de años anteriores</t>
  </si>
  <si>
    <t>Valor de los aportes, tasas y contribuciones solicitado como deducion</t>
  </si>
  <si>
    <t>El pago o abono en cuenta realizada a cadda uno de los cooperados, del valor del Fondo para revalorizacion del apo.</t>
  </si>
  <si>
    <t>Redecion de inversiones en lo que corresponde al reembolso del capital por titulo de capitalizacion</t>
  </si>
  <si>
    <t>Utilidades pagadas o abonadas en cuenta, cuando el beneficiario es diferente al fideicomitente</t>
  </si>
  <si>
    <t>Intereses y rendimientos financieros efectivamente pagados</t>
  </si>
  <si>
    <t>Devoluciones de saldos de aportes pensionales pagados</t>
  </si>
  <si>
    <t>Excedentes pensionales de libre disponibilidad componente de capital pagados</t>
  </si>
  <si>
    <t>El valor de impuesto nacional al consumo</t>
  </si>
  <si>
    <t>El valor acomulado de los pagos o abonos en cuenta al exterior por consultoria</t>
  </si>
  <si>
    <t>Participacion o dividendos pagados o abonados en cuenta en calidad de exigibles correspondiente al 2016 y anteriores, p</t>
  </si>
  <si>
    <t>Participacion o dividendos pagados o abonados en cuenta en calidad de exigibles correspondiente al 2016 y anteriores, n</t>
  </si>
  <si>
    <t>Participacion o dividendos pagados o abonados en cuenta en calidad de exigibles correspondiente al 2017 y anteriores, p</t>
  </si>
  <si>
    <t>Participacion o dividendos pagados o abonados en cuenta en calidad de exigibles correspondiente al 2017 y anteriores, n</t>
  </si>
  <si>
    <t>El importe de los siniestros por segurosde vida pagados o abonados en cuenta</t>
  </si>
  <si>
    <t>Desembolso por deposito judiciales, Se debe identificar el beneficiario</t>
  </si>
  <si>
    <t>Desembolso por reintegro de deposito judiciales, Se debe identificar el beneficiario</t>
  </si>
  <si>
    <t>Regalias y explotacion de la propiedad intelectual</t>
  </si>
  <si>
    <t>Valor de utilidades distribuidas proveniente de diferimiento de ingresos</t>
  </si>
  <si>
    <t>Intereses por deuda a vinculados en subcapitalizacion</t>
  </si>
  <si>
    <t>El valor acomulado de los pagos o abonos efectuados a proveedores del exterior  por servicios audivisuales digitales</t>
  </si>
  <si>
    <t>El valor acomulado de los pagos o abonos efectuados a proveedores del exterior  por servicios prestados a traves de plataforma</t>
  </si>
  <si>
    <t>El valor acomulado de los pagos o abonos efectuados a proveedores del exterior  por servicios de publicidad onl</t>
  </si>
  <si>
    <t>El valor acomulado de los pagos o abonos efectuados a proveedores del exterior  por servicios de enseñanza o entrenamiento</t>
  </si>
  <si>
    <t>El valor acomulado de los pagos o abonos efectuados a proveedores del exterior  por servicios de derecho de uso o explotacion</t>
  </si>
  <si>
    <t>El valor acomulado de los pagos o abonos efectuados a proveedores del exterior  por servicios electronicos o digitales</t>
  </si>
  <si>
    <t>Valor de retencion en la fuente trasladada a terceros por participacion o dividendos recibidos de soliciedades nacionales</t>
  </si>
  <si>
    <t>Valor de los puntos premio redemidos en el periodo que afectan el gasto directamente, procedentes de programas de fidelizacion</t>
  </si>
  <si>
    <t>Costos y gastos por diferencia en cambio, se debe reportar con el NIT del informante</t>
  </si>
  <si>
    <t>Valor compra de acciones, cuotas o parte de interes social o aporte de sociedades que no cotizan en la bolsa</t>
  </si>
  <si>
    <t>Valor donacion de acciones, cuotas o parte de interes social o aporte de sociedades que no cotizan en la bolsa</t>
  </si>
  <si>
    <t>Valor cesion de acciones, cuotas o partes de interes social o aporte de sociedades que no cotizan en la bolsa</t>
  </si>
  <si>
    <t>Valor donacion de acciones, cuotas o partes de interes social o aporte de sociedades que no cotizan en la bolsa</t>
  </si>
  <si>
    <t>Valor pago constituyente de ingresos en especie para el beneficiario</t>
  </si>
  <si>
    <t>Donaciones de bebidas utltraprocesadas y azucaradas a los bancos de alimentos por los responsable del impuesto a estos bi</t>
  </si>
  <si>
    <t xml:space="preserve">Donaciones de productos comestibles ultraprocesados industrialmente y/o con alto contenido de azucares añadidos, sodio o </t>
  </si>
  <si>
    <t>Pago por conceptos de regalias pagadas a la Nacion u otros entes territoriales por la explotacion de hidrocarburos</t>
  </si>
  <si>
    <t>Pago por conceptos de regalias pagadas a la Nacion u otros entes territoriales por la explotacion de gas</t>
  </si>
  <si>
    <t>Pago por conceptos de regalias pagadas a la Nacion u otros entes territoriales por la explotacion de carbon</t>
  </si>
  <si>
    <t>Pago por conceptos de regalias pagadas a la Nacion u otros entes territoriales por la explotacion otros minerales y piedras</t>
  </si>
  <si>
    <t>Pago por conceptos de regalias pagadas a la Nacion u otros entes territoriales por la explotacion sal y materiales de const.</t>
  </si>
  <si>
    <t>Valor de pago o abono en cuenta por prima en colocacion de acciones y otros conceptos patrimoniales</t>
  </si>
  <si>
    <t>Valor de Gravamen a los movimientos financieros -GMF</t>
  </si>
  <si>
    <t>Valor de los pagos por apoyos economicos no reembolsables o condonados para financiar educacion con recursos publicos ant.</t>
  </si>
  <si>
    <t>PEREZ</t>
  </si>
  <si>
    <t>ANGARITA</t>
  </si>
  <si>
    <t>31</t>
  </si>
  <si>
    <t>Conceptos en F1003</t>
  </si>
  <si>
    <t>Retenciones por salario y demas pagos laborales</t>
  </si>
  <si>
    <t>retencion por ventas</t>
  </si>
  <si>
    <t>retencion por servicios</t>
  </si>
  <si>
    <t>retencion por honorarios</t>
  </si>
  <si>
    <t>retencion por comisiones</t>
  </si>
  <si>
    <t>retencion por intereses y rendimientos financieros</t>
  </si>
  <si>
    <t>retencion por arrendamientos</t>
  </si>
  <si>
    <t>retencion por otros conceptos</t>
  </si>
  <si>
    <t>retencion en la fuente en el impuesto de venta</t>
  </si>
  <si>
    <t>retencion por dividendos y participaciones</t>
  </si>
  <si>
    <t>retencion por enajenacion de activos fijos de personas naturales ante oficina del transito y otras entidades autorizadas</t>
  </si>
  <si>
    <t>retencion por ingresos de tarjetas debito y credito</t>
  </si>
  <si>
    <t>retencion por loteria, rifas, apuestas y similiares</t>
  </si>
  <si>
    <t>retencion por impuesto de timbre</t>
  </si>
  <si>
    <t>retencion por dividendos y participaciones recibidas por sociedades nacionales</t>
  </si>
  <si>
    <t>1004120253</t>
  </si>
  <si>
    <t>LUIS</t>
  </si>
  <si>
    <t>FABREGA</t>
  </si>
  <si>
    <t>PERTUZ</t>
  </si>
  <si>
    <t>DEL CARMEN</t>
  </si>
  <si>
    <t>13</t>
  </si>
  <si>
    <t>Conceptos en F1007</t>
  </si>
  <si>
    <t>ingresos brutos de actividades ordinarias</t>
  </si>
  <si>
    <t>Otros ingresos brutos</t>
  </si>
  <si>
    <t>ingresos por intereses y rendimiento financiero</t>
  </si>
  <si>
    <t>ingresos por intereses correspondiente a creditos hipotecarios</t>
  </si>
  <si>
    <t>ingresos a traves de consorcio o uniones temporales</t>
  </si>
  <si>
    <t>4001</t>
  </si>
  <si>
    <t>819000976</t>
  </si>
  <si>
    <t>SERVICIOS PORTUARIOS S.A.S SERPORT S.A.S</t>
  </si>
  <si>
    <t>169</t>
  </si>
  <si>
    <t>CALLE 10</t>
  </si>
  <si>
    <t>47</t>
  </si>
  <si>
    <t>551</t>
  </si>
  <si>
    <t>Conceptos en F1008</t>
  </si>
  <si>
    <t>saldo de las cuentas por cobrar a clientes</t>
  </si>
  <si>
    <t>saldo de las cuentas por cobrar a accionistas, socios</t>
  </si>
  <si>
    <t>otras cuentas por cobrar</t>
  </si>
  <si>
    <t>valor total del saldo final del deterioro de cartera, identificandolo con el nit del deudor</t>
  </si>
  <si>
    <t>ingresos a traves del mandato o administracion delegada</t>
  </si>
  <si>
    <t>ingresos a traves de exploracion y explotacion de hidrocarburos</t>
  </si>
  <si>
    <t>ingresos a traves de Fiducia</t>
  </si>
  <si>
    <t>ingresos a traves de terceros (Beneficiario)</t>
  </si>
  <si>
    <t>ingresos a traves de Joint venture</t>
  </si>
  <si>
    <t>ingresos a traves de cuentas de participacion</t>
  </si>
  <si>
    <t>ingresos a traves de convenios de coorporacion con entidades publicas</t>
  </si>
  <si>
    <t>ingresos por ventas con puntos premio redimidos en el periodo, procedente de programas de fidelizacion</t>
  </si>
  <si>
    <t>Patrimonio líquido</t>
  </si>
  <si>
    <t>En cuantía superior a tres millones de pesos ($3.000.000)</t>
  </si>
  <si>
    <t>Número identificación socio o accionista</t>
  </si>
  <si>
    <t>Primer apellido socio o accionista</t>
  </si>
  <si>
    <t>Primer nombre del socio o accionista</t>
  </si>
  <si>
    <t>Otros nombres socio o accionista</t>
  </si>
  <si>
    <t>57300866</t>
  </si>
  <si>
    <t xml:space="preserve">NUBIA </t>
  </si>
  <si>
    <t>CL 12 9 04</t>
  </si>
  <si>
    <t>Información de socios, accionistas, comuneros y/o cooperados V9</t>
  </si>
  <si>
    <t>otro nombre del accionista</t>
  </si>
  <si>
    <t>Valor nominal de la accion , aporte o derecho social al 31 diciembre</t>
  </si>
  <si>
    <t>valor prima en colocacion de acciones a 31 de diciembre</t>
  </si>
  <si>
    <t>porcentaje de participacion</t>
  </si>
  <si>
    <t>porcentaje de paricipacion (posicion decimal)</t>
  </si>
  <si>
    <t>1315</t>
  </si>
  <si>
    <t>dpto</t>
  </si>
  <si>
    <t>ciudad</t>
  </si>
  <si>
    <t>munic</t>
  </si>
  <si>
    <t>Cra. 52 # 70 - 168</t>
  </si>
  <si>
    <t>Atlántico</t>
  </si>
  <si>
    <t>Barranquilla</t>
  </si>
  <si>
    <t>08</t>
  </si>
  <si>
    <t>001</t>
  </si>
  <si>
    <t>Cl. 116 #42b 91</t>
  </si>
  <si>
    <t>Puerto Colombia</t>
  </si>
  <si>
    <t>573</t>
  </si>
  <si>
    <t>Cra. 51B #106-200</t>
  </si>
  <si>
    <t>Calle 66 Vía 40, Esquina</t>
  </si>
  <si>
    <t>Carrera 51B #93-119</t>
  </si>
  <si>
    <t>Carrera 41 No. 46 - 137</t>
  </si>
  <si>
    <t>Cra. 56 #5c - 50, </t>
  </si>
  <si>
    <t>Cundinamarca</t>
  </si>
  <si>
    <t>Bogotá</t>
  </si>
  <si>
    <t>11</t>
  </si>
  <si>
    <t xml:space="preserve">Cra. 53 #98-2 </t>
  </si>
  <si>
    <t>CALLE 77 B CR 59 61 OF1002</t>
  </si>
  <si>
    <t>Cl. 44 #43-115</t>
  </si>
  <si>
    <t>Carrera 43 #80-120.</t>
  </si>
  <si>
    <t>Cra. 51 #76 - 47</t>
  </si>
  <si>
    <t>Carrera 38 No. 69D - 29</t>
  </si>
  <si>
    <t>Carrera 43 # 9-97, Local 42, 43, 44 y 45</t>
  </si>
  <si>
    <t>Cl. 84b #38 - 11</t>
  </si>
  <si>
    <t>Cra. 43 #80 186</t>
  </si>
  <si>
    <t>Calle 30 # 26-48</t>
  </si>
  <si>
    <t>Carrera 51B con Avenida Circunvalar Esquina (Lote B3, sector Portal del Genovés)</t>
  </si>
  <si>
    <t>Calle 110 # 42 - 235</t>
  </si>
  <si>
    <t>Cra. 72 #12a-75</t>
  </si>
  <si>
    <t>Carrera 43 # 70B-55</t>
  </si>
  <si>
    <t>Cl. 53 #46-143</t>
  </si>
  <si>
    <t>Calle 30 #23-08</t>
  </si>
  <si>
    <t>Carrera 53 No. 94-50, Local 3</t>
  </si>
  <si>
    <t>Calle 54 No. 42-15</t>
  </si>
  <si>
    <t>Cra. 53 #106 - 280</t>
  </si>
  <si>
    <t>Cra. 38 #36-02</t>
  </si>
  <si>
    <t>Cra. 55 #99 51</t>
  </si>
  <si>
    <t>Calle 98 # 51B - 91</t>
  </si>
  <si>
    <t>Calle 40 No. 44-39, Oficina 6H</t>
  </si>
  <si>
    <t>CALLE 110 43 C 735</t>
  </si>
  <si>
    <t>Carrera 43 # 82-09</t>
  </si>
  <si>
    <t>CALLE 1 #10-50 LTE</t>
  </si>
  <si>
    <t>Carrera 53 con calle 106 esquina</t>
  </si>
  <si>
    <t>CARRERA 60 #70 130</t>
  </si>
  <si>
    <t>CL 65 27 33</t>
  </si>
  <si>
    <t>Calle 110 # 43C - 91</t>
  </si>
  <si>
    <t>Cra. 38 #35-69 LOCAL 1</t>
  </si>
  <si>
    <t>Cra. 59c # 81-12</t>
  </si>
  <si>
    <t>CR 64 # 80-194 Local 3</t>
  </si>
  <si>
    <t>KM 8 VIA BARRANQUILLA ZF LA CAYENA LOTE</t>
  </si>
  <si>
    <t>Calle 77 # 70 – 55 (Local 1)</t>
  </si>
  <si>
    <t>Cl 72 # 38-186</t>
  </si>
  <si>
    <t>Av. Murillo (Calle 45) # 50B - 54</t>
  </si>
  <si>
    <t>Cl. 70 #45-41</t>
  </si>
  <si>
    <t>Carrera 51B No. 75 - 171</t>
  </si>
  <si>
    <t>CARRERA 47 85 167</t>
  </si>
  <si>
    <t> Cl. 44 # 70-88 local 2,</t>
  </si>
  <si>
    <t>Cra. 43 # 84B - 101</t>
  </si>
  <si>
    <t>CALLE 80 CR 63 26</t>
  </si>
  <si>
    <t>Cl. 69c #32-08</t>
  </si>
  <si>
    <t xml:space="preserve">Cll 86 #47-05 </t>
  </si>
  <si>
    <t>Via 40 No. 85 - 470 Local 17- A</t>
  </si>
  <si>
    <t>Calle 3A N° 24-104</t>
  </si>
  <si>
    <t>Cra. 48 #75-54 Local 4</t>
  </si>
  <si>
    <t>Calle 73 No 41D - 19.</t>
  </si>
  <si>
    <t>Cl. 36 #43 68</t>
  </si>
  <si>
    <t>nit</t>
  </si>
  <si>
    <t>nombre</t>
  </si>
  <si>
    <t>D1 S A S</t>
  </si>
  <si>
    <t>FERRETERIA PONQUIFON SEDE 93</t>
  </si>
  <si>
    <t>MARENA DE LA ROSA NIEBLES</t>
  </si>
  <si>
    <t>NULE MARINO &amp; COMPAÑIA SAS</t>
  </si>
  <si>
    <t>GRUPO DECOR S.A.S.</t>
  </si>
  <si>
    <t>ALCANTARA ASOCIADOS S.A.S.</t>
  </si>
  <si>
    <t>TEXTILES 1 x 1 SAS</t>
  </si>
  <si>
    <t>SODIMAC COLOMBIA S.A.</t>
  </si>
  <si>
    <t>TEXVIGAR S.A.S.</t>
  </si>
  <si>
    <t>DISNAR S.A.S - VILLA CAMPESTRE</t>
  </si>
  <si>
    <t>FERRETERIA METROPOLIS S.A.S.</t>
  </si>
  <si>
    <t>CREPES CARIBE S.A.</t>
  </si>
  <si>
    <t>SODICSA S.A.S</t>
  </si>
  <si>
    <t>CONNY DE LA COSTA S.A.S.</t>
  </si>
  <si>
    <t>DISTRACOM S.A.</t>
  </si>
  <si>
    <t>MADECENTRO COLOMBIA SAS</t>
  </si>
  <si>
    <t>METALES Y MADERAS DEL RISARALDA S.A.S</t>
  </si>
  <si>
    <t>TUGO S A S</t>
  </si>
  <si>
    <t>DISTRIBUIDORA NISSAN S.A</t>
  </si>
  <si>
    <t>TEXTILES LAFAYETTE SAS PUDIENDO GIRAR BAJO LA RAZON SOCIAL TELAS LAFAYETTE SAS O SIMPLEMENTE LAFAYETTE SAS</t>
  </si>
  <si>
    <t>COMPAÑIA COLOMBIANA DE CERAMICA S A S</t>
  </si>
  <si>
    <t>CALYPSO BARRANQUILLA S.A.S</t>
  </si>
  <si>
    <t>ALMACENES CORONA S.A.S</t>
  </si>
  <si>
    <t>PASH S.A.S</t>
  </si>
  <si>
    <t>ENRIQUE RICARDO HENRIQUEZ ARAZO</t>
  </si>
  <si>
    <t>CAMARA DE COMERCIO DE BARRANQUILLA</t>
  </si>
  <si>
    <t>GRUPO MI CORRAL S.A</t>
  </si>
  <si>
    <t>FRENOS BARRANQUILLA  SAS</t>
  </si>
  <si>
    <t>HOT AMERICA`S FAVORITE PIZZA S.A.S</t>
  </si>
  <si>
    <t>COLOMBIANA DE COMERCIO S.A.</t>
  </si>
  <si>
    <t>CREDISEGUROS DE LA COSTA LTDA</t>
  </si>
  <si>
    <t>MAKRO SUPERMAYORISTA S.A.S</t>
  </si>
  <si>
    <t>INVERSIONES COMBGAS S.A.S</t>
  </si>
  <si>
    <t>ESTACION DE SERVICIO COLISEO S.A</t>
  </si>
  <si>
    <t>SANTA MARIA DEL MAR S.A.S</t>
  </si>
  <si>
    <t>PRICESMART COLOMBIA S.A.S.</t>
  </si>
  <si>
    <t>GRUPO MODA SUMA SAS</t>
  </si>
  <si>
    <t xml:space="preserve"> ARTEMARMOL COLOMBIA S.A.S.</t>
  </si>
  <si>
    <t>JERONIMO MARTINS COLOMBIA S.A.S.</t>
  </si>
  <si>
    <t>DISTRIBUIDORA DE RUEDAS SAS BARRANQUILLA</t>
  </si>
  <si>
    <t>PANIFICADORA LA BAGUETTE  S.A.S</t>
  </si>
  <si>
    <t>A PORTER SAS</t>
  </si>
  <si>
    <t>SURAMERICA COMERCIAL S.A.S</t>
  </si>
  <si>
    <t>WALL DE COLOMBIA S.A.S.</t>
  </si>
  <si>
    <t>OPERACIONES Y SERVICIOS TECNICOS S.A.S</t>
  </si>
  <si>
    <t>TOOLSERVICENTER S.A.S.</t>
  </si>
  <si>
    <t>OLGLASS INTERNACIONAL SAS</t>
  </si>
  <si>
    <t>COESCO COLOMBIA SAS</t>
  </si>
  <si>
    <t>INVERSIONES K&amp;A S.A.S</t>
  </si>
  <si>
    <t>CLEAN PERSIANAS S.A.S.</t>
  </si>
  <si>
    <t>restaurante medio oriente sas</t>
  </si>
  <si>
    <t>GRUPO RUEDA ARDILA S.A.S</t>
  </si>
  <si>
    <t>Expo electricos sas</t>
  </si>
  <si>
    <t>ASADERO EL CHURRASQUITO SAS</t>
  </si>
  <si>
    <t>SUGAR ROSE SAS</t>
  </si>
  <si>
    <t>PERSIANAS GAMADEKO S.A.S.</t>
  </si>
  <si>
    <t>VICTOR'S CASUAL FOODS SAS</t>
  </si>
  <si>
    <t>DOTACIONES MYV S.A.S</t>
  </si>
  <si>
    <t>TEXAS ENERGY STAR S.A.S.</t>
  </si>
  <si>
    <t>MUNDO FERRETERO BAQ S.A.S.</t>
  </si>
  <si>
    <t>Cra. 49c #92 72 </t>
  </si>
  <si>
    <t>INVERSIONES 3 EN 1 SAS</t>
  </si>
  <si>
    <t>tipo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</si>
</sst>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43" formatCode="_-* #,##0.00_-;\-* #,##0.00_-;_-* &quot;-&quot;??_-;_-@_-"/>
    <numFmt numFmtId="164" formatCode="_-* #,##0_-;\-* #,##0_-;_-* &quot;-&quot;??_-;_-@_-"/>
    <numFmt numFmtId="165" formatCode="_-* #,##0.00_-;\-* #,##0.00_-;_-* &quot;-&quot;_-;_-@_-"/>
    <numFmt numFmtId="166" formatCode="_(* #,##0_);_(* \(#,##0\);_(* &quot;-&quot;??_);_(@_)"/>
  </numFmts>
  <fonts count="18" x14ac:knownFonts="1">
    <font>
      <sz val="11"/>
      <color theme="1"/>
      <name val="Calibri"/>
      <family val="2"/>
      <scheme val="minor"/>
    </font>
    <font>
      <sz val="11"/>
      <color theme="1"/>
      <name val="Calibri"/>
      <family val="2"/>
      <scheme val="minor"/>
    </font>
    <font>
      <b/>
      <sz val="11"/>
      <color theme="1"/>
      <name val="Calibri"/>
      <family val="2"/>
      <scheme val="minor"/>
    </font>
    <font>
      <sz val="14"/>
      <name val="Arial"/>
      <family val="2"/>
    </font>
    <font>
      <b/>
      <sz val="10"/>
      <name val="Arial"/>
      <family val="2"/>
    </font>
    <font>
      <b/>
      <sz val="10"/>
      <color indexed="9"/>
      <name val="Arial"/>
      <family val="2"/>
    </font>
    <font>
      <sz val="10"/>
      <name val="Arial"/>
      <family val="2"/>
    </font>
    <font>
      <b/>
      <sz val="14"/>
      <color indexed="9"/>
      <name val="Arial"/>
      <family val="2"/>
    </font>
    <font>
      <b/>
      <sz val="14"/>
      <name val="Arial"/>
      <family val="2"/>
    </font>
    <font>
      <b/>
      <sz val="9"/>
      <color indexed="81"/>
      <name val="Tahoma"/>
      <family val="2"/>
    </font>
    <font>
      <sz val="9"/>
      <color indexed="81"/>
      <name val="Tahoma"/>
      <family val="2"/>
    </font>
    <font>
      <sz val="10"/>
      <color theme="1"/>
      <name val="Arial"/>
      <family val="2"/>
    </font>
    <font>
      <sz val="14"/>
      <color theme="1"/>
      <name val="Arial"/>
      <family val="2"/>
    </font>
    <font>
      <b/>
      <sz val="14"/>
      <color theme="1"/>
      <name val="Arial"/>
      <family val="2"/>
    </font>
    <font>
      <b/>
      <sz val="11"/>
      <name val="Calibri"/>
      <family val="2"/>
    </font>
    <font>
      <sz val="12"/>
      <name val="Calibri"/>
      <family val="2"/>
      <scheme val="minor"/>
    </font>
    <font>
      <b/>
      <sz val="10"/>
      <color theme="1"/>
      <name val="Arial"/>
      <family val="2"/>
    </font>
    <font>
      <b/>
      <sz val="11"/>
      <color theme="1"/>
      <name val="Calibri"/>
      <family val="2"/>
    </font>
  </fonts>
  <fills count="7">
    <fill>
      <patternFill patternType="none"/>
    </fill>
    <fill>
      <patternFill patternType="gray125"/>
    </fill>
    <fill>
      <patternFill patternType="solid">
        <fgColor indexed="21"/>
        <bgColor indexed="64"/>
      </patternFill>
    </fill>
    <fill>
      <patternFill patternType="solid">
        <fgColor indexed="9"/>
        <bgColor indexed="64"/>
      </patternFill>
    </fill>
    <fill>
      <patternFill patternType="solid">
        <fgColor rgb="FFFFFF00"/>
        <bgColor indexed="64"/>
      </patternFill>
    </fill>
    <fill>
      <patternFill patternType="solid">
        <fgColor theme="0"/>
        <bgColor indexed="64"/>
      </patternFill>
    </fill>
    <fill>
      <patternFill patternType="solid">
        <fgColor theme="4" tint="0.79998168889431442"/>
        <bgColor theme="4" tint="0.79998168889431442"/>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theme="4" tint="0.39997558519241921"/>
      </bottom>
      <diagonal/>
    </border>
    <border>
      <left style="thin">
        <color indexed="64"/>
      </left>
      <right style="thin">
        <color indexed="64"/>
      </right>
      <top/>
      <bottom/>
      <diagonal/>
    </border>
  </borders>
  <cellStyleXfs count="4">
    <xf numFmtId="0" fontId="0" fillId="0" borderId="0"/>
    <xf numFmtId="43" fontId="1" fillId="0" borderId="0" applyFont="0" applyFill="0" applyBorder="0" applyAlignment="0" applyProtection="0"/>
    <xf numFmtId="41" fontId="1" fillId="0" borderId="0" applyFont="0" applyFill="0" applyBorder="0" applyAlignment="0" applyProtection="0"/>
    <xf numFmtId="0" fontId="6" fillId="0" borderId="0"/>
  </cellStyleXfs>
  <cellXfs count="56">
    <xf numFmtId="0" fontId="0" fillId="0" borderId="0" xfId="0"/>
    <xf numFmtId="0" fontId="0" fillId="0" borderId="0" xfId="0" applyAlignment="1">
      <alignment horizontal="center" vertical="center" wrapText="1"/>
    </xf>
    <xf numFmtId="0" fontId="3" fillId="0" borderId="0" xfId="0" applyFont="1" applyAlignment="1">
      <alignment horizontal="left"/>
    </xf>
    <xf numFmtId="0" fontId="3" fillId="0" borderId="0" xfId="0" applyFont="1"/>
    <xf numFmtId="0" fontId="4" fillId="0" borderId="0" xfId="0" applyFont="1"/>
    <xf numFmtId="49" fontId="5" fillId="2" borderId="1" xfId="0" applyNumberFormat="1" applyFont="1" applyFill="1" applyBorder="1" applyAlignment="1">
      <alignment horizontal="center" vertical="center" wrapText="1"/>
    </xf>
    <xf numFmtId="49" fontId="0" fillId="0" borderId="0" xfId="0" applyNumberFormat="1"/>
    <xf numFmtId="49" fontId="6" fillId="3" borderId="0" xfId="0" applyNumberFormat="1" applyFont="1" applyFill="1"/>
    <xf numFmtId="4" fontId="0" fillId="0" borderId="0" xfId="0" applyNumberFormat="1"/>
    <xf numFmtId="49" fontId="8" fillId="0" borderId="0" xfId="0" applyNumberFormat="1" applyFont="1"/>
    <xf numFmtId="49" fontId="3" fillId="3" borderId="0" xfId="0" applyNumberFormat="1" applyFont="1" applyFill="1"/>
    <xf numFmtId="4" fontId="5" fillId="2" borderId="1" xfId="1" applyNumberFormat="1" applyFont="1" applyFill="1" applyBorder="1" applyAlignment="1" applyProtection="1">
      <alignment horizontal="center" vertical="center" wrapText="1"/>
    </xf>
    <xf numFmtId="49" fontId="11" fillId="0" borderId="0" xfId="0" applyNumberFormat="1" applyFont="1"/>
    <xf numFmtId="2" fontId="11" fillId="0" borderId="0" xfId="2" applyNumberFormat="1" applyFont="1"/>
    <xf numFmtId="164" fontId="11" fillId="0" borderId="0" xfId="2" applyNumberFormat="1" applyFont="1"/>
    <xf numFmtId="49" fontId="12" fillId="0" borderId="0" xfId="0" applyNumberFormat="1" applyFont="1"/>
    <xf numFmtId="49" fontId="13" fillId="0" borderId="0" xfId="0" applyNumberFormat="1" applyFont="1"/>
    <xf numFmtId="2" fontId="13" fillId="0" borderId="0" xfId="2" applyNumberFormat="1" applyFont="1"/>
    <xf numFmtId="164" fontId="13" fillId="0" borderId="0" xfId="2" applyNumberFormat="1" applyFont="1"/>
    <xf numFmtId="164" fontId="0" fillId="0" borderId="0" xfId="2" applyNumberFormat="1" applyFont="1"/>
    <xf numFmtId="165" fontId="0" fillId="0" borderId="0" xfId="2" applyNumberFormat="1" applyFont="1"/>
    <xf numFmtId="49" fontId="3" fillId="0" borderId="0" xfId="0" applyNumberFormat="1" applyFont="1"/>
    <xf numFmtId="49" fontId="6" fillId="0" borderId="0" xfId="0" applyNumberFormat="1" applyFont="1"/>
    <xf numFmtId="164" fontId="5" fillId="2" borderId="1" xfId="2" applyNumberFormat="1" applyFont="1" applyFill="1" applyBorder="1" applyAlignment="1" applyProtection="1">
      <alignment horizontal="center" vertical="center" wrapText="1"/>
    </xf>
    <xf numFmtId="165" fontId="5" fillId="2" borderId="1" xfId="2" applyNumberFormat="1" applyFont="1" applyFill="1" applyBorder="1" applyAlignment="1" applyProtection="1">
      <alignment horizontal="center" vertical="center" wrapText="1"/>
    </xf>
    <xf numFmtId="49" fontId="0" fillId="0" borderId="0" xfId="1" applyNumberFormat="1" applyFont="1"/>
    <xf numFmtId="49" fontId="8" fillId="0" borderId="0" xfId="1" applyNumberFormat="1" applyFont="1"/>
    <xf numFmtId="49" fontId="5" fillId="2" borderId="1" xfId="1" applyNumberFormat="1" applyFont="1" applyFill="1" applyBorder="1" applyAlignment="1" applyProtection="1">
      <alignment horizontal="center" vertical="center" wrapText="1"/>
    </xf>
    <xf numFmtId="3" fontId="0" fillId="0" borderId="0" xfId="2" applyNumberFormat="1" applyFont="1"/>
    <xf numFmtId="49" fontId="4" fillId="0" borderId="0" xfId="0" applyNumberFormat="1" applyFont="1"/>
    <xf numFmtId="49" fontId="5" fillId="2" borderId="2" xfId="0" applyNumberFormat="1" applyFont="1" applyFill="1" applyBorder="1" applyAlignment="1">
      <alignment horizontal="center" vertical="center" wrapText="1"/>
    </xf>
    <xf numFmtId="49" fontId="5" fillId="2" borderId="2" xfId="1" applyNumberFormat="1" applyFont="1" applyFill="1" applyBorder="1" applyAlignment="1" applyProtection="1">
      <alignment horizontal="center" vertical="center" wrapText="1"/>
    </xf>
    <xf numFmtId="3" fontId="5" fillId="2" borderId="2" xfId="2" applyNumberFormat="1" applyFont="1" applyFill="1" applyBorder="1" applyAlignment="1" applyProtection="1">
      <alignment horizontal="center" vertical="center" wrapText="1"/>
    </xf>
    <xf numFmtId="0" fontId="14" fillId="0" borderId="0" xfId="0" applyFont="1"/>
    <xf numFmtId="0" fontId="0" fillId="0" borderId="0" xfId="0" applyNumberFormat="1"/>
    <xf numFmtId="0" fontId="5" fillId="2" borderId="1" xfId="0" applyNumberFormat="1" applyFont="1" applyFill="1" applyBorder="1" applyAlignment="1">
      <alignment horizontal="center" vertical="center" wrapText="1"/>
    </xf>
    <xf numFmtId="43" fontId="0" fillId="0" borderId="0" xfId="1" applyFont="1"/>
    <xf numFmtId="43" fontId="5" fillId="2" borderId="1" xfId="1" applyFont="1" applyFill="1" applyBorder="1" applyAlignment="1">
      <alignment horizontal="center" vertical="center" wrapText="1"/>
    </xf>
    <xf numFmtId="43" fontId="0" fillId="4" borderId="0" xfId="1" applyFont="1" applyFill="1"/>
    <xf numFmtId="166" fontId="15" fillId="5" borderId="0" xfId="1" applyNumberFormat="1" applyFont="1" applyFill="1" applyBorder="1" applyAlignment="1">
      <alignment horizontal="right"/>
    </xf>
    <xf numFmtId="49" fontId="0" fillId="4" borderId="0" xfId="0" applyNumberFormat="1" applyFill="1"/>
    <xf numFmtId="0" fontId="16" fillId="0" borderId="3" xfId="0" applyFont="1" applyBorder="1"/>
    <xf numFmtId="43" fontId="5" fillId="2" borderId="1" xfId="1" applyFont="1" applyFill="1" applyBorder="1" applyAlignment="1" applyProtection="1">
      <alignment horizontal="center" vertical="center" wrapText="1"/>
    </xf>
    <xf numFmtId="49" fontId="6" fillId="0" borderId="0" xfId="3" applyNumberFormat="1"/>
    <xf numFmtId="0" fontId="6" fillId="3" borderId="0" xfId="1" applyNumberFormat="1" applyFont="1" applyFill="1" applyAlignment="1" applyProtection="1">
      <alignment horizontal="right"/>
    </xf>
    <xf numFmtId="0" fontId="0" fillId="4" borderId="0" xfId="1" applyNumberFormat="1" applyFont="1" applyFill="1"/>
    <xf numFmtId="165" fontId="0" fillId="0" borderId="0" xfId="2" applyNumberFormat="1" applyFont="1" applyBorder="1"/>
    <xf numFmtId="41" fontId="0" fillId="0" borderId="0" xfId="2" applyFont="1" applyBorder="1"/>
    <xf numFmtId="165" fontId="5" fillId="2" borderId="4" xfId="2" applyNumberFormat="1" applyFont="1" applyFill="1" applyBorder="1" applyAlignment="1" applyProtection="1">
      <alignment horizontal="center" vertical="center" wrapText="1"/>
    </xf>
    <xf numFmtId="49" fontId="7" fillId="3" borderId="0" xfId="0" applyNumberFormat="1" applyFont="1" applyFill="1" applyAlignment="1">
      <alignment horizontal="left" vertical="center" wrapText="1"/>
    </xf>
    <xf numFmtId="0" fontId="2" fillId="0" borderId="0" xfId="0" applyFont="1" applyAlignment="1">
      <alignment horizontal="center"/>
    </xf>
    <xf numFmtId="0" fontId="17" fillId="6" borderId="3" xfId="0" applyFont="1" applyFill="1" applyBorder="1"/>
    <xf numFmtId="49" fontId="17" fillId="6" borderId="0" xfId="0" applyNumberFormat="1" applyFont="1" applyFill="1"/>
    <xf numFmtId="0" fontId="17" fillId="0" borderId="3" xfId="0" applyFont="1" applyBorder="1"/>
    <xf numFmtId="0" fontId="17" fillId="0" borderId="0" xfId="0" applyFont="1"/>
    <xf numFmtId="0" fontId="17" fillId="6" borderId="0" xfId="0" applyFont="1" applyFill="1"/>
  </cellXfs>
  <cellStyles count="4">
    <cellStyle name="Millares" xfId="1" builtinId="3"/>
    <cellStyle name="Millares [0]" xfId="2" builtinId="6"/>
    <cellStyle name="Normal" xfId="0" builtinId="0"/>
    <cellStyle name="Normal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
  <sheetViews>
    <sheetView workbookViewId="0">
      <pane ySplit="2" topLeftCell="A3" activePane="bottomLeft" state="frozen"/>
      <selection activeCell="C29" sqref="C29"/>
      <selection pane="bottomLeft" activeCell="A13" sqref="A13"/>
    </sheetView>
  </sheetViews>
  <sheetFormatPr baseColWidth="10" defaultRowHeight="15" x14ac:dyDescent="0.25"/>
  <cols>
    <col min="1" max="1" width="9.28515625" bestFit="1" customWidth="1"/>
    <col min="2" max="2" width="9.5703125" customWidth="1"/>
    <col min="3" max="3" width="12.140625" bestFit="1" customWidth="1"/>
    <col min="4" max="4" width="22.140625" customWidth="1"/>
    <col min="5" max="5" width="19.85546875" customWidth="1"/>
    <col min="6" max="6" width="22.42578125" customWidth="1"/>
    <col min="7" max="7" width="23.42578125" customWidth="1"/>
    <col min="8" max="8" width="33.28515625" bestFit="1" customWidth="1"/>
    <col min="9" max="9" width="19.140625" bestFit="1" customWidth="1"/>
    <col min="10" max="10" width="7.140625" bestFit="1" customWidth="1"/>
    <col min="11" max="11" width="7.42578125" bestFit="1" customWidth="1"/>
    <col min="12" max="12" width="4.7109375" bestFit="1" customWidth="1"/>
    <col min="13" max="13" width="17" style="36" bestFit="1" customWidth="1"/>
    <col min="14" max="14" width="13.5703125" bestFit="1" customWidth="1"/>
    <col min="15" max="16" width="26.42578125" bestFit="1" customWidth="1"/>
    <col min="17" max="17" width="21.85546875" bestFit="1" customWidth="1"/>
    <col min="18" max="18" width="15.28515625" bestFit="1" customWidth="1"/>
    <col min="19" max="19" width="21.85546875" bestFit="1" customWidth="1"/>
    <col min="20" max="20" width="26.5703125" bestFit="1" customWidth="1"/>
  </cols>
  <sheetData>
    <row r="1" spans="1:22" ht="32.25" customHeight="1" x14ac:dyDescent="0.25">
      <c r="A1" s="2">
        <v>1001</v>
      </c>
      <c r="B1" s="3" t="s">
        <v>20</v>
      </c>
      <c r="E1" s="4"/>
    </row>
    <row r="2" spans="1:22" ht="57.75" customHeight="1" x14ac:dyDescent="0.25">
      <c r="A2" s="5" t="s">
        <v>0</v>
      </c>
      <c r="B2" s="5" t="s">
        <v>1</v>
      </c>
      <c r="C2" s="5" t="s">
        <v>2</v>
      </c>
      <c r="D2" s="5" t="s">
        <v>3</v>
      </c>
      <c r="E2" s="5" t="s">
        <v>4</v>
      </c>
      <c r="F2" s="5" t="s">
        <v>5</v>
      </c>
      <c r="G2" s="5" t="s">
        <v>6</v>
      </c>
      <c r="H2" s="5" t="s">
        <v>7</v>
      </c>
      <c r="I2" s="5" t="s">
        <v>8</v>
      </c>
      <c r="J2" s="5" t="s">
        <v>9</v>
      </c>
      <c r="K2" s="5" t="s">
        <v>10</v>
      </c>
      <c r="L2" s="5" t="s">
        <v>11</v>
      </c>
      <c r="M2" s="37" t="s">
        <v>12</v>
      </c>
      <c r="N2" s="5" t="s">
        <v>13</v>
      </c>
      <c r="O2" s="5" t="s">
        <v>14</v>
      </c>
      <c r="P2" s="5" t="s">
        <v>15</v>
      </c>
      <c r="Q2" s="5" t="s">
        <v>16</v>
      </c>
      <c r="R2" s="5" t="s">
        <v>17</v>
      </c>
      <c r="S2" s="5" t="s">
        <v>18</v>
      </c>
      <c r="T2" s="5" t="s">
        <v>19</v>
      </c>
      <c r="U2" s="1"/>
      <c r="V2" s="1"/>
    </row>
    <row r="3" spans="1:22" x14ac:dyDescent="0.25">
      <c r="M3"/>
      <c r="N3">
        <v>0</v>
      </c>
      <c r="O3">
        <v>0</v>
      </c>
      <c r="P3">
        <v>0</v>
      </c>
      <c r="Q3">
        <v>0</v>
      </c>
      <c r="R3">
        <v>0</v>
      </c>
      <c r="S3">
        <v>0</v>
      </c>
      <c r="T3">
        <v>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
  <sheetViews>
    <sheetView workbookViewId="0">
      <pane ySplit="4" topLeftCell="A5" activePane="bottomLeft" state="frozen"/>
      <selection pane="bottomLeft" activeCell="A5" sqref="A5:N5"/>
    </sheetView>
  </sheetViews>
  <sheetFormatPr baseColWidth="10" defaultRowHeight="15" x14ac:dyDescent="0.25"/>
  <cols>
    <col min="5" max="5" width="18.28515625" customWidth="1"/>
    <col min="6" max="6" width="22.28515625" customWidth="1"/>
    <col min="7" max="7" width="22.42578125" customWidth="1"/>
    <col min="8" max="8" width="24" customWidth="1"/>
    <col min="9" max="9" width="21.5703125" bestFit="1" customWidth="1"/>
    <col min="10" max="10" width="20.7109375" customWidth="1"/>
    <col min="11" max="12" width="11.42578125" style="34"/>
    <col min="13" max="13" width="22.7109375" customWidth="1"/>
    <col min="14" max="14" width="29.140625" customWidth="1"/>
  </cols>
  <sheetData>
    <row r="1" spans="1:14" ht="18" x14ac:dyDescent="0.25">
      <c r="A1" s="6"/>
      <c r="B1" s="7"/>
      <c r="C1" s="7"/>
      <c r="D1" s="49" t="s">
        <v>21</v>
      </c>
      <c r="E1" s="49"/>
      <c r="F1" s="49"/>
      <c r="G1" s="49"/>
      <c r="H1" s="49"/>
      <c r="I1" s="7"/>
      <c r="J1" s="7"/>
      <c r="K1" s="44"/>
      <c r="M1" s="8"/>
      <c r="N1" s="8"/>
    </row>
    <row r="2" spans="1:14" ht="18" x14ac:dyDescent="0.25">
      <c r="A2" s="9">
        <v>1003</v>
      </c>
      <c r="B2" s="10" t="s">
        <v>22</v>
      </c>
      <c r="C2" s="6"/>
      <c r="D2" s="10"/>
      <c r="E2" s="10"/>
      <c r="F2" s="10"/>
      <c r="G2" s="10"/>
      <c r="H2" s="10"/>
      <c r="I2" s="7"/>
      <c r="J2" s="7"/>
      <c r="K2" s="44"/>
      <c r="M2" s="8"/>
      <c r="N2" s="8"/>
    </row>
    <row r="3" spans="1:14" x14ac:dyDescent="0.25">
      <c r="A3" s="6"/>
      <c r="B3" s="7"/>
      <c r="C3" s="7"/>
      <c r="D3" s="7"/>
      <c r="E3" s="7"/>
      <c r="F3" s="7"/>
      <c r="G3" s="7"/>
      <c r="H3" s="7"/>
      <c r="I3" s="7"/>
      <c r="J3" s="7"/>
      <c r="K3" s="44"/>
      <c r="M3" s="8"/>
      <c r="N3" s="8"/>
    </row>
    <row r="4" spans="1:14" ht="51.75" customHeight="1" x14ac:dyDescent="0.25">
      <c r="A4" s="5" t="s">
        <v>23</v>
      </c>
      <c r="B4" s="5" t="s">
        <v>24</v>
      </c>
      <c r="C4" s="5" t="s">
        <v>25</v>
      </c>
      <c r="D4" s="5" t="s">
        <v>26</v>
      </c>
      <c r="E4" s="5" t="s">
        <v>27</v>
      </c>
      <c r="F4" s="5" t="s">
        <v>28</v>
      </c>
      <c r="G4" s="5" t="s">
        <v>29</v>
      </c>
      <c r="H4" s="5" t="s">
        <v>30</v>
      </c>
      <c r="I4" s="5" t="s">
        <v>31</v>
      </c>
      <c r="J4" s="5" t="s">
        <v>32</v>
      </c>
      <c r="K4" s="35" t="s">
        <v>33</v>
      </c>
      <c r="L4" s="35" t="s">
        <v>34</v>
      </c>
      <c r="M4" s="11" t="s">
        <v>35</v>
      </c>
      <c r="N4" s="11" t="s">
        <v>36</v>
      </c>
    </row>
    <row r="5" spans="1:14" ht="15.75" x14ac:dyDescent="0.25">
      <c r="A5" s="40"/>
      <c r="B5" s="6"/>
      <c r="J5" s="38"/>
      <c r="K5" s="45"/>
      <c r="L5" s="45"/>
      <c r="M5" s="39"/>
      <c r="N5" s="39"/>
    </row>
  </sheetData>
  <mergeCells count="1">
    <mergeCell ref="D1:H1"/>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
  <sheetViews>
    <sheetView workbookViewId="0">
      <pane ySplit="4" topLeftCell="A5" activePane="bottomLeft" state="frozen"/>
      <selection pane="bottomLeft" activeCell="A5" sqref="A5"/>
    </sheetView>
  </sheetViews>
  <sheetFormatPr baseColWidth="10" defaultRowHeight="15" x14ac:dyDescent="0.25"/>
  <cols>
    <col min="9" max="9" width="20.28515625" customWidth="1"/>
    <col min="10" max="10" width="29.85546875" customWidth="1"/>
    <col min="11" max="11" width="31.7109375" customWidth="1"/>
  </cols>
  <sheetData>
    <row r="1" spans="1:11" x14ac:dyDescent="0.25">
      <c r="A1" s="12"/>
      <c r="B1" s="12"/>
      <c r="C1" s="12"/>
      <c r="D1" s="12"/>
      <c r="E1" s="12"/>
      <c r="F1" s="12"/>
      <c r="G1" s="12"/>
      <c r="H1" s="12"/>
      <c r="I1" s="13"/>
      <c r="J1" s="14"/>
    </row>
    <row r="2" spans="1:11" ht="18" x14ac:dyDescent="0.25">
      <c r="A2" s="15">
        <v>1005</v>
      </c>
      <c r="B2" s="15" t="s">
        <v>43</v>
      </c>
      <c r="C2" s="15"/>
      <c r="D2" s="16"/>
      <c r="E2" s="16"/>
      <c r="F2" s="16"/>
      <c r="G2" s="16"/>
      <c r="H2" s="16"/>
      <c r="I2" s="17"/>
      <c r="J2" s="18"/>
    </row>
    <row r="3" spans="1:11" ht="18" x14ac:dyDescent="0.25">
      <c r="A3" s="12" t="s">
        <v>37</v>
      </c>
      <c r="B3" s="16"/>
      <c r="C3" s="16"/>
      <c r="D3" s="16"/>
      <c r="E3" s="16"/>
      <c r="F3" s="16"/>
      <c r="G3" s="16"/>
      <c r="H3" s="16"/>
      <c r="I3" s="17"/>
      <c r="J3" s="18"/>
    </row>
    <row r="4" spans="1:11" ht="65.25" customHeight="1" x14ac:dyDescent="0.25">
      <c r="A4" s="5" t="s">
        <v>38</v>
      </c>
      <c r="B4" s="5" t="s">
        <v>39</v>
      </c>
      <c r="C4" s="5" t="s">
        <v>40</v>
      </c>
      <c r="D4" s="5" t="s">
        <v>27</v>
      </c>
      <c r="E4" s="5" t="s">
        <v>28</v>
      </c>
      <c r="F4" s="5" t="s">
        <v>29</v>
      </c>
      <c r="G4" s="5" t="s">
        <v>30</v>
      </c>
      <c r="H4" s="5" t="s">
        <v>31</v>
      </c>
      <c r="I4" s="5" t="s">
        <v>41</v>
      </c>
      <c r="J4" s="5" t="s">
        <v>42</v>
      </c>
      <c r="K4" s="5" t="s">
        <v>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
  <sheetViews>
    <sheetView workbookViewId="0">
      <pane ySplit="4" topLeftCell="A5" activePane="bottomLeft" state="frozen"/>
      <selection pane="bottomLeft" activeCell="A5" sqref="A5"/>
    </sheetView>
  </sheetViews>
  <sheetFormatPr baseColWidth="10" defaultRowHeight="15" x14ac:dyDescent="0.25"/>
  <cols>
    <col min="1" max="1" width="14" customWidth="1"/>
    <col min="2" max="2" width="13.42578125" customWidth="1"/>
    <col min="10" max="10" width="25.42578125" customWidth="1"/>
    <col min="11" max="11" width="23.28515625" customWidth="1"/>
  </cols>
  <sheetData>
    <row r="1" spans="1:11" x14ac:dyDescent="0.25">
      <c r="A1" s="6"/>
      <c r="B1" s="6"/>
      <c r="C1" s="6"/>
      <c r="D1" s="6"/>
      <c r="E1" s="6"/>
      <c r="F1" s="6"/>
      <c r="G1" s="6"/>
      <c r="H1" s="6"/>
      <c r="I1" s="19"/>
      <c r="J1" s="19"/>
      <c r="K1" s="20"/>
    </row>
    <row r="2" spans="1:11" ht="18" x14ac:dyDescent="0.25">
      <c r="A2" s="21">
        <v>1006</v>
      </c>
      <c r="B2" s="21" t="s">
        <v>45</v>
      </c>
      <c r="C2" s="6"/>
      <c r="D2" s="6"/>
      <c r="E2" s="6"/>
      <c r="F2" s="6"/>
      <c r="G2" s="6"/>
      <c r="H2" s="6"/>
      <c r="I2" s="19"/>
      <c r="J2" s="19"/>
      <c r="K2" s="20"/>
    </row>
    <row r="3" spans="1:11" x14ac:dyDescent="0.25">
      <c r="A3" s="22" t="s">
        <v>46</v>
      </c>
      <c r="B3" s="6"/>
      <c r="C3" s="6"/>
      <c r="D3" s="6"/>
      <c r="E3" s="6"/>
      <c r="F3" s="6"/>
      <c r="G3" s="6"/>
      <c r="H3" s="6"/>
      <c r="I3" s="19"/>
      <c r="J3" s="19"/>
      <c r="K3" s="20"/>
    </row>
    <row r="4" spans="1:11" ht="67.5" customHeight="1" x14ac:dyDescent="0.25">
      <c r="A4" s="5" t="s">
        <v>38</v>
      </c>
      <c r="B4" s="5" t="s">
        <v>47</v>
      </c>
      <c r="C4" s="5" t="s">
        <v>26</v>
      </c>
      <c r="D4" s="5" t="s">
        <v>27</v>
      </c>
      <c r="E4" s="5" t="s">
        <v>28</v>
      </c>
      <c r="F4" s="5" t="s">
        <v>29</v>
      </c>
      <c r="G4" s="5" t="s">
        <v>30</v>
      </c>
      <c r="H4" s="5" t="s">
        <v>31</v>
      </c>
      <c r="I4" s="23" t="s">
        <v>48</v>
      </c>
      <c r="J4" s="23" t="s">
        <v>49</v>
      </c>
      <c r="K4" s="24" t="s">
        <v>50</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5"/>
  <sheetViews>
    <sheetView workbookViewId="0">
      <pane ySplit="4" topLeftCell="A5" activePane="bottomLeft" state="frozen"/>
      <selection pane="bottomLeft" activeCell="G21" sqref="G21"/>
    </sheetView>
  </sheetViews>
  <sheetFormatPr baseColWidth="10" defaultRowHeight="15" x14ac:dyDescent="0.25"/>
  <cols>
    <col min="3" max="3" width="20.140625" customWidth="1"/>
    <col min="4" max="4" width="29" customWidth="1"/>
    <col min="5" max="5" width="23.7109375" customWidth="1"/>
    <col min="6" max="7" width="19.7109375" customWidth="1"/>
    <col min="8" max="8" width="40" customWidth="1"/>
    <col min="9" max="9" width="17.5703125" customWidth="1"/>
    <col min="10" max="10" width="16.85546875" style="36" bestFit="1" customWidth="1"/>
    <col min="11" max="11" width="22" customWidth="1"/>
  </cols>
  <sheetData>
    <row r="1" spans="1:11" x14ac:dyDescent="0.25">
      <c r="A1" s="6"/>
      <c r="B1" s="6"/>
      <c r="C1" s="22"/>
      <c r="D1" s="6"/>
      <c r="E1" s="6"/>
      <c r="F1" s="6"/>
      <c r="G1" s="6"/>
      <c r="H1" s="25"/>
      <c r="I1" s="25"/>
      <c r="K1" s="20"/>
    </row>
    <row r="2" spans="1:11" ht="18" x14ac:dyDescent="0.25">
      <c r="A2" s="21">
        <v>1007</v>
      </c>
      <c r="B2" s="21" t="s">
        <v>51</v>
      </c>
      <c r="C2" s="22"/>
      <c r="D2" s="6"/>
      <c r="E2" s="6"/>
      <c r="F2" s="6"/>
      <c r="G2" s="6"/>
      <c r="H2" s="26"/>
      <c r="I2" s="26"/>
      <c r="K2" s="20"/>
    </row>
    <row r="3" spans="1:11" x14ac:dyDescent="0.25">
      <c r="A3" s="22" t="s">
        <v>53</v>
      </c>
      <c r="B3" s="6"/>
      <c r="C3" s="22"/>
      <c r="D3" s="6"/>
      <c r="E3" s="6"/>
      <c r="F3" s="6"/>
      <c r="G3" s="6"/>
      <c r="H3" s="25"/>
      <c r="I3" s="25"/>
      <c r="K3" s="20"/>
    </row>
    <row r="4" spans="1:11" ht="38.25" x14ac:dyDescent="0.25">
      <c r="A4" s="5" t="s">
        <v>23</v>
      </c>
      <c r="B4" s="5" t="s">
        <v>24</v>
      </c>
      <c r="C4" s="5" t="s">
        <v>54</v>
      </c>
      <c r="D4" s="5" t="s">
        <v>3</v>
      </c>
      <c r="E4" s="5" t="s">
        <v>4</v>
      </c>
      <c r="F4" s="5" t="s">
        <v>5</v>
      </c>
      <c r="G4" s="5" t="s">
        <v>6</v>
      </c>
      <c r="H4" s="5" t="s">
        <v>7</v>
      </c>
      <c r="I4" s="5" t="s">
        <v>11</v>
      </c>
      <c r="J4" s="42" t="s">
        <v>56</v>
      </c>
      <c r="K4" s="24" t="s">
        <v>57</v>
      </c>
    </row>
    <row r="5" spans="1:11" ht="15.75" x14ac:dyDescent="0.25">
      <c r="A5" s="6" t="s">
        <v>188</v>
      </c>
      <c r="B5" s="6" t="s">
        <v>181</v>
      </c>
      <c r="C5" s="41" t="s">
        <v>176</v>
      </c>
      <c r="D5" t="s">
        <v>178</v>
      </c>
      <c r="E5" t="s">
        <v>179</v>
      </c>
      <c r="F5" t="s">
        <v>177</v>
      </c>
      <c r="I5">
        <v>169</v>
      </c>
      <c r="J5" s="36">
        <v>8067949</v>
      </c>
      <c r="K5" s="39">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5"/>
  <sheetViews>
    <sheetView workbookViewId="0">
      <pane ySplit="4" topLeftCell="A5" activePane="bottomLeft" state="frozen"/>
      <selection pane="bottomLeft" activeCell="C5" sqref="C5"/>
    </sheetView>
  </sheetViews>
  <sheetFormatPr baseColWidth="10" defaultRowHeight="15" x14ac:dyDescent="0.25"/>
  <cols>
    <col min="3" max="3" width="14.5703125" customWidth="1"/>
    <col min="5" max="5" width="17.28515625" customWidth="1"/>
    <col min="6" max="6" width="15.140625" customWidth="1"/>
    <col min="7" max="7" width="16.85546875" customWidth="1"/>
    <col min="8" max="8" width="15.5703125" customWidth="1"/>
    <col min="9" max="9" width="42.5703125" customWidth="1"/>
    <col min="10" max="10" width="19.140625" customWidth="1"/>
    <col min="13" max="13" width="14.42578125" customWidth="1"/>
    <col min="14" max="14" width="15.28515625" customWidth="1"/>
  </cols>
  <sheetData>
    <row r="1" spans="1:14" x14ac:dyDescent="0.25">
      <c r="A1" s="6"/>
      <c r="B1" s="6"/>
      <c r="C1" s="6"/>
      <c r="D1" s="6"/>
      <c r="E1" s="6"/>
      <c r="F1" s="6"/>
      <c r="G1" s="6"/>
      <c r="H1" s="6"/>
      <c r="I1" s="6"/>
      <c r="J1" s="6"/>
      <c r="K1" s="6"/>
      <c r="L1" s="6"/>
      <c r="M1" s="25"/>
      <c r="N1" s="20"/>
    </row>
    <row r="2" spans="1:14" ht="18" x14ac:dyDescent="0.25">
      <c r="A2" s="21">
        <v>1008</v>
      </c>
      <c r="B2" s="21" t="s">
        <v>58</v>
      </c>
      <c r="C2" s="6"/>
      <c r="D2" s="6"/>
      <c r="E2" s="6"/>
      <c r="F2" s="6"/>
      <c r="G2" s="6"/>
      <c r="H2" s="6"/>
      <c r="I2" s="6"/>
      <c r="J2" s="6"/>
      <c r="K2" s="6"/>
      <c r="L2" s="6"/>
      <c r="M2" s="26" t="s">
        <v>52</v>
      </c>
      <c r="N2" s="20"/>
    </row>
    <row r="3" spans="1:14" x14ac:dyDescent="0.25">
      <c r="A3" s="6"/>
      <c r="B3" s="6"/>
      <c r="C3" s="6"/>
      <c r="D3" s="6"/>
      <c r="E3" s="6"/>
      <c r="F3" s="6"/>
      <c r="G3" s="6"/>
      <c r="H3" s="6"/>
      <c r="I3" s="6"/>
      <c r="J3" s="6"/>
      <c r="K3" s="6"/>
      <c r="L3" s="6"/>
      <c r="M3" s="25"/>
      <c r="N3" s="20"/>
    </row>
    <row r="4" spans="1:14" ht="38.25" x14ac:dyDescent="0.25">
      <c r="A4" s="5" t="s">
        <v>23</v>
      </c>
      <c r="B4" s="5" t="s">
        <v>24</v>
      </c>
      <c r="C4" s="5" t="s">
        <v>25</v>
      </c>
      <c r="D4" s="5" t="s">
        <v>26</v>
      </c>
      <c r="E4" s="5" t="s">
        <v>59</v>
      </c>
      <c r="F4" s="5" t="s">
        <v>60</v>
      </c>
      <c r="G4" s="5" t="s">
        <v>61</v>
      </c>
      <c r="H4" s="5" t="s">
        <v>62</v>
      </c>
      <c r="I4" s="5" t="s">
        <v>63</v>
      </c>
      <c r="J4" s="5" t="s">
        <v>32</v>
      </c>
      <c r="K4" s="5" t="s">
        <v>33</v>
      </c>
      <c r="L4" s="5" t="s">
        <v>34</v>
      </c>
      <c r="M4" s="27" t="s">
        <v>55</v>
      </c>
      <c r="N4" s="24" t="s">
        <v>64</v>
      </c>
    </row>
    <row r="5" spans="1:14" x14ac:dyDescent="0.25">
      <c r="A5" s="6" t="s">
        <v>223</v>
      </c>
      <c r="B5" s="6" t="s">
        <v>159</v>
      </c>
      <c r="C5" t="s">
        <v>189</v>
      </c>
      <c r="I5" t="s">
        <v>190</v>
      </c>
      <c r="J5" s="40" t="s">
        <v>192</v>
      </c>
      <c r="K5" s="40" t="s">
        <v>193</v>
      </c>
      <c r="L5" s="40" t="s">
        <v>194</v>
      </c>
      <c r="M5" s="43" t="s">
        <v>191</v>
      </c>
      <c r="N5" s="20">
        <f>29462592+1473715+26457115</f>
        <v>57393422</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5"/>
  <sheetViews>
    <sheetView workbookViewId="0">
      <pane ySplit="5" topLeftCell="A6" activePane="bottomLeft" state="frozen"/>
      <selection pane="bottomLeft" activeCell="A6" sqref="A6"/>
    </sheetView>
  </sheetViews>
  <sheetFormatPr baseColWidth="10" defaultRowHeight="15" x14ac:dyDescent="0.25"/>
  <cols>
    <col min="5" max="5" width="14.85546875" customWidth="1"/>
    <col min="6" max="6" width="18.28515625" customWidth="1"/>
    <col min="7" max="7" width="14.5703125" customWidth="1"/>
    <col min="8" max="8" width="15.85546875" customWidth="1"/>
    <col min="9" max="9" width="24.42578125" customWidth="1"/>
    <col min="13" max="13" width="16.85546875" customWidth="1"/>
    <col min="14" max="14" width="19" customWidth="1"/>
  </cols>
  <sheetData>
    <row r="1" spans="1:14" x14ac:dyDescent="0.25">
      <c r="A1" s="6"/>
      <c r="B1" s="6"/>
      <c r="C1" s="6"/>
      <c r="D1" s="6"/>
      <c r="E1" s="6"/>
      <c r="F1" s="6"/>
      <c r="G1" s="6"/>
      <c r="H1" s="6"/>
      <c r="I1" s="6"/>
      <c r="J1" s="6"/>
      <c r="K1" s="6"/>
      <c r="L1" s="6"/>
      <c r="M1" s="25"/>
      <c r="N1" s="28"/>
    </row>
    <row r="2" spans="1:14" ht="18" x14ac:dyDescent="0.25">
      <c r="A2" s="21">
        <v>1009</v>
      </c>
      <c r="B2" s="21" t="s">
        <v>65</v>
      </c>
      <c r="C2" s="6"/>
      <c r="D2" s="6"/>
      <c r="E2" s="6"/>
      <c r="F2" s="6"/>
      <c r="G2" s="29"/>
      <c r="H2" s="6"/>
      <c r="I2" s="6"/>
      <c r="J2" s="6"/>
      <c r="K2" s="6"/>
      <c r="L2" s="6"/>
      <c r="M2" s="26" t="s">
        <v>52</v>
      </c>
      <c r="N2" s="28"/>
    </row>
    <row r="3" spans="1:14" x14ac:dyDescent="0.25">
      <c r="A3" s="6"/>
      <c r="B3" s="6"/>
      <c r="C3" s="6"/>
      <c r="D3" s="6"/>
      <c r="E3" s="6"/>
      <c r="F3" s="6"/>
      <c r="G3" s="6"/>
      <c r="H3" s="6"/>
      <c r="I3" s="6"/>
      <c r="J3" s="6"/>
      <c r="K3" s="6"/>
      <c r="L3" s="6"/>
      <c r="M3" s="25"/>
      <c r="N3" s="28"/>
    </row>
    <row r="4" spans="1:14" x14ac:dyDescent="0.25">
      <c r="A4" s="6"/>
      <c r="B4" s="6"/>
      <c r="C4" s="6"/>
      <c r="D4" s="6"/>
      <c r="E4" s="6"/>
      <c r="F4" s="6"/>
      <c r="G4" s="6"/>
      <c r="H4" s="6"/>
      <c r="I4" s="6"/>
      <c r="J4" s="6"/>
      <c r="K4" s="6"/>
      <c r="L4" s="6"/>
      <c r="M4" s="25"/>
      <c r="N4" s="28"/>
    </row>
    <row r="5" spans="1:14" ht="38.25" x14ac:dyDescent="0.25">
      <c r="A5" s="30" t="s">
        <v>23</v>
      </c>
      <c r="B5" s="30" t="s">
        <v>24</v>
      </c>
      <c r="C5" s="30" t="s">
        <v>25</v>
      </c>
      <c r="D5" s="30" t="s">
        <v>26</v>
      </c>
      <c r="E5" s="30" t="s">
        <v>66</v>
      </c>
      <c r="F5" s="30" t="s">
        <v>67</v>
      </c>
      <c r="G5" s="30" t="s">
        <v>68</v>
      </c>
      <c r="H5" s="30" t="s">
        <v>69</v>
      </c>
      <c r="I5" s="30" t="s">
        <v>70</v>
      </c>
      <c r="J5" s="30" t="s">
        <v>32</v>
      </c>
      <c r="K5" s="30" t="s">
        <v>33</v>
      </c>
      <c r="L5" s="30" t="s">
        <v>34</v>
      </c>
      <c r="M5" s="31" t="s">
        <v>55</v>
      </c>
      <c r="N5" s="32" t="s">
        <v>71</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7"/>
  <sheetViews>
    <sheetView workbookViewId="0">
      <selection activeCell="A5" sqref="A5:P7"/>
    </sheetView>
  </sheetViews>
  <sheetFormatPr baseColWidth="10" defaultRowHeight="15" x14ac:dyDescent="0.25"/>
  <cols>
    <col min="15" max="15" width="16" customWidth="1"/>
    <col min="16" max="16" width="16.42578125" customWidth="1"/>
  </cols>
  <sheetData>
    <row r="1" spans="1:16" ht="18" x14ac:dyDescent="0.25">
      <c r="A1" s="21">
        <v>1010</v>
      </c>
      <c r="B1" s="21" t="s">
        <v>217</v>
      </c>
      <c r="C1" s="6"/>
      <c r="D1" s="6"/>
      <c r="E1" s="6"/>
      <c r="F1" s="6"/>
      <c r="G1" s="6"/>
      <c r="H1" s="6"/>
      <c r="I1" s="6"/>
      <c r="J1" s="6"/>
      <c r="K1" s="6"/>
      <c r="L1" s="25"/>
      <c r="M1" s="46"/>
      <c r="N1" s="46" t="s">
        <v>208</v>
      </c>
      <c r="O1" s="46"/>
    </row>
    <row r="2" spans="1:16" ht="18" x14ac:dyDescent="0.25">
      <c r="A2" s="22" t="s">
        <v>209</v>
      </c>
      <c r="B2" s="6"/>
      <c r="C2" s="6"/>
      <c r="D2" s="6"/>
      <c r="E2" s="6"/>
      <c r="F2" s="6"/>
      <c r="G2" s="6"/>
      <c r="H2" s="6"/>
      <c r="I2" s="6"/>
      <c r="J2" s="6"/>
      <c r="K2" s="6"/>
      <c r="L2" s="26"/>
      <c r="M2" s="46"/>
      <c r="N2" s="46"/>
      <c r="O2" s="46"/>
    </row>
    <row r="3" spans="1:16" ht="89.25" x14ac:dyDescent="0.25">
      <c r="A3" s="5" t="s">
        <v>24</v>
      </c>
      <c r="B3" s="5" t="s">
        <v>210</v>
      </c>
      <c r="C3" s="5" t="s">
        <v>26</v>
      </c>
      <c r="D3" s="5" t="s">
        <v>211</v>
      </c>
      <c r="E3" s="5" t="s">
        <v>218</v>
      </c>
      <c r="F3" s="5" t="s">
        <v>212</v>
      </c>
      <c r="G3" s="5" t="s">
        <v>213</v>
      </c>
      <c r="H3" s="5" t="s">
        <v>70</v>
      </c>
      <c r="I3" s="5" t="s">
        <v>32</v>
      </c>
      <c r="J3" s="5" t="s">
        <v>33</v>
      </c>
      <c r="K3" s="5" t="s">
        <v>34</v>
      </c>
      <c r="L3" s="5" t="s">
        <v>55</v>
      </c>
      <c r="M3" s="24" t="s">
        <v>219</v>
      </c>
      <c r="N3" s="24" t="s">
        <v>220</v>
      </c>
      <c r="O3" s="24" t="s">
        <v>221</v>
      </c>
      <c r="P3" s="48" t="s">
        <v>222</v>
      </c>
    </row>
    <row r="4" spans="1:16" x14ac:dyDescent="0.25">
      <c r="A4" s="22" t="s">
        <v>181</v>
      </c>
      <c r="B4" s="22" t="s">
        <v>214</v>
      </c>
      <c r="C4" s="6"/>
      <c r="D4" s="22" t="s">
        <v>157</v>
      </c>
      <c r="E4" s="22" t="s">
        <v>158</v>
      </c>
      <c r="F4" s="22" t="s">
        <v>215</v>
      </c>
      <c r="G4" s="22" t="s">
        <v>180</v>
      </c>
      <c r="H4" s="6"/>
      <c r="I4" s="6" t="s">
        <v>216</v>
      </c>
      <c r="J4" s="22" t="s">
        <v>193</v>
      </c>
      <c r="K4" s="22" t="s">
        <v>194</v>
      </c>
      <c r="L4" s="22" t="s">
        <v>191</v>
      </c>
      <c r="M4" s="47">
        <v>2500000</v>
      </c>
      <c r="N4" s="47">
        <v>0</v>
      </c>
      <c r="O4" s="46">
        <v>0</v>
      </c>
      <c r="P4">
        <v>0</v>
      </c>
    </row>
    <row r="5" spans="1:16" x14ac:dyDescent="0.25">
      <c r="A5" s="22"/>
      <c r="B5" s="22"/>
      <c r="C5" s="6"/>
      <c r="D5" s="22"/>
      <c r="E5" s="22"/>
      <c r="F5" s="22"/>
      <c r="G5" s="22"/>
      <c r="H5" s="22"/>
      <c r="I5" s="6"/>
      <c r="J5" s="22"/>
      <c r="K5" s="22"/>
      <c r="L5" s="22"/>
      <c r="M5" s="47"/>
      <c r="N5" s="47"/>
      <c r="O5" s="46"/>
    </row>
    <row r="6" spans="1:16" x14ac:dyDescent="0.25">
      <c r="A6" s="22"/>
      <c r="B6" s="22"/>
      <c r="C6" s="6"/>
      <c r="D6" s="22"/>
      <c r="E6" s="22"/>
      <c r="F6" s="22"/>
      <c r="G6" s="22"/>
      <c r="H6" s="6"/>
      <c r="I6" s="6"/>
      <c r="J6" s="22"/>
      <c r="K6" s="22"/>
      <c r="L6" s="22"/>
      <c r="M6" s="47"/>
      <c r="N6" s="47"/>
      <c r="O6" s="46"/>
    </row>
    <row r="7" spans="1:16" x14ac:dyDescent="0.25">
      <c r="A7" s="22"/>
      <c r="B7" s="6"/>
      <c r="C7" s="6"/>
      <c r="D7" s="22"/>
      <c r="E7" s="22"/>
      <c r="F7" s="22"/>
      <c r="G7" s="22"/>
      <c r="H7" s="6"/>
      <c r="I7" s="6"/>
      <c r="J7" s="22"/>
      <c r="K7" s="22"/>
      <c r="L7" s="22"/>
      <c r="M7" s="47"/>
      <c r="N7" s="47"/>
      <c r="O7" s="46"/>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G86"/>
  <sheetViews>
    <sheetView workbookViewId="0">
      <pane ySplit="3" topLeftCell="A4" activePane="bottomLeft" state="frozen"/>
      <selection pane="bottomLeft" activeCell="A4" sqref="A4"/>
    </sheetView>
  </sheetViews>
  <sheetFormatPr baseColWidth="10" defaultRowHeight="15" x14ac:dyDescent="0.25"/>
  <cols>
    <col min="1" max="1" width="9.7109375" customWidth="1"/>
    <col min="2" max="2" width="79.5703125" customWidth="1"/>
    <col min="3" max="3" width="13.5703125" customWidth="1"/>
    <col min="4" max="4" width="61.42578125" customWidth="1"/>
    <col min="6" max="6" width="12.28515625" customWidth="1"/>
    <col min="7" max="7" width="63.7109375" customWidth="1"/>
  </cols>
  <sheetData>
    <row r="2" spans="1:7" x14ac:dyDescent="0.25">
      <c r="A2" s="50" t="s">
        <v>72</v>
      </c>
      <c r="B2" s="50"/>
      <c r="C2" s="50" t="s">
        <v>160</v>
      </c>
      <c r="D2" s="50"/>
      <c r="F2" s="50" t="s">
        <v>195</v>
      </c>
      <c r="G2" s="50"/>
    </row>
    <row r="3" spans="1:7" x14ac:dyDescent="0.25">
      <c r="A3" s="33" t="s">
        <v>23</v>
      </c>
      <c r="B3" s="33" t="s">
        <v>73</v>
      </c>
      <c r="C3" s="33" t="s">
        <v>23</v>
      </c>
      <c r="D3" s="33" t="s">
        <v>73</v>
      </c>
      <c r="F3" s="33" t="s">
        <v>23</v>
      </c>
      <c r="G3" s="33" t="s">
        <v>73</v>
      </c>
    </row>
    <row r="4" spans="1:7" x14ac:dyDescent="0.25">
      <c r="A4">
        <v>5002</v>
      </c>
      <c r="B4" t="s">
        <v>74</v>
      </c>
      <c r="C4">
        <v>1301</v>
      </c>
      <c r="D4" t="s">
        <v>161</v>
      </c>
      <c r="F4">
        <v>1315</v>
      </c>
      <c r="G4" t="s">
        <v>196</v>
      </c>
    </row>
    <row r="5" spans="1:7" x14ac:dyDescent="0.25">
      <c r="A5">
        <v>5003</v>
      </c>
      <c r="B5" t="s">
        <v>75</v>
      </c>
      <c r="C5">
        <v>1302</v>
      </c>
      <c r="D5" t="s">
        <v>162</v>
      </c>
      <c r="F5">
        <v>1316</v>
      </c>
      <c r="G5" t="s">
        <v>197</v>
      </c>
    </row>
    <row r="6" spans="1:7" x14ac:dyDescent="0.25">
      <c r="A6">
        <v>5004</v>
      </c>
      <c r="B6" t="s">
        <v>76</v>
      </c>
      <c r="C6">
        <v>1303</v>
      </c>
      <c r="D6" t="s">
        <v>163</v>
      </c>
      <c r="F6">
        <v>1317</v>
      </c>
      <c r="G6" t="s">
        <v>198</v>
      </c>
    </row>
    <row r="7" spans="1:7" x14ac:dyDescent="0.25">
      <c r="A7">
        <v>5005</v>
      </c>
      <c r="B7" t="s">
        <v>77</v>
      </c>
      <c r="C7">
        <v>1304</v>
      </c>
      <c r="D7" t="s">
        <v>164</v>
      </c>
      <c r="F7">
        <v>1318</v>
      </c>
      <c r="G7" t="s">
        <v>199</v>
      </c>
    </row>
    <row r="8" spans="1:7" ht="15.75" customHeight="1" x14ac:dyDescent="0.25">
      <c r="A8">
        <v>5006</v>
      </c>
      <c r="B8" t="s">
        <v>78</v>
      </c>
      <c r="C8">
        <v>1305</v>
      </c>
      <c r="D8" t="s">
        <v>165</v>
      </c>
    </row>
    <row r="9" spans="1:7" x14ac:dyDescent="0.25">
      <c r="A9">
        <v>5007</v>
      </c>
      <c r="B9" t="s">
        <v>79</v>
      </c>
      <c r="C9">
        <v>1306</v>
      </c>
      <c r="D9" t="s">
        <v>166</v>
      </c>
    </row>
    <row r="10" spans="1:7" x14ac:dyDescent="0.25">
      <c r="A10">
        <v>5008</v>
      </c>
      <c r="B10" t="s">
        <v>80</v>
      </c>
      <c r="C10">
        <v>1307</v>
      </c>
      <c r="D10" t="s">
        <v>167</v>
      </c>
    </row>
    <row r="11" spans="1:7" x14ac:dyDescent="0.25">
      <c r="A11">
        <v>5010</v>
      </c>
      <c r="B11" t="s">
        <v>86</v>
      </c>
      <c r="C11">
        <v>1308</v>
      </c>
      <c r="D11" t="s">
        <v>168</v>
      </c>
    </row>
    <row r="12" spans="1:7" x14ac:dyDescent="0.25">
      <c r="A12">
        <v>5011</v>
      </c>
      <c r="B12" t="s">
        <v>81</v>
      </c>
      <c r="C12">
        <v>1309</v>
      </c>
      <c r="D12" t="s">
        <v>169</v>
      </c>
    </row>
    <row r="13" spans="1:7" x14ac:dyDescent="0.25">
      <c r="A13">
        <v>5012</v>
      </c>
      <c r="B13" t="s">
        <v>82</v>
      </c>
      <c r="C13">
        <v>1310</v>
      </c>
      <c r="D13" t="s">
        <v>170</v>
      </c>
    </row>
    <row r="14" spans="1:7" x14ac:dyDescent="0.25">
      <c r="A14">
        <v>5013</v>
      </c>
      <c r="B14" t="s">
        <v>87</v>
      </c>
      <c r="C14">
        <v>1311</v>
      </c>
      <c r="D14" t="s">
        <v>171</v>
      </c>
    </row>
    <row r="15" spans="1:7" x14ac:dyDescent="0.25">
      <c r="A15">
        <v>5014</v>
      </c>
      <c r="B15" t="s">
        <v>88</v>
      </c>
      <c r="C15">
        <v>1312</v>
      </c>
      <c r="D15" t="s">
        <v>172</v>
      </c>
    </row>
    <row r="16" spans="1:7" x14ac:dyDescent="0.25">
      <c r="A16">
        <v>5015</v>
      </c>
      <c r="B16" t="s">
        <v>89</v>
      </c>
      <c r="C16">
        <v>1313</v>
      </c>
      <c r="D16" t="s">
        <v>173</v>
      </c>
    </row>
    <row r="17" spans="1:4" x14ac:dyDescent="0.25">
      <c r="A17">
        <v>5016</v>
      </c>
      <c r="B17" t="s">
        <v>90</v>
      </c>
      <c r="C17">
        <v>1314</v>
      </c>
      <c r="D17" t="s">
        <v>174</v>
      </c>
    </row>
    <row r="18" spans="1:4" x14ac:dyDescent="0.25">
      <c r="A18">
        <v>5018</v>
      </c>
      <c r="B18" t="s">
        <v>91</v>
      </c>
      <c r="C18">
        <v>1320</v>
      </c>
      <c r="D18" t="s">
        <v>175</v>
      </c>
    </row>
    <row r="19" spans="1:4" x14ac:dyDescent="0.25">
      <c r="A19">
        <v>5019</v>
      </c>
      <c r="B19" t="s">
        <v>92</v>
      </c>
    </row>
    <row r="20" spans="1:4" x14ac:dyDescent="0.25">
      <c r="A20">
        <v>5020</v>
      </c>
      <c r="B20" t="s">
        <v>93</v>
      </c>
      <c r="C20" s="50" t="s">
        <v>182</v>
      </c>
      <c r="D20" s="50"/>
    </row>
    <row r="21" spans="1:4" x14ac:dyDescent="0.25">
      <c r="A21">
        <v>5023</v>
      </c>
      <c r="B21" t="s">
        <v>94</v>
      </c>
      <c r="C21" s="33" t="s">
        <v>23</v>
      </c>
      <c r="D21" s="33" t="s">
        <v>73</v>
      </c>
    </row>
    <row r="22" spans="1:4" x14ac:dyDescent="0.25">
      <c r="A22">
        <v>5024</v>
      </c>
      <c r="B22" t="s">
        <v>95</v>
      </c>
      <c r="C22">
        <v>4001</v>
      </c>
      <c r="D22" t="s">
        <v>183</v>
      </c>
    </row>
    <row r="23" spans="1:4" x14ac:dyDescent="0.25">
      <c r="A23">
        <v>5025</v>
      </c>
      <c r="B23" t="s">
        <v>96</v>
      </c>
      <c r="C23">
        <v>4002</v>
      </c>
      <c r="D23" t="s">
        <v>184</v>
      </c>
    </row>
    <row r="24" spans="1:4" x14ac:dyDescent="0.25">
      <c r="A24">
        <v>5026</v>
      </c>
      <c r="B24" t="s">
        <v>97</v>
      </c>
      <c r="C24">
        <v>4003</v>
      </c>
      <c r="D24" t="s">
        <v>185</v>
      </c>
    </row>
    <row r="25" spans="1:4" x14ac:dyDescent="0.25">
      <c r="A25">
        <v>5027</v>
      </c>
      <c r="B25" t="s">
        <v>98</v>
      </c>
      <c r="C25">
        <v>4004</v>
      </c>
      <c r="D25" t="s">
        <v>186</v>
      </c>
    </row>
    <row r="26" spans="1:4" x14ac:dyDescent="0.25">
      <c r="A26">
        <v>5028</v>
      </c>
      <c r="B26" t="s">
        <v>99</v>
      </c>
      <c r="C26">
        <v>4005</v>
      </c>
      <c r="D26" t="s">
        <v>187</v>
      </c>
    </row>
    <row r="27" spans="1:4" x14ac:dyDescent="0.25">
      <c r="A27">
        <v>5029</v>
      </c>
      <c r="B27" t="s">
        <v>100</v>
      </c>
      <c r="C27">
        <v>4006</v>
      </c>
      <c r="D27" t="s">
        <v>200</v>
      </c>
    </row>
    <row r="28" spans="1:4" x14ac:dyDescent="0.25">
      <c r="A28">
        <v>5030</v>
      </c>
      <c r="B28" t="s">
        <v>101</v>
      </c>
      <c r="C28">
        <v>4007</v>
      </c>
      <c r="D28" t="s">
        <v>201</v>
      </c>
    </row>
    <row r="29" spans="1:4" x14ac:dyDescent="0.25">
      <c r="A29">
        <v>5031</v>
      </c>
      <c r="B29" t="s">
        <v>102</v>
      </c>
      <c r="C29">
        <v>4008</v>
      </c>
      <c r="D29" t="s">
        <v>202</v>
      </c>
    </row>
    <row r="30" spans="1:4" x14ac:dyDescent="0.25">
      <c r="A30">
        <v>5032</v>
      </c>
      <c r="B30" t="s">
        <v>103</v>
      </c>
      <c r="C30">
        <v>4009</v>
      </c>
      <c r="D30" t="s">
        <v>203</v>
      </c>
    </row>
    <row r="31" spans="1:4" x14ac:dyDescent="0.25">
      <c r="A31">
        <v>5033</v>
      </c>
      <c r="B31" t="s">
        <v>104</v>
      </c>
      <c r="C31">
        <v>4011</v>
      </c>
      <c r="D31" t="s">
        <v>204</v>
      </c>
    </row>
    <row r="32" spans="1:4" x14ac:dyDescent="0.25">
      <c r="A32">
        <v>5034</v>
      </c>
      <c r="B32" t="s">
        <v>105</v>
      </c>
      <c r="C32">
        <v>4012</v>
      </c>
      <c r="D32" t="s">
        <v>205</v>
      </c>
    </row>
    <row r="33" spans="1:4" x14ac:dyDescent="0.25">
      <c r="A33">
        <v>5035</v>
      </c>
      <c r="B33" t="s">
        <v>106</v>
      </c>
      <c r="C33">
        <v>4013</v>
      </c>
      <c r="D33" t="s">
        <v>206</v>
      </c>
    </row>
    <row r="34" spans="1:4" x14ac:dyDescent="0.25">
      <c r="A34">
        <v>5040</v>
      </c>
      <c r="B34" t="s">
        <v>107</v>
      </c>
      <c r="C34">
        <v>4014</v>
      </c>
      <c r="D34" t="s">
        <v>207</v>
      </c>
    </row>
    <row r="35" spans="1:4" x14ac:dyDescent="0.25">
      <c r="A35">
        <v>5045</v>
      </c>
      <c r="B35" t="s">
        <v>108</v>
      </c>
      <c r="C35">
        <v>4015</v>
      </c>
    </row>
    <row r="36" spans="1:4" x14ac:dyDescent="0.25">
      <c r="A36">
        <v>5046</v>
      </c>
      <c r="B36" t="s">
        <v>109</v>
      </c>
      <c r="C36">
        <v>4016</v>
      </c>
    </row>
    <row r="37" spans="1:4" x14ac:dyDescent="0.25">
      <c r="A37">
        <v>5047</v>
      </c>
      <c r="B37" t="s">
        <v>110</v>
      </c>
      <c r="C37">
        <v>4017</v>
      </c>
    </row>
    <row r="38" spans="1:4" x14ac:dyDescent="0.25">
      <c r="A38">
        <v>5048</v>
      </c>
      <c r="B38" t="s">
        <v>111</v>
      </c>
      <c r="C38">
        <v>4018</v>
      </c>
    </row>
    <row r="39" spans="1:4" x14ac:dyDescent="0.25">
      <c r="A39">
        <v>5053</v>
      </c>
      <c r="B39" t="s">
        <v>112</v>
      </c>
      <c r="C39">
        <v>4019</v>
      </c>
    </row>
    <row r="40" spans="1:4" x14ac:dyDescent="0.25">
      <c r="A40">
        <v>5054</v>
      </c>
      <c r="B40" t="s">
        <v>113</v>
      </c>
      <c r="C40">
        <v>4020</v>
      </c>
    </row>
    <row r="41" spans="1:4" x14ac:dyDescent="0.25">
      <c r="A41">
        <v>5055</v>
      </c>
      <c r="B41" t="s">
        <v>83</v>
      </c>
      <c r="C41">
        <v>4021</v>
      </c>
    </row>
    <row r="42" spans="1:4" x14ac:dyDescent="0.25">
      <c r="A42">
        <v>5056</v>
      </c>
      <c r="B42" t="s">
        <v>84</v>
      </c>
      <c r="C42">
        <v>4022</v>
      </c>
    </row>
    <row r="43" spans="1:4" x14ac:dyDescent="0.25">
      <c r="A43">
        <v>5058</v>
      </c>
      <c r="B43" t="s">
        <v>114</v>
      </c>
      <c r="C43">
        <v>4023</v>
      </c>
    </row>
    <row r="44" spans="1:4" x14ac:dyDescent="0.25">
      <c r="A44">
        <v>5059</v>
      </c>
      <c r="B44" t="s">
        <v>115</v>
      </c>
      <c r="C44">
        <v>4024</v>
      </c>
    </row>
    <row r="45" spans="1:4" x14ac:dyDescent="0.25">
      <c r="A45">
        <v>5060</v>
      </c>
      <c r="B45" t="s">
        <v>116</v>
      </c>
    </row>
    <row r="46" spans="1:4" x14ac:dyDescent="0.25">
      <c r="A46">
        <v>5061</v>
      </c>
      <c r="B46" t="s">
        <v>117</v>
      </c>
    </row>
    <row r="47" spans="1:4" x14ac:dyDescent="0.25">
      <c r="A47">
        <v>5063</v>
      </c>
      <c r="B47" t="s">
        <v>118</v>
      </c>
    </row>
    <row r="48" spans="1:4" x14ac:dyDescent="0.25">
      <c r="A48">
        <v>5064</v>
      </c>
      <c r="B48" t="s">
        <v>119</v>
      </c>
    </row>
    <row r="49" spans="1:2" x14ac:dyDescent="0.25">
      <c r="A49">
        <v>5065</v>
      </c>
      <c r="B49" t="s">
        <v>120</v>
      </c>
    </row>
    <row r="50" spans="1:2" x14ac:dyDescent="0.25">
      <c r="A50">
        <v>5066</v>
      </c>
      <c r="B50" t="s">
        <v>121</v>
      </c>
    </row>
    <row r="51" spans="1:2" x14ac:dyDescent="0.25">
      <c r="A51">
        <v>5067</v>
      </c>
      <c r="B51" t="s">
        <v>122</v>
      </c>
    </row>
    <row r="52" spans="1:2" x14ac:dyDescent="0.25">
      <c r="A52">
        <v>5068</v>
      </c>
      <c r="B52" t="s">
        <v>123</v>
      </c>
    </row>
    <row r="53" spans="1:2" x14ac:dyDescent="0.25">
      <c r="A53">
        <v>5069</v>
      </c>
      <c r="B53" t="s">
        <v>124</v>
      </c>
    </row>
    <row r="54" spans="1:2" x14ac:dyDescent="0.25">
      <c r="A54">
        <v>5070</v>
      </c>
      <c r="B54" t="s">
        <v>125</v>
      </c>
    </row>
    <row r="55" spans="1:2" x14ac:dyDescent="0.25">
      <c r="A55">
        <v>5071</v>
      </c>
      <c r="B55" t="s">
        <v>126</v>
      </c>
    </row>
    <row r="56" spans="1:2" x14ac:dyDescent="0.25">
      <c r="A56">
        <v>5072</v>
      </c>
      <c r="B56" t="s">
        <v>127</v>
      </c>
    </row>
    <row r="57" spans="1:2" x14ac:dyDescent="0.25">
      <c r="A57">
        <v>5073</v>
      </c>
      <c r="B57" t="s">
        <v>128</v>
      </c>
    </row>
    <row r="58" spans="1:2" x14ac:dyDescent="0.25">
      <c r="A58">
        <v>5074</v>
      </c>
      <c r="B58" t="s">
        <v>129</v>
      </c>
    </row>
    <row r="59" spans="1:2" x14ac:dyDescent="0.25">
      <c r="A59">
        <v>5075</v>
      </c>
      <c r="B59" t="s">
        <v>130</v>
      </c>
    </row>
    <row r="60" spans="1:2" x14ac:dyDescent="0.25">
      <c r="A60">
        <v>5076</v>
      </c>
      <c r="B60" t="s">
        <v>131</v>
      </c>
    </row>
    <row r="61" spans="1:2" x14ac:dyDescent="0.25">
      <c r="A61">
        <v>5079</v>
      </c>
      <c r="B61" t="s">
        <v>132</v>
      </c>
    </row>
    <row r="62" spans="1:2" x14ac:dyDescent="0.25">
      <c r="A62">
        <v>5080</v>
      </c>
      <c r="B62" t="s">
        <v>133</v>
      </c>
    </row>
    <row r="63" spans="1:2" x14ac:dyDescent="0.25">
      <c r="A63">
        <v>5081</v>
      </c>
      <c r="B63" t="s">
        <v>134</v>
      </c>
    </row>
    <row r="64" spans="1:2" x14ac:dyDescent="0.25">
      <c r="A64">
        <v>5082</v>
      </c>
      <c r="B64" t="s">
        <v>135</v>
      </c>
    </row>
    <row r="65" spans="1:2" x14ac:dyDescent="0.25">
      <c r="A65">
        <v>5083</v>
      </c>
      <c r="B65" t="s">
        <v>136</v>
      </c>
    </row>
    <row r="66" spans="1:2" x14ac:dyDescent="0.25">
      <c r="A66">
        <v>5084</v>
      </c>
      <c r="B66" t="s">
        <v>137</v>
      </c>
    </row>
    <row r="67" spans="1:2" x14ac:dyDescent="0.25">
      <c r="A67">
        <v>5085</v>
      </c>
      <c r="B67" t="s">
        <v>138</v>
      </c>
    </row>
    <row r="68" spans="1:2" x14ac:dyDescent="0.25">
      <c r="A68">
        <v>5086</v>
      </c>
      <c r="B68" t="s">
        <v>139</v>
      </c>
    </row>
    <row r="69" spans="1:2" x14ac:dyDescent="0.25">
      <c r="A69">
        <v>5087</v>
      </c>
      <c r="B69" t="s">
        <v>140</v>
      </c>
    </row>
    <row r="70" spans="1:2" x14ac:dyDescent="0.25">
      <c r="A70">
        <v>5088</v>
      </c>
      <c r="B70" t="s">
        <v>141</v>
      </c>
    </row>
    <row r="71" spans="1:2" x14ac:dyDescent="0.25">
      <c r="A71">
        <v>5089</v>
      </c>
      <c r="B71" t="s">
        <v>142</v>
      </c>
    </row>
    <row r="72" spans="1:2" x14ac:dyDescent="0.25">
      <c r="A72">
        <v>5090</v>
      </c>
      <c r="B72" t="s">
        <v>143</v>
      </c>
    </row>
    <row r="73" spans="1:2" x14ac:dyDescent="0.25">
      <c r="A73">
        <v>5089</v>
      </c>
      <c r="B73" t="s">
        <v>85</v>
      </c>
    </row>
    <row r="74" spans="1:2" x14ac:dyDescent="0.25">
      <c r="A74">
        <v>5090</v>
      </c>
      <c r="B74" t="s">
        <v>145</v>
      </c>
    </row>
    <row r="75" spans="1:2" x14ac:dyDescent="0.25">
      <c r="A75">
        <v>5091</v>
      </c>
      <c r="B75" t="s">
        <v>144</v>
      </c>
    </row>
    <row r="76" spans="1:2" x14ac:dyDescent="0.25">
      <c r="A76">
        <v>5092</v>
      </c>
      <c r="B76" t="s">
        <v>146</v>
      </c>
    </row>
    <row r="77" spans="1:2" x14ac:dyDescent="0.25">
      <c r="A77">
        <v>5093</v>
      </c>
      <c r="B77" t="s">
        <v>147</v>
      </c>
    </row>
    <row r="78" spans="1:2" x14ac:dyDescent="0.25">
      <c r="A78">
        <v>5094</v>
      </c>
      <c r="B78" t="s">
        <v>148</v>
      </c>
    </row>
    <row r="79" spans="1:2" x14ac:dyDescent="0.25">
      <c r="A79">
        <v>5095</v>
      </c>
      <c r="B79" t="s">
        <v>149</v>
      </c>
    </row>
    <row r="80" spans="1:2" x14ac:dyDescent="0.25">
      <c r="A80">
        <v>5096</v>
      </c>
      <c r="B80" t="s">
        <v>150</v>
      </c>
    </row>
    <row r="81" spans="1:2" x14ac:dyDescent="0.25">
      <c r="A81">
        <v>5097</v>
      </c>
      <c r="B81" t="s">
        <v>151</v>
      </c>
    </row>
    <row r="82" spans="1:2" x14ac:dyDescent="0.25">
      <c r="A82">
        <v>5098</v>
      </c>
      <c r="B82" t="s">
        <v>152</v>
      </c>
    </row>
    <row r="83" spans="1:2" x14ac:dyDescent="0.25">
      <c r="A83">
        <v>5099</v>
      </c>
      <c r="B83" t="s">
        <v>153</v>
      </c>
    </row>
    <row r="84" spans="1:2" x14ac:dyDescent="0.25">
      <c r="A84">
        <v>5100</v>
      </c>
      <c r="B84" t="s">
        <v>154</v>
      </c>
    </row>
    <row r="85" spans="1:2" x14ac:dyDescent="0.25">
      <c r="A85">
        <v>5101</v>
      </c>
      <c r="B85" t="s">
        <v>155</v>
      </c>
    </row>
    <row r="86" spans="1:2" x14ac:dyDescent="0.25">
      <c r="A86">
        <v>5102</v>
      </c>
      <c r="B86" t="s">
        <v>156</v>
      </c>
    </row>
  </sheetData>
  <mergeCells count="4">
    <mergeCell ref="A2:B2"/>
    <mergeCell ref="C2:D2"/>
    <mergeCell ref="C20:D20"/>
    <mergeCell ref="F2:G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79B9F-CFFB-47AA-940F-847B40384FF1}">
  <dimension ref="A2:H65"/>
  <sheetViews>
    <sheetView tabSelected="1" workbookViewId="0">
      <pane ySplit="2" topLeftCell="A3" activePane="bottomLeft" state="frozen"/>
      <selection pane="bottomLeft" activeCell="G28" sqref="G28:G65"/>
    </sheetView>
  </sheetViews>
  <sheetFormatPr baseColWidth="10" defaultRowHeight="15" x14ac:dyDescent="0.25"/>
  <cols>
    <col min="1" max="1" width="15.5703125" customWidth="1"/>
    <col min="2" max="2" width="37.42578125" customWidth="1"/>
    <col min="8" max="8" width="70.5703125" customWidth="1"/>
  </cols>
  <sheetData>
    <row r="2" spans="1:8" x14ac:dyDescent="0.25">
      <c r="A2" s="51" t="s">
        <v>293</v>
      </c>
      <c r="B2" s="51" t="s">
        <v>8</v>
      </c>
      <c r="C2" s="51" t="s">
        <v>224</v>
      </c>
      <c r="D2" s="51" t="s">
        <v>225</v>
      </c>
      <c r="E2" s="52" t="s">
        <v>224</v>
      </c>
      <c r="F2" s="52" t="s">
        <v>226</v>
      </c>
      <c r="G2" s="52" t="s">
        <v>357</v>
      </c>
      <c r="H2" s="55" t="s">
        <v>294</v>
      </c>
    </row>
    <row r="3" spans="1:8" x14ac:dyDescent="0.25">
      <c r="A3" s="53">
        <v>900276962</v>
      </c>
      <c r="B3" s="54" t="s">
        <v>227</v>
      </c>
      <c r="C3" t="s">
        <v>228</v>
      </c>
      <c r="D3" t="s">
        <v>229</v>
      </c>
      <c r="E3" s="6" t="s">
        <v>230</v>
      </c>
      <c r="F3" s="6" t="s">
        <v>231</v>
      </c>
      <c r="G3" s="6" t="s">
        <v>159</v>
      </c>
      <c r="H3" t="s">
        <v>295</v>
      </c>
    </row>
    <row r="4" spans="1:8" x14ac:dyDescent="0.25">
      <c r="A4" s="53">
        <v>901873198</v>
      </c>
      <c r="B4" s="54" t="s">
        <v>232</v>
      </c>
      <c r="C4" t="s">
        <v>228</v>
      </c>
      <c r="D4" t="s">
        <v>233</v>
      </c>
      <c r="E4" s="6" t="s">
        <v>230</v>
      </c>
      <c r="F4" s="6" t="s">
        <v>234</v>
      </c>
      <c r="G4" s="6" t="s">
        <v>159</v>
      </c>
      <c r="H4" t="s">
        <v>296</v>
      </c>
    </row>
    <row r="5" spans="1:8" x14ac:dyDescent="0.25">
      <c r="A5" s="53">
        <v>32826857</v>
      </c>
      <c r="B5" s="54" t="s">
        <v>235</v>
      </c>
      <c r="C5" t="s">
        <v>228</v>
      </c>
      <c r="D5" t="s">
        <v>229</v>
      </c>
      <c r="E5" s="6" t="s">
        <v>230</v>
      </c>
      <c r="F5" s="6" t="s">
        <v>231</v>
      </c>
      <c r="G5" s="6"/>
      <c r="H5" t="s">
        <v>297</v>
      </c>
    </row>
    <row r="6" spans="1:8" x14ac:dyDescent="0.25">
      <c r="A6" s="53">
        <v>800051755</v>
      </c>
      <c r="B6" s="54" t="s">
        <v>236</v>
      </c>
      <c r="C6" t="s">
        <v>228</v>
      </c>
      <c r="D6" t="s">
        <v>229</v>
      </c>
      <c r="E6" s="6" t="s">
        <v>230</v>
      </c>
      <c r="F6" s="6" t="s">
        <v>231</v>
      </c>
      <c r="G6" s="6" t="s">
        <v>159</v>
      </c>
      <c r="H6" t="s">
        <v>298</v>
      </c>
    </row>
    <row r="7" spans="1:8" x14ac:dyDescent="0.25">
      <c r="A7" s="53">
        <v>800165377</v>
      </c>
      <c r="B7" s="54" t="s">
        <v>237</v>
      </c>
      <c r="C7" t="s">
        <v>228</v>
      </c>
      <c r="D7" t="s">
        <v>229</v>
      </c>
      <c r="E7" s="6" t="s">
        <v>230</v>
      </c>
      <c r="F7" s="6" t="s">
        <v>231</v>
      </c>
      <c r="G7" s="6" t="s">
        <v>159</v>
      </c>
      <c r="H7" t="s">
        <v>299</v>
      </c>
    </row>
    <row r="8" spans="1:8" x14ac:dyDescent="0.25">
      <c r="A8" s="53">
        <v>800165720</v>
      </c>
      <c r="B8" s="54" t="s">
        <v>238</v>
      </c>
      <c r="C8" t="s">
        <v>228</v>
      </c>
      <c r="D8" t="s">
        <v>229</v>
      </c>
      <c r="E8" s="6" t="s">
        <v>230</v>
      </c>
      <c r="F8" s="6" t="s">
        <v>231</v>
      </c>
      <c r="G8" s="6" t="s">
        <v>159</v>
      </c>
      <c r="H8" t="s">
        <v>300</v>
      </c>
    </row>
    <row r="9" spans="1:8" x14ac:dyDescent="0.25">
      <c r="A9" s="53">
        <v>800165815</v>
      </c>
      <c r="B9" s="54" t="s">
        <v>239</v>
      </c>
      <c r="C9" t="s">
        <v>240</v>
      </c>
      <c r="D9" t="s">
        <v>241</v>
      </c>
      <c r="E9" s="6" t="s">
        <v>242</v>
      </c>
      <c r="F9" s="6" t="s">
        <v>231</v>
      </c>
      <c r="G9" s="6" t="s">
        <v>159</v>
      </c>
      <c r="H9" t="s">
        <v>301</v>
      </c>
    </row>
    <row r="10" spans="1:8" x14ac:dyDescent="0.25">
      <c r="A10" s="53">
        <v>800242106</v>
      </c>
      <c r="B10" s="54" t="s">
        <v>243</v>
      </c>
      <c r="C10" t="s">
        <v>228</v>
      </c>
      <c r="D10" t="s">
        <v>229</v>
      </c>
      <c r="E10" s="6" t="s">
        <v>230</v>
      </c>
      <c r="F10" s="6" t="s">
        <v>231</v>
      </c>
      <c r="G10" s="6" t="s">
        <v>159</v>
      </c>
      <c r="H10" t="s">
        <v>302</v>
      </c>
    </row>
    <row r="11" spans="1:8" x14ac:dyDescent="0.25">
      <c r="A11" s="53">
        <v>802002267</v>
      </c>
      <c r="B11" s="54" t="s">
        <v>244</v>
      </c>
      <c r="C11" t="s">
        <v>228</v>
      </c>
      <c r="D11" t="s">
        <v>229</v>
      </c>
      <c r="E11" s="6" t="s">
        <v>230</v>
      </c>
      <c r="F11" s="6" t="s">
        <v>231</v>
      </c>
      <c r="G11" s="6" t="s">
        <v>159</v>
      </c>
      <c r="H11" t="s">
        <v>303</v>
      </c>
    </row>
    <row r="12" spans="1:8" x14ac:dyDescent="0.25">
      <c r="A12" s="53">
        <v>802003599</v>
      </c>
      <c r="B12" s="54" t="s">
        <v>245</v>
      </c>
      <c r="C12" t="s">
        <v>228</v>
      </c>
      <c r="D12" t="s">
        <v>229</v>
      </c>
      <c r="E12" s="6" t="s">
        <v>230</v>
      </c>
      <c r="F12" s="6" t="s">
        <v>231</v>
      </c>
      <c r="G12" s="6" t="s">
        <v>159</v>
      </c>
      <c r="H12" t="s">
        <v>304</v>
      </c>
    </row>
    <row r="13" spans="1:8" x14ac:dyDescent="0.25">
      <c r="A13" s="53">
        <v>802004266</v>
      </c>
      <c r="B13" s="54" t="s">
        <v>246</v>
      </c>
      <c r="C13" t="s">
        <v>228</v>
      </c>
      <c r="D13" t="s">
        <v>229</v>
      </c>
      <c r="E13" s="6" t="s">
        <v>230</v>
      </c>
      <c r="F13" s="6" t="s">
        <v>231</v>
      </c>
      <c r="G13" s="6" t="s">
        <v>159</v>
      </c>
      <c r="H13" t="s">
        <v>305</v>
      </c>
    </row>
    <row r="14" spans="1:8" x14ac:dyDescent="0.25">
      <c r="A14" s="53">
        <v>802006391</v>
      </c>
      <c r="B14" s="54" t="s">
        <v>247</v>
      </c>
      <c r="C14" t="s">
        <v>228</v>
      </c>
      <c r="D14" t="s">
        <v>229</v>
      </c>
      <c r="E14" s="6" t="s">
        <v>230</v>
      </c>
      <c r="F14" s="6" t="s">
        <v>231</v>
      </c>
      <c r="G14" s="6" t="s">
        <v>159</v>
      </c>
      <c r="H14" t="s">
        <v>306</v>
      </c>
    </row>
    <row r="15" spans="1:8" x14ac:dyDescent="0.25">
      <c r="A15" s="53">
        <v>802017066</v>
      </c>
      <c r="B15" s="54" t="s">
        <v>248</v>
      </c>
      <c r="C15" t="s">
        <v>228</v>
      </c>
      <c r="D15" t="s">
        <v>229</v>
      </c>
      <c r="E15" s="6" t="s">
        <v>230</v>
      </c>
      <c r="F15" s="6" t="s">
        <v>231</v>
      </c>
      <c r="G15" s="6" t="s">
        <v>159</v>
      </c>
      <c r="H15" t="s">
        <v>307</v>
      </c>
    </row>
    <row r="16" spans="1:8" x14ac:dyDescent="0.25">
      <c r="A16" s="53">
        <v>802023507</v>
      </c>
      <c r="B16" s="54" t="s">
        <v>249</v>
      </c>
      <c r="C16" t="s">
        <v>228</v>
      </c>
      <c r="D16" t="s">
        <v>229</v>
      </c>
      <c r="E16" s="6" t="s">
        <v>230</v>
      </c>
      <c r="F16" s="6" t="s">
        <v>231</v>
      </c>
      <c r="G16" s="6" t="s">
        <v>159</v>
      </c>
      <c r="H16" t="s">
        <v>308</v>
      </c>
    </row>
    <row r="17" spans="1:8" x14ac:dyDescent="0.25">
      <c r="A17" s="53">
        <v>811009788</v>
      </c>
      <c r="B17" s="54" t="s">
        <v>250</v>
      </c>
      <c r="C17" t="s">
        <v>228</v>
      </c>
      <c r="D17" t="s">
        <v>229</v>
      </c>
      <c r="E17" s="6" t="s">
        <v>230</v>
      </c>
      <c r="F17" s="6" t="s">
        <v>231</v>
      </c>
      <c r="G17" s="6" t="s">
        <v>159</v>
      </c>
      <c r="H17" t="s">
        <v>309</v>
      </c>
    </row>
    <row r="18" spans="1:8" x14ac:dyDescent="0.25">
      <c r="A18" s="53">
        <v>811028650</v>
      </c>
      <c r="B18" s="54" t="s">
        <v>251</v>
      </c>
      <c r="C18" t="s">
        <v>228</v>
      </c>
      <c r="D18" t="s">
        <v>229</v>
      </c>
      <c r="E18" s="6" t="s">
        <v>230</v>
      </c>
      <c r="F18" s="6" t="s">
        <v>231</v>
      </c>
      <c r="G18" s="6" t="s">
        <v>159</v>
      </c>
      <c r="H18" t="s">
        <v>310</v>
      </c>
    </row>
    <row r="19" spans="1:8" x14ac:dyDescent="0.25">
      <c r="A19" s="53">
        <v>816008774</v>
      </c>
      <c r="B19" s="54" t="s">
        <v>252</v>
      </c>
      <c r="C19" t="s">
        <v>228</v>
      </c>
      <c r="D19" t="s">
        <v>229</v>
      </c>
      <c r="E19" s="6" t="s">
        <v>230</v>
      </c>
      <c r="F19" s="6" t="s">
        <v>231</v>
      </c>
      <c r="G19" s="6" t="s">
        <v>159</v>
      </c>
      <c r="H19" t="s">
        <v>311</v>
      </c>
    </row>
    <row r="20" spans="1:8" x14ac:dyDescent="0.25">
      <c r="A20" s="53">
        <v>830087848</v>
      </c>
      <c r="B20" s="54" t="s">
        <v>253</v>
      </c>
      <c r="C20" t="s">
        <v>228</v>
      </c>
      <c r="D20" t="s">
        <v>229</v>
      </c>
      <c r="E20" s="6" t="s">
        <v>230</v>
      </c>
      <c r="F20" s="6" t="s">
        <v>231</v>
      </c>
      <c r="G20" s="6" t="s">
        <v>159</v>
      </c>
      <c r="H20" t="s">
        <v>312</v>
      </c>
    </row>
    <row r="21" spans="1:8" x14ac:dyDescent="0.25">
      <c r="A21" s="53">
        <v>860001307</v>
      </c>
      <c r="B21" s="54" t="s">
        <v>254</v>
      </c>
      <c r="C21" t="s">
        <v>228</v>
      </c>
      <c r="D21" t="s">
        <v>229</v>
      </c>
      <c r="E21" s="6" t="s">
        <v>230</v>
      </c>
      <c r="F21" s="6" t="s">
        <v>231</v>
      </c>
      <c r="G21" s="6" t="s">
        <v>159</v>
      </c>
      <c r="H21" t="s">
        <v>313</v>
      </c>
    </row>
    <row r="22" spans="1:8" x14ac:dyDescent="0.25">
      <c r="A22" s="53">
        <v>860001965</v>
      </c>
      <c r="B22" s="54" t="s">
        <v>255</v>
      </c>
      <c r="C22" t="s">
        <v>228</v>
      </c>
      <c r="D22" t="s">
        <v>229</v>
      </c>
      <c r="E22" s="6" t="s">
        <v>230</v>
      </c>
      <c r="F22" s="6" t="s">
        <v>231</v>
      </c>
      <c r="G22" s="6" t="s">
        <v>159</v>
      </c>
      <c r="H22" t="s">
        <v>314</v>
      </c>
    </row>
    <row r="23" spans="1:8" x14ac:dyDescent="0.25">
      <c r="A23" s="53">
        <v>860002536</v>
      </c>
      <c r="B23" s="54" t="s">
        <v>256</v>
      </c>
      <c r="C23" t="s">
        <v>228</v>
      </c>
      <c r="D23" t="s">
        <v>229</v>
      </c>
      <c r="E23" s="6" t="s">
        <v>230</v>
      </c>
      <c r="F23" s="6" t="s">
        <v>231</v>
      </c>
      <c r="G23" s="6" t="s">
        <v>159</v>
      </c>
      <c r="H23" t="s">
        <v>315</v>
      </c>
    </row>
    <row r="24" spans="1:8" x14ac:dyDescent="0.25">
      <c r="A24" s="53">
        <v>860039794</v>
      </c>
      <c r="B24" s="54" t="s">
        <v>257</v>
      </c>
      <c r="C24" t="s">
        <v>228</v>
      </c>
      <c r="D24" t="s">
        <v>229</v>
      </c>
      <c r="E24" s="6" t="s">
        <v>230</v>
      </c>
      <c r="F24" s="6" t="s">
        <v>231</v>
      </c>
      <c r="G24" s="6" t="s">
        <v>159</v>
      </c>
      <c r="H24" t="s">
        <v>316</v>
      </c>
    </row>
    <row r="25" spans="1:8" x14ac:dyDescent="0.25">
      <c r="A25" s="53">
        <v>860500480</v>
      </c>
      <c r="B25" s="54" t="s">
        <v>258</v>
      </c>
      <c r="C25" t="s">
        <v>228</v>
      </c>
      <c r="D25" t="s">
        <v>229</v>
      </c>
      <c r="E25" s="6" t="s">
        <v>230</v>
      </c>
      <c r="F25" s="6" t="s">
        <v>231</v>
      </c>
      <c r="G25" s="6" t="s">
        <v>159</v>
      </c>
      <c r="H25" t="s">
        <v>317</v>
      </c>
    </row>
    <row r="26" spans="1:8" x14ac:dyDescent="0.25">
      <c r="A26" s="53">
        <v>860503159</v>
      </c>
      <c r="B26" s="54" t="s">
        <v>259</v>
      </c>
      <c r="C26" t="s">
        <v>228</v>
      </c>
      <c r="D26" t="s">
        <v>229</v>
      </c>
      <c r="E26" s="6" t="s">
        <v>230</v>
      </c>
      <c r="F26" s="6" t="s">
        <v>231</v>
      </c>
      <c r="G26" s="6" t="s">
        <v>159</v>
      </c>
      <c r="H26" t="s">
        <v>318</v>
      </c>
    </row>
    <row r="27" spans="1:8" x14ac:dyDescent="0.25">
      <c r="A27" s="53">
        <v>8674041</v>
      </c>
      <c r="B27" s="54" t="s">
        <v>260</v>
      </c>
      <c r="C27" t="s">
        <v>228</v>
      </c>
      <c r="D27" t="s">
        <v>229</v>
      </c>
      <c r="E27" s="6" t="s">
        <v>230</v>
      </c>
      <c r="F27" s="6" t="s">
        <v>231</v>
      </c>
      <c r="G27" s="6"/>
      <c r="H27" t="s">
        <v>319</v>
      </c>
    </row>
    <row r="28" spans="1:8" x14ac:dyDescent="0.25">
      <c r="A28" s="53">
        <v>890102010</v>
      </c>
      <c r="B28" s="54" t="s">
        <v>261</v>
      </c>
      <c r="C28" t="s">
        <v>228</v>
      </c>
      <c r="D28" t="s">
        <v>229</v>
      </c>
      <c r="E28" s="6" t="s">
        <v>230</v>
      </c>
      <c r="F28" s="6" t="s">
        <v>231</v>
      </c>
      <c r="G28" s="6" t="s">
        <v>159</v>
      </c>
      <c r="H28" t="s">
        <v>320</v>
      </c>
    </row>
    <row r="29" spans="1:8" x14ac:dyDescent="0.25">
      <c r="A29" s="53">
        <v>890102603</v>
      </c>
      <c r="B29" s="54" t="s">
        <v>262</v>
      </c>
      <c r="C29" t="s">
        <v>228</v>
      </c>
      <c r="D29" t="s">
        <v>229</v>
      </c>
      <c r="E29" s="6" t="s">
        <v>230</v>
      </c>
      <c r="F29" s="6" t="s">
        <v>231</v>
      </c>
      <c r="G29" s="6" t="s">
        <v>159</v>
      </c>
      <c r="H29" t="s">
        <v>321</v>
      </c>
    </row>
    <row r="30" spans="1:8" x14ac:dyDescent="0.25">
      <c r="A30" s="53">
        <v>890115118</v>
      </c>
      <c r="B30" s="54" t="s">
        <v>262</v>
      </c>
      <c r="C30" t="s">
        <v>228</v>
      </c>
      <c r="D30" t="s">
        <v>229</v>
      </c>
      <c r="E30" s="6" t="s">
        <v>230</v>
      </c>
      <c r="F30" s="6" t="s">
        <v>231</v>
      </c>
      <c r="G30" s="6" t="s">
        <v>159</v>
      </c>
      <c r="H30" t="s">
        <v>322</v>
      </c>
    </row>
    <row r="31" spans="1:8" x14ac:dyDescent="0.25">
      <c r="A31" s="53">
        <v>890115294</v>
      </c>
      <c r="B31" s="54" t="s">
        <v>263</v>
      </c>
      <c r="C31" t="s">
        <v>228</v>
      </c>
      <c r="D31" t="s">
        <v>229</v>
      </c>
      <c r="E31" s="6" t="s">
        <v>230</v>
      </c>
      <c r="F31" s="6" t="s">
        <v>231</v>
      </c>
      <c r="G31" s="6" t="s">
        <v>159</v>
      </c>
      <c r="H31" t="s">
        <v>323</v>
      </c>
    </row>
    <row r="32" spans="1:8" x14ac:dyDescent="0.25">
      <c r="A32" s="53">
        <v>890900943</v>
      </c>
      <c r="B32" s="54" t="s">
        <v>264</v>
      </c>
      <c r="C32" t="s">
        <v>228</v>
      </c>
      <c r="D32" t="s">
        <v>229</v>
      </c>
      <c r="E32" s="6" t="s">
        <v>230</v>
      </c>
      <c r="F32" s="6" t="s">
        <v>231</v>
      </c>
      <c r="G32" s="6" t="s">
        <v>159</v>
      </c>
      <c r="H32" t="s">
        <v>324</v>
      </c>
    </row>
    <row r="33" spans="1:8" x14ac:dyDescent="0.25">
      <c r="A33" s="53">
        <v>900021337</v>
      </c>
      <c r="B33" s="54" t="s">
        <v>265</v>
      </c>
      <c r="C33" t="s">
        <v>228</v>
      </c>
      <c r="D33" t="s">
        <v>229</v>
      </c>
      <c r="E33" s="6" t="s">
        <v>230</v>
      </c>
      <c r="F33" s="6" t="s">
        <v>231</v>
      </c>
      <c r="G33" s="6" t="s">
        <v>159</v>
      </c>
      <c r="H33" t="s">
        <v>325</v>
      </c>
    </row>
    <row r="34" spans="1:8" x14ac:dyDescent="0.25">
      <c r="A34" s="53">
        <v>900059238</v>
      </c>
      <c r="B34" s="54" t="s">
        <v>235</v>
      </c>
      <c r="C34" t="s">
        <v>228</v>
      </c>
      <c r="D34" t="s">
        <v>229</v>
      </c>
      <c r="E34" s="6" t="s">
        <v>230</v>
      </c>
      <c r="F34" s="6" t="s">
        <v>231</v>
      </c>
      <c r="G34" s="6" t="s">
        <v>159</v>
      </c>
      <c r="H34" t="s">
        <v>326</v>
      </c>
    </row>
    <row r="35" spans="1:8" x14ac:dyDescent="0.25">
      <c r="A35" s="53">
        <v>900214193</v>
      </c>
      <c r="B35" s="54" t="s">
        <v>266</v>
      </c>
      <c r="C35" t="s">
        <v>228</v>
      </c>
      <c r="D35" t="s">
        <v>229</v>
      </c>
      <c r="E35" s="6" t="s">
        <v>230</v>
      </c>
      <c r="F35" s="6" t="s">
        <v>231</v>
      </c>
      <c r="G35" s="6" t="s">
        <v>159</v>
      </c>
      <c r="H35" t="s">
        <v>327</v>
      </c>
    </row>
    <row r="36" spans="1:8" x14ac:dyDescent="0.25">
      <c r="A36" s="53">
        <v>900230625</v>
      </c>
      <c r="B36" s="54" t="s">
        <v>267</v>
      </c>
      <c r="C36" t="s">
        <v>228</v>
      </c>
      <c r="D36" t="s">
        <v>229</v>
      </c>
      <c r="E36" s="6" t="s">
        <v>230</v>
      </c>
      <c r="F36" s="6" t="s">
        <v>231</v>
      </c>
      <c r="G36" s="6" t="s">
        <v>159</v>
      </c>
      <c r="H36" t="s">
        <v>328</v>
      </c>
    </row>
    <row r="37" spans="1:8" x14ac:dyDescent="0.25">
      <c r="A37" s="53">
        <v>900276962</v>
      </c>
      <c r="B37" s="54" t="s">
        <v>227</v>
      </c>
      <c r="C37" t="s">
        <v>228</v>
      </c>
      <c r="D37" t="s">
        <v>229</v>
      </c>
      <c r="E37" s="6" t="s">
        <v>230</v>
      </c>
      <c r="F37" s="6" t="s">
        <v>231</v>
      </c>
      <c r="G37" s="6" t="s">
        <v>159</v>
      </c>
      <c r="H37" t="s">
        <v>295</v>
      </c>
    </row>
    <row r="38" spans="1:8" x14ac:dyDescent="0.25">
      <c r="A38" s="53">
        <v>900309367</v>
      </c>
      <c r="B38" s="54" t="s">
        <v>268</v>
      </c>
      <c r="C38" t="s">
        <v>228</v>
      </c>
      <c r="D38" t="s">
        <v>229</v>
      </c>
      <c r="E38" s="6" t="s">
        <v>230</v>
      </c>
      <c r="F38" s="6" t="s">
        <v>231</v>
      </c>
      <c r="G38" s="6" t="s">
        <v>159</v>
      </c>
      <c r="H38" t="s">
        <v>329</v>
      </c>
    </row>
    <row r="39" spans="1:8" x14ac:dyDescent="0.25">
      <c r="A39" s="53">
        <v>900319753</v>
      </c>
      <c r="B39" s="54" t="s">
        <v>269</v>
      </c>
      <c r="C39" t="s">
        <v>228</v>
      </c>
      <c r="D39" t="s">
        <v>229</v>
      </c>
      <c r="E39" s="6" t="s">
        <v>230</v>
      </c>
      <c r="F39" s="6" t="s">
        <v>231</v>
      </c>
      <c r="G39" s="6" t="s">
        <v>159</v>
      </c>
      <c r="H39" t="s">
        <v>330</v>
      </c>
    </row>
    <row r="40" spans="1:8" x14ac:dyDescent="0.25">
      <c r="A40" s="53">
        <v>900355557</v>
      </c>
      <c r="B40" s="54" t="s">
        <v>270</v>
      </c>
      <c r="C40" t="s">
        <v>228</v>
      </c>
      <c r="D40" t="s">
        <v>229</v>
      </c>
      <c r="E40" s="6" t="s">
        <v>230</v>
      </c>
      <c r="F40" s="6" t="s">
        <v>231</v>
      </c>
      <c r="G40" s="6" t="s">
        <v>159</v>
      </c>
      <c r="H40" t="s">
        <v>331</v>
      </c>
    </row>
    <row r="41" spans="1:8" x14ac:dyDescent="0.25">
      <c r="A41" s="53">
        <v>900383711</v>
      </c>
      <c r="B41" s="54" t="s">
        <v>271</v>
      </c>
      <c r="C41" t="s">
        <v>228</v>
      </c>
      <c r="D41" t="s">
        <v>229</v>
      </c>
      <c r="E41" s="6" t="s">
        <v>230</v>
      </c>
      <c r="F41" s="6" t="s">
        <v>231</v>
      </c>
      <c r="G41" s="6" t="s">
        <v>159</v>
      </c>
      <c r="H41" t="s">
        <v>332</v>
      </c>
    </row>
    <row r="42" spans="1:8" x14ac:dyDescent="0.25">
      <c r="A42" s="53">
        <v>900480569</v>
      </c>
      <c r="B42" s="54" t="s">
        <v>272</v>
      </c>
      <c r="C42" t="s">
        <v>228</v>
      </c>
      <c r="D42" t="s">
        <v>229</v>
      </c>
      <c r="E42" s="6" t="s">
        <v>230</v>
      </c>
      <c r="F42" s="6" t="s">
        <v>231</v>
      </c>
      <c r="G42" s="6" t="s">
        <v>159</v>
      </c>
      <c r="H42" t="s">
        <v>333</v>
      </c>
    </row>
    <row r="43" spans="1:8" x14ac:dyDescent="0.25">
      <c r="A43" s="53">
        <v>900576130</v>
      </c>
      <c r="B43" s="54" t="s">
        <v>273</v>
      </c>
      <c r="C43" t="s">
        <v>228</v>
      </c>
      <c r="D43" t="s">
        <v>229</v>
      </c>
      <c r="E43" s="6" t="s">
        <v>230</v>
      </c>
      <c r="F43" s="6" t="s">
        <v>231</v>
      </c>
      <c r="G43" s="6" t="s">
        <v>159</v>
      </c>
      <c r="H43" t="s">
        <v>334</v>
      </c>
    </row>
    <row r="44" spans="1:8" x14ac:dyDescent="0.25">
      <c r="A44" s="53">
        <v>900781464</v>
      </c>
      <c r="B44" s="54" t="s">
        <v>274</v>
      </c>
      <c r="C44" t="s">
        <v>228</v>
      </c>
      <c r="D44" t="s">
        <v>229</v>
      </c>
      <c r="E44" s="6" t="s">
        <v>230</v>
      </c>
      <c r="F44" s="6" t="s">
        <v>231</v>
      </c>
      <c r="G44" s="6" t="s">
        <v>159</v>
      </c>
      <c r="H44" t="s">
        <v>335</v>
      </c>
    </row>
    <row r="45" spans="1:8" x14ac:dyDescent="0.25">
      <c r="A45" s="53">
        <v>900834289</v>
      </c>
      <c r="B45" s="54" t="s">
        <v>275</v>
      </c>
      <c r="C45" t="s">
        <v>228</v>
      </c>
      <c r="D45" t="s">
        <v>229</v>
      </c>
      <c r="E45" s="6" t="s">
        <v>230</v>
      </c>
      <c r="F45" s="6" t="s">
        <v>231</v>
      </c>
      <c r="G45" s="6" t="s">
        <v>159</v>
      </c>
      <c r="H45" t="s">
        <v>336</v>
      </c>
    </row>
    <row r="46" spans="1:8" x14ac:dyDescent="0.25">
      <c r="A46" s="53">
        <v>900943243</v>
      </c>
      <c r="B46" s="54" t="s">
        <v>276</v>
      </c>
      <c r="C46" t="s">
        <v>228</v>
      </c>
      <c r="D46" t="s">
        <v>229</v>
      </c>
      <c r="E46" s="6" t="s">
        <v>230</v>
      </c>
      <c r="F46" s="6" t="s">
        <v>231</v>
      </c>
      <c r="G46" s="6" t="s">
        <v>159</v>
      </c>
      <c r="H46" t="s">
        <v>337</v>
      </c>
    </row>
    <row r="47" spans="1:8" x14ac:dyDescent="0.25">
      <c r="A47" s="53">
        <v>900986550</v>
      </c>
      <c r="B47" s="54" t="s">
        <v>277</v>
      </c>
      <c r="C47" t="s">
        <v>228</v>
      </c>
      <c r="D47" t="s">
        <v>229</v>
      </c>
      <c r="E47" s="6" t="s">
        <v>230</v>
      </c>
      <c r="F47" s="6" t="s">
        <v>231</v>
      </c>
      <c r="G47" s="6" t="s">
        <v>159</v>
      </c>
      <c r="H47" t="s">
        <v>338</v>
      </c>
    </row>
    <row r="48" spans="1:8" x14ac:dyDescent="0.25">
      <c r="A48" s="53">
        <v>901185697</v>
      </c>
      <c r="B48" s="54" t="s">
        <v>278</v>
      </c>
      <c r="C48" t="s">
        <v>228</v>
      </c>
      <c r="D48" t="s">
        <v>229</v>
      </c>
      <c r="E48" s="6" t="s">
        <v>230</v>
      </c>
      <c r="F48" s="6" t="s">
        <v>231</v>
      </c>
      <c r="G48" s="6" t="s">
        <v>159</v>
      </c>
      <c r="H48" t="s">
        <v>339</v>
      </c>
    </row>
    <row r="49" spans="1:8" x14ac:dyDescent="0.25">
      <c r="A49" s="53">
        <v>901213535</v>
      </c>
      <c r="B49" s="54" t="s">
        <v>279</v>
      </c>
      <c r="C49" t="s">
        <v>228</v>
      </c>
      <c r="D49" t="s">
        <v>229</v>
      </c>
      <c r="E49" s="6" t="s">
        <v>230</v>
      </c>
      <c r="F49" s="6" t="s">
        <v>231</v>
      </c>
      <c r="G49" s="6" t="s">
        <v>159</v>
      </c>
      <c r="H49" t="s">
        <v>340</v>
      </c>
    </row>
    <row r="50" spans="1:8" x14ac:dyDescent="0.25">
      <c r="A50" s="53">
        <v>901229957</v>
      </c>
      <c r="B50" s="54" t="s">
        <v>280</v>
      </c>
      <c r="C50" t="s">
        <v>228</v>
      </c>
      <c r="D50" t="s">
        <v>229</v>
      </c>
      <c r="E50" s="6" t="s">
        <v>230</v>
      </c>
      <c r="F50" s="6" t="s">
        <v>231</v>
      </c>
      <c r="G50" s="6" t="s">
        <v>159</v>
      </c>
      <c r="H50" t="s">
        <v>341</v>
      </c>
    </row>
    <row r="51" spans="1:8" x14ac:dyDescent="0.25">
      <c r="A51" s="53">
        <v>901300741</v>
      </c>
      <c r="B51" s="54" t="s">
        <v>281</v>
      </c>
      <c r="C51" t="s">
        <v>228</v>
      </c>
      <c r="D51" t="s">
        <v>229</v>
      </c>
      <c r="E51" s="6" t="s">
        <v>230</v>
      </c>
      <c r="F51" s="6" t="s">
        <v>231</v>
      </c>
      <c r="G51" s="6" t="s">
        <v>159</v>
      </c>
      <c r="H51" t="s">
        <v>342</v>
      </c>
    </row>
    <row r="52" spans="1:8" x14ac:dyDescent="0.25">
      <c r="A52" s="53">
        <v>901316914</v>
      </c>
      <c r="B52" s="54" t="s">
        <v>282</v>
      </c>
      <c r="C52" t="s">
        <v>228</v>
      </c>
      <c r="D52" t="s">
        <v>229</v>
      </c>
      <c r="E52" s="6" t="s">
        <v>230</v>
      </c>
      <c r="F52" s="6" t="s">
        <v>231</v>
      </c>
      <c r="G52" s="6" t="s">
        <v>159</v>
      </c>
      <c r="H52" t="s">
        <v>343</v>
      </c>
    </row>
    <row r="53" spans="1:8" x14ac:dyDescent="0.25">
      <c r="A53" s="53">
        <v>901320114</v>
      </c>
      <c r="B53" s="54" t="s">
        <v>283</v>
      </c>
      <c r="C53" t="s">
        <v>228</v>
      </c>
      <c r="D53" t="s">
        <v>229</v>
      </c>
      <c r="E53" s="6" t="s">
        <v>230</v>
      </c>
      <c r="F53" s="6" t="s">
        <v>231</v>
      </c>
      <c r="G53" s="6" t="s">
        <v>159</v>
      </c>
      <c r="H53" t="s">
        <v>344</v>
      </c>
    </row>
    <row r="54" spans="1:8" x14ac:dyDescent="0.25">
      <c r="A54" s="53">
        <v>901435329</v>
      </c>
      <c r="B54" s="54" t="s">
        <v>284</v>
      </c>
      <c r="C54" t="s">
        <v>228</v>
      </c>
      <c r="D54" t="s">
        <v>229</v>
      </c>
      <c r="E54" s="6" t="s">
        <v>230</v>
      </c>
      <c r="F54" s="6" t="s">
        <v>231</v>
      </c>
      <c r="G54" s="6" t="s">
        <v>159</v>
      </c>
      <c r="H54" t="s">
        <v>345</v>
      </c>
    </row>
    <row r="55" spans="1:8" x14ac:dyDescent="0.25">
      <c r="A55" s="53">
        <v>901484212</v>
      </c>
      <c r="B55" s="54" t="s">
        <v>285</v>
      </c>
      <c r="C55" t="s">
        <v>228</v>
      </c>
      <c r="D55" t="s">
        <v>229</v>
      </c>
      <c r="E55" s="6" t="s">
        <v>230</v>
      </c>
      <c r="F55" s="6" t="s">
        <v>231</v>
      </c>
      <c r="G55" s="6" t="s">
        <v>159</v>
      </c>
      <c r="H55" t="s">
        <v>346</v>
      </c>
    </row>
    <row r="56" spans="1:8" x14ac:dyDescent="0.25">
      <c r="A56" s="53">
        <v>901515225</v>
      </c>
      <c r="B56" s="54" t="s">
        <v>246</v>
      </c>
      <c r="C56" t="s">
        <v>228</v>
      </c>
      <c r="D56" t="s">
        <v>229</v>
      </c>
      <c r="E56" s="6" t="s">
        <v>230</v>
      </c>
      <c r="F56" s="6" t="s">
        <v>231</v>
      </c>
      <c r="G56" s="6" t="s">
        <v>159</v>
      </c>
      <c r="H56" t="s">
        <v>347</v>
      </c>
    </row>
    <row r="57" spans="1:8" x14ac:dyDescent="0.25">
      <c r="A57" s="53">
        <v>901565698</v>
      </c>
      <c r="B57" s="54" t="s">
        <v>286</v>
      </c>
      <c r="C57" t="s">
        <v>228</v>
      </c>
      <c r="D57" t="s">
        <v>229</v>
      </c>
      <c r="E57" s="6" t="s">
        <v>230</v>
      </c>
      <c r="F57" s="6" t="s">
        <v>231</v>
      </c>
      <c r="G57" s="6" t="s">
        <v>159</v>
      </c>
      <c r="H57" t="s">
        <v>348</v>
      </c>
    </row>
    <row r="58" spans="1:8" x14ac:dyDescent="0.25">
      <c r="A58" s="53">
        <v>901571419</v>
      </c>
      <c r="B58" s="54" t="s">
        <v>287</v>
      </c>
      <c r="C58" t="s">
        <v>228</v>
      </c>
      <c r="D58" t="s">
        <v>229</v>
      </c>
      <c r="E58" s="6" t="s">
        <v>230</v>
      </c>
      <c r="F58" s="6" t="s">
        <v>231</v>
      </c>
      <c r="G58" s="6" t="s">
        <v>159</v>
      </c>
      <c r="H58" t="s">
        <v>349</v>
      </c>
    </row>
    <row r="59" spans="1:8" x14ac:dyDescent="0.25">
      <c r="A59" s="53">
        <v>901639056</v>
      </c>
      <c r="B59" s="54" t="s">
        <v>288</v>
      </c>
      <c r="C59" t="s">
        <v>228</v>
      </c>
      <c r="D59" t="s">
        <v>229</v>
      </c>
      <c r="E59" s="6" t="s">
        <v>230</v>
      </c>
      <c r="F59" s="6" t="s">
        <v>231</v>
      </c>
      <c r="G59" s="6" t="s">
        <v>159</v>
      </c>
      <c r="H59" t="s">
        <v>350</v>
      </c>
    </row>
    <row r="60" spans="1:8" x14ac:dyDescent="0.25">
      <c r="A60" s="53">
        <v>901787342</v>
      </c>
      <c r="B60" s="54" t="s">
        <v>289</v>
      </c>
      <c r="C60" t="s">
        <v>228</v>
      </c>
      <c r="D60" t="s">
        <v>233</v>
      </c>
      <c r="E60" s="6" t="s">
        <v>230</v>
      </c>
      <c r="F60" s="6" t="s">
        <v>234</v>
      </c>
      <c r="G60" s="6" t="s">
        <v>159</v>
      </c>
      <c r="H60" t="s">
        <v>351</v>
      </c>
    </row>
    <row r="61" spans="1:8" x14ac:dyDescent="0.25">
      <c r="A61" s="53">
        <v>901793368</v>
      </c>
      <c r="B61" s="54" t="s">
        <v>290</v>
      </c>
      <c r="C61" t="s">
        <v>228</v>
      </c>
      <c r="D61" t="s">
        <v>229</v>
      </c>
      <c r="E61" s="6" t="s">
        <v>230</v>
      </c>
      <c r="F61" s="6" t="s">
        <v>231</v>
      </c>
      <c r="G61" s="6" t="s">
        <v>159</v>
      </c>
      <c r="H61" t="s">
        <v>352</v>
      </c>
    </row>
    <row r="62" spans="1:8" x14ac:dyDescent="0.25">
      <c r="A62" s="53">
        <v>901844029</v>
      </c>
      <c r="B62" s="54" t="s">
        <v>291</v>
      </c>
      <c r="C62" t="s">
        <v>228</v>
      </c>
      <c r="D62" t="s">
        <v>229</v>
      </c>
      <c r="E62" s="6" t="s">
        <v>230</v>
      </c>
      <c r="F62" s="6" t="s">
        <v>231</v>
      </c>
      <c r="G62" s="6" t="s">
        <v>159</v>
      </c>
      <c r="H62" t="s">
        <v>353</v>
      </c>
    </row>
    <row r="63" spans="1:8" x14ac:dyDescent="0.25">
      <c r="A63" s="53">
        <v>901869171</v>
      </c>
      <c r="B63" s="54" t="s">
        <v>292</v>
      </c>
      <c r="C63" t="s">
        <v>228</v>
      </c>
      <c r="D63" t="s">
        <v>229</v>
      </c>
      <c r="E63" s="6" t="s">
        <v>230</v>
      </c>
      <c r="F63" s="6" t="s">
        <v>231</v>
      </c>
      <c r="G63" s="6" t="s">
        <v>159</v>
      </c>
      <c r="H63" t="s">
        <v>354</v>
      </c>
    </row>
    <row r="64" spans="1:8" x14ac:dyDescent="0.25">
      <c r="A64" s="53">
        <v>901873198</v>
      </c>
      <c r="B64" s="54" t="s">
        <v>232</v>
      </c>
      <c r="C64" t="s">
        <v>228</v>
      </c>
      <c r="D64" t="s">
        <v>229</v>
      </c>
      <c r="E64" s="6" t="s">
        <v>230</v>
      </c>
      <c r="F64" s="6" t="s">
        <v>231</v>
      </c>
      <c r="G64" s="6" t="s">
        <v>159</v>
      </c>
      <c r="H64" t="s">
        <v>296</v>
      </c>
    </row>
    <row r="65" spans="1:8" x14ac:dyDescent="0.25">
      <c r="A65" s="54">
        <v>901905997</v>
      </c>
      <c r="B65" t="s">
        <v>355</v>
      </c>
      <c r="C65" t="s">
        <v>228</v>
      </c>
      <c r="D65" t="s">
        <v>229</v>
      </c>
      <c r="E65" s="6" t="s">
        <v>230</v>
      </c>
      <c r="F65" s="6" t="s">
        <v>231</v>
      </c>
      <c r="G65" s="6" t="s">
        <v>159</v>
      </c>
      <c r="H65" t="s">
        <v>356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F1001</vt:lpstr>
      <vt:lpstr>F1003</vt:lpstr>
      <vt:lpstr>F1005</vt:lpstr>
      <vt:lpstr>F1006</vt:lpstr>
      <vt:lpstr>F1007</vt:lpstr>
      <vt:lpstr>F1008</vt:lpstr>
      <vt:lpstr>F1009</vt:lpstr>
      <vt:lpstr>F1010</vt:lpstr>
      <vt:lpstr>info</vt:lpstr>
      <vt:lpstr>clientes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MIGUEL ZAPATA CANTILLO</dc:creator>
  <cp:lastModifiedBy>JUAN MIGUEL ZAPATA CANTILLO</cp:lastModifiedBy>
  <dcterms:created xsi:type="dcterms:W3CDTF">2026-05-16T17:11:13Z</dcterms:created>
  <dcterms:modified xsi:type="dcterms:W3CDTF">2026-05-21T04:49:35Z</dcterms:modified>
</cp:coreProperties>
</file>