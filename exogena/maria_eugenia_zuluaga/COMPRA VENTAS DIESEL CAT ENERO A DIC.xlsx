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D4057103-56BE-4463-838B-779A5F8237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orte_Documentos_20260105_184" sheetId="1" r:id="rId1"/>
    <sheet name="compras" sheetId="8" r:id="rId2"/>
    <sheet name="ventas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15" i="1" l="1"/>
  <c r="O615" i="1"/>
  <c r="N615" i="1"/>
  <c r="N614" i="1"/>
  <c r="O614" i="1" s="1"/>
  <c r="N613" i="1"/>
  <c r="O613" i="1" s="1"/>
  <c r="N612" i="1"/>
  <c r="O612" i="1" s="1"/>
  <c r="N611" i="1"/>
  <c r="O611" i="1" s="1"/>
  <c r="N610" i="1"/>
  <c r="O610" i="1" s="1"/>
  <c r="N609" i="1"/>
  <c r="O609" i="1" s="1"/>
  <c r="N608" i="1"/>
  <c r="O608" i="1" s="1"/>
  <c r="N607" i="1"/>
  <c r="O607" i="1" s="1"/>
  <c r="N606" i="1"/>
  <c r="O606" i="1" s="1"/>
  <c r="N605" i="1"/>
  <c r="O605" i="1" s="1"/>
  <c r="N604" i="1"/>
  <c r="O604" i="1" s="1"/>
  <c r="N603" i="1"/>
  <c r="O603" i="1" s="1"/>
  <c r="N602" i="1"/>
  <c r="O602" i="1" s="1"/>
  <c r="N601" i="1"/>
  <c r="O601" i="1" s="1"/>
  <c r="N600" i="1"/>
  <c r="O600" i="1" s="1"/>
  <c r="N599" i="1"/>
  <c r="O599" i="1" s="1"/>
  <c r="N598" i="1"/>
  <c r="O598" i="1" s="1"/>
  <c r="N597" i="1"/>
  <c r="O597" i="1" s="1"/>
  <c r="N596" i="1"/>
  <c r="O596" i="1" s="1"/>
  <c r="N595" i="1"/>
  <c r="O595" i="1" s="1"/>
  <c r="N594" i="1"/>
  <c r="O594" i="1" s="1"/>
  <c r="N593" i="1"/>
  <c r="O593" i="1" s="1"/>
  <c r="N592" i="1"/>
  <c r="O592" i="1" s="1"/>
  <c r="N591" i="1"/>
  <c r="O591" i="1" s="1"/>
  <c r="N590" i="1"/>
  <c r="O590" i="1" s="1"/>
  <c r="N589" i="1"/>
  <c r="O589" i="1" s="1"/>
  <c r="N588" i="1"/>
  <c r="O588" i="1" s="1"/>
  <c r="N587" i="1"/>
  <c r="O587" i="1" s="1"/>
  <c r="N586" i="1"/>
  <c r="O586" i="1" s="1"/>
  <c r="N585" i="1"/>
  <c r="O585" i="1" s="1"/>
  <c r="N584" i="1"/>
  <c r="O584" i="1" s="1"/>
  <c r="N583" i="1"/>
  <c r="O583" i="1" s="1"/>
  <c r="N582" i="1"/>
  <c r="O582" i="1" s="1"/>
  <c r="N581" i="1"/>
  <c r="O581" i="1" s="1"/>
  <c r="N580" i="1"/>
  <c r="O580" i="1" s="1"/>
  <c r="N579" i="1"/>
  <c r="O579" i="1" s="1"/>
  <c r="N578" i="1"/>
  <c r="O578" i="1" s="1"/>
  <c r="N577" i="1"/>
  <c r="O577" i="1" s="1"/>
  <c r="N576" i="1"/>
  <c r="O576" i="1" s="1"/>
  <c r="N575" i="1"/>
  <c r="O575" i="1" s="1"/>
  <c r="N574" i="1"/>
  <c r="O574" i="1" s="1"/>
  <c r="N573" i="1"/>
  <c r="O573" i="1" s="1"/>
  <c r="N572" i="1"/>
  <c r="O572" i="1" s="1"/>
  <c r="N571" i="1"/>
  <c r="O571" i="1" s="1"/>
  <c r="N570" i="1"/>
  <c r="O570" i="1" s="1"/>
  <c r="N569" i="1"/>
  <c r="O569" i="1" s="1"/>
  <c r="N568" i="1"/>
  <c r="O568" i="1" s="1"/>
  <c r="N567" i="1"/>
  <c r="O567" i="1" s="1"/>
  <c r="N566" i="1"/>
  <c r="O566" i="1" s="1"/>
  <c r="N565" i="1"/>
  <c r="O565" i="1" s="1"/>
  <c r="N564" i="1"/>
  <c r="O564" i="1" s="1"/>
  <c r="N563" i="1"/>
  <c r="O563" i="1" s="1"/>
  <c r="N562" i="1"/>
  <c r="O562" i="1" s="1"/>
  <c r="N561" i="1"/>
  <c r="O561" i="1" s="1"/>
  <c r="N560" i="1"/>
  <c r="O560" i="1" s="1"/>
  <c r="N559" i="1"/>
  <c r="O559" i="1" s="1"/>
  <c r="N558" i="1"/>
  <c r="O558" i="1" s="1"/>
  <c r="N557" i="1"/>
  <c r="O557" i="1" s="1"/>
  <c r="N556" i="1"/>
  <c r="O556" i="1" s="1"/>
  <c r="N555" i="1"/>
  <c r="O555" i="1" s="1"/>
  <c r="N554" i="1"/>
  <c r="O554" i="1" s="1"/>
  <c r="N553" i="1"/>
  <c r="O553" i="1" s="1"/>
  <c r="N552" i="1"/>
  <c r="O552" i="1" s="1"/>
  <c r="N551" i="1"/>
  <c r="O551" i="1" s="1"/>
  <c r="N550" i="1"/>
  <c r="O550" i="1" s="1"/>
  <c r="N549" i="1"/>
  <c r="O549" i="1" s="1"/>
  <c r="N548" i="1"/>
  <c r="O548" i="1" s="1"/>
  <c r="N547" i="1"/>
  <c r="O547" i="1" s="1"/>
  <c r="N546" i="1"/>
  <c r="O546" i="1" s="1"/>
  <c r="N545" i="1"/>
  <c r="O545" i="1" s="1"/>
  <c r="N544" i="1"/>
  <c r="O544" i="1" s="1"/>
  <c r="N543" i="1"/>
  <c r="O543" i="1" s="1"/>
  <c r="N542" i="1"/>
  <c r="O542" i="1" s="1"/>
  <c r="N541" i="1"/>
  <c r="O541" i="1" s="1"/>
  <c r="N540" i="1"/>
  <c r="O540" i="1" s="1"/>
  <c r="N539" i="1"/>
  <c r="O539" i="1" s="1"/>
  <c r="N538" i="1"/>
  <c r="O538" i="1" s="1"/>
  <c r="N537" i="1"/>
  <c r="O537" i="1" s="1"/>
  <c r="N536" i="1"/>
  <c r="O536" i="1" s="1"/>
  <c r="N535" i="1"/>
  <c r="O535" i="1" s="1"/>
  <c r="N534" i="1"/>
  <c r="O534" i="1" s="1"/>
  <c r="N533" i="1"/>
  <c r="O533" i="1" s="1"/>
  <c r="N532" i="1"/>
  <c r="O532" i="1" s="1"/>
  <c r="N531" i="1"/>
  <c r="O531" i="1" s="1"/>
  <c r="N530" i="1"/>
  <c r="O530" i="1" s="1"/>
  <c r="N529" i="1"/>
  <c r="O529" i="1" s="1"/>
  <c r="N528" i="1"/>
  <c r="O528" i="1" s="1"/>
  <c r="N527" i="1"/>
  <c r="O527" i="1" s="1"/>
  <c r="N526" i="1"/>
  <c r="O526" i="1" s="1"/>
  <c r="N525" i="1"/>
  <c r="O525" i="1" s="1"/>
  <c r="N524" i="1"/>
  <c r="O524" i="1" s="1"/>
  <c r="N523" i="1"/>
  <c r="O523" i="1" s="1"/>
  <c r="N522" i="1"/>
  <c r="O522" i="1" s="1"/>
  <c r="N521" i="1"/>
  <c r="O521" i="1" s="1"/>
  <c r="N520" i="1"/>
  <c r="O520" i="1" s="1"/>
  <c r="N519" i="1"/>
  <c r="O519" i="1" s="1"/>
  <c r="N518" i="1"/>
  <c r="O518" i="1" s="1"/>
  <c r="N517" i="1"/>
  <c r="O517" i="1" s="1"/>
  <c r="N516" i="1"/>
  <c r="O516" i="1" s="1"/>
  <c r="N515" i="1"/>
  <c r="O515" i="1" s="1"/>
  <c r="N514" i="1"/>
  <c r="O514" i="1" s="1"/>
  <c r="N513" i="1"/>
  <c r="O513" i="1" s="1"/>
  <c r="N512" i="1"/>
  <c r="O512" i="1" s="1"/>
  <c r="N511" i="1"/>
  <c r="O511" i="1" s="1"/>
  <c r="N510" i="1"/>
  <c r="O510" i="1" s="1"/>
  <c r="N509" i="1"/>
  <c r="O509" i="1" s="1"/>
  <c r="N508" i="1"/>
  <c r="O508" i="1" s="1"/>
  <c r="N507" i="1"/>
  <c r="O507" i="1" s="1"/>
  <c r="N506" i="1"/>
  <c r="O506" i="1" s="1"/>
  <c r="N505" i="1"/>
  <c r="O505" i="1" s="1"/>
  <c r="N504" i="1"/>
  <c r="O504" i="1" s="1"/>
  <c r="N503" i="1"/>
  <c r="O503" i="1" s="1"/>
  <c r="N502" i="1"/>
  <c r="O502" i="1" s="1"/>
  <c r="N501" i="1"/>
  <c r="O501" i="1" s="1"/>
  <c r="N500" i="1"/>
  <c r="O500" i="1" s="1"/>
  <c r="N499" i="1"/>
  <c r="O499" i="1" s="1"/>
  <c r="N498" i="1"/>
  <c r="O498" i="1" s="1"/>
  <c r="N497" i="1"/>
  <c r="O497" i="1" s="1"/>
  <c r="N496" i="1"/>
  <c r="O496" i="1" s="1"/>
  <c r="N495" i="1"/>
  <c r="O495" i="1" s="1"/>
  <c r="N494" i="1"/>
  <c r="O494" i="1" s="1"/>
  <c r="N493" i="1"/>
  <c r="O493" i="1" s="1"/>
  <c r="N492" i="1"/>
  <c r="O492" i="1" s="1"/>
  <c r="N491" i="1"/>
  <c r="O491" i="1" s="1"/>
  <c r="N490" i="1"/>
  <c r="O490" i="1" s="1"/>
  <c r="N489" i="1"/>
  <c r="O489" i="1" s="1"/>
  <c r="N488" i="1"/>
  <c r="O488" i="1" s="1"/>
  <c r="N487" i="1"/>
  <c r="O487" i="1" s="1"/>
  <c r="N486" i="1"/>
  <c r="O486" i="1" s="1"/>
  <c r="N485" i="1"/>
  <c r="O485" i="1" s="1"/>
  <c r="N484" i="1"/>
  <c r="O484" i="1" s="1"/>
  <c r="N483" i="1"/>
  <c r="O483" i="1" s="1"/>
  <c r="N482" i="1"/>
  <c r="O482" i="1" s="1"/>
  <c r="N481" i="1"/>
  <c r="O481" i="1" s="1"/>
  <c r="N480" i="1"/>
  <c r="O480" i="1" s="1"/>
  <c r="N479" i="1"/>
  <c r="O479" i="1" s="1"/>
  <c r="N478" i="1"/>
  <c r="O478" i="1" s="1"/>
  <c r="N477" i="1"/>
  <c r="O477" i="1" s="1"/>
  <c r="N476" i="1"/>
  <c r="O476" i="1" s="1"/>
  <c r="N475" i="1"/>
  <c r="O475" i="1" s="1"/>
  <c r="N474" i="1"/>
  <c r="O474" i="1" s="1"/>
  <c r="N473" i="1"/>
  <c r="O473" i="1" s="1"/>
  <c r="N472" i="1"/>
  <c r="O472" i="1" s="1"/>
  <c r="N471" i="1"/>
  <c r="O471" i="1" s="1"/>
  <c r="N470" i="1"/>
  <c r="O470" i="1" s="1"/>
  <c r="N469" i="1"/>
  <c r="O469" i="1" s="1"/>
  <c r="N468" i="1"/>
  <c r="O468" i="1" s="1"/>
  <c r="N467" i="1"/>
  <c r="O467" i="1" s="1"/>
  <c r="N466" i="1"/>
  <c r="O466" i="1" s="1"/>
  <c r="N465" i="1"/>
  <c r="O465" i="1" s="1"/>
  <c r="N464" i="1"/>
  <c r="O464" i="1" s="1"/>
  <c r="N463" i="1"/>
  <c r="O463" i="1" s="1"/>
  <c r="N462" i="1"/>
  <c r="O462" i="1" s="1"/>
  <c r="N461" i="1"/>
  <c r="O461" i="1" s="1"/>
  <c r="N460" i="1"/>
  <c r="O460" i="1" s="1"/>
  <c r="N459" i="1"/>
  <c r="O459" i="1" s="1"/>
  <c r="N458" i="1"/>
  <c r="O458" i="1" s="1"/>
  <c r="N457" i="1"/>
  <c r="O457" i="1" s="1"/>
  <c r="N456" i="1"/>
  <c r="O456" i="1" s="1"/>
  <c r="N455" i="1"/>
  <c r="O455" i="1" s="1"/>
  <c r="N454" i="1"/>
  <c r="O454" i="1" s="1"/>
  <c r="N453" i="1"/>
  <c r="O453" i="1" s="1"/>
  <c r="N452" i="1"/>
  <c r="O452" i="1" s="1"/>
  <c r="N451" i="1"/>
  <c r="O451" i="1" s="1"/>
  <c r="N450" i="1"/>
  <c r="O450" i="1" s="1"/>
  <c r="N449" i="1"/>
  <c r="O449" i="1" s="1"/>
  <c r="N448" i="1"/>
  <c r="O448" i="1" s="1"/>
  <c r="N447" i="1"/>
  <c r="O447" i="1" s="1"/>
  <c r="N446" i="1"/>
  <c r="O446" i="1" s="1"/>
  <c r="N445" i="1"/>
  <c r="O445" i="1" s="1"/>
  <c r="N444" i="1"/>
  <c r="O444" i="1" s="1"/>
  <c r="N443" i="1"/>
  <c r="O443" i="1" s="1"/>
  <c r="N442" i="1"/>
  <c r="O442" i="1" s="1"/>
  <c r="N441" i="1"/>
  <c r="O441" i="1" s="1"/>
  <c r="N440" i="1"/>
  <c r="O440" i="1" s="1"/>
  <c r="N439" i="1"/>
  <c r="O439" i="1" s="1"/>
  <c r="N438" i="1"/>
  <c r="O438" i="1" s="1"/>
  <c r="N437" i="1"/>
  <c r="O437" i="1" s="1"/>
  <c r="N436" i="1"/>
  <c r="O436" i="1" s="1"/>
  <c r="N435" i="1"/>
  <c r="O435" i="1" s="1"/>
  <c r="N434" i="1"/>
  <c r="O434" i="1" s="1"/>
  <c r="N433" i="1"/>
  <c r="O433" i="1" s="1"/>
  <c r="N432" i="1"/>
  <c r="O432" i="1" s="1"/>
  <c r="N431" i="1"/>
  <c r="O431" i="1" s="1"/>
  <c r="N430" i="1"/>
  <c r="O430" i="1" s="1"/>
  <c r="N429" i="1"/>
  <c r="O429" i="1" s="1"/>
  <c r="N428" i="1"/>
  <c r="O428" i="1" s="1"/>
  <c r="N427" i="1"/>
  <c r="O427" i="1" s="1"/>
  <c r="N426" i="1"/>
  <c r="O426" i="1" s="1"/>
  <c r="N425" i="1"/>
  <c r="O425" i="1" s="1"/>
  <c r="N424" i="1"/>
  <c r="O424" i="1" s="1"/>
  <c r="N423" i="1"/>
  <c r="O423" i="1" s="1"/>
  <c r="N422" i="1"/>
  <c r="O422" i="1" s="1"/>
  <c r="N421" i="1"/>
  <c r="O421" i="1" s="1"/>
  <c r="N420" i="1"/>
  <c r="O420" i="1" s="1"/>
  <c r="N419" i="1"/>
  <c r="O419" i="1" s="1"/>
  <c r="N418" i="1"/>
  <c r="O418" i="1" s="1"/>
  <c r="N417" i="1"/>
  <c r="O417" i="1" s="1"/>
  <c r="N416" i="1"/>
  <c r="O416" i="1" s="1"/>
  <c r="N415" i="1"/>
  <c r="O415" i="1" s="1"/>
  <c r="N414" i="1"/>
  <c r="O414" i="1" s="1"/>
  <c r="N413" i="1"/>
  <c r="O413" i="1" s="1"/>
  <c r="N412" i="1"/>
  <c r="O412" i="1" s="1"/>
  <c r="N411" i="1"/>
  <c r="O411" i="1" s="1"/>
  <c r="N410" i="1"/>
  <c r="O410" i="1" s="1"/>
  <c r="N409" i="1"/>
  <c r="O409" i="1" s="1"/>
  <c r="N408" i="1"/>
  <c r="O408" i="1" s="1"/>
  <c r="N407" i="1"/>
  <c r="O407" i="1" s="1"/>
  <c r="N406" i="1"/>
  <c r="O406" i="1" s="1"/>
  <c r="N405" i="1"/>
  <c r="O405" i="1" s="1"/>
  <c r="N404" i="1"/>
  <c r="O404" i="1" s="1"/>
  <c r="N403" i="1"/>
  <c r="O403" i="1" s="1"/>
  <c r="N402" i="1"/>
  <c r="O402" i="1" s="1"/>
  <c r="N401" i="1"/>
  <c r="O401" i="1" s="1"/>
  <c r="N400" i="1"/>
  <c r="O400" i="1" s="1"/>
  <c r="N399" i="1"/>
  <c r="O399" i="1" s="1"/>
  <c r="N398" i="1"/>
  <c r="O398" i="1" s="1"/>
  <c r="N397" i="1"/>
  <c r="O397" i="1" s="1"/>
  <c r="N396" i="1"/>
  <c r="O396" i="1" s="1"/>
  <c r="N395" i="1"/>
  <c r="O395" i="1" s="1"/>
  <c r="N394" i="1"/>
  <c r="O394" i="1" s="1"/>
  <c r="N393" i="1"/>
  <c r="O393" i="1" s="1"/>
  <c r="N392" i="1"/>
  <c r="O392" i="1" s="1"/>
  <c r="N391" i="1"/>
  <c r="O391" i="1" s="1"/>
  <c r="N390" i="1"/>
  <c r="O390" i="1" s="1"/>
  <c r="N389" i="1"/>
  <c r="O389" i="1" s="1"/>
  <c r="N388" i="1"/>
  <c r="O388" i="1" s="1"/>
  <c r="N387" i="1"/>
  <c r="O387" i="1" s="1"/>
  <c r="N386" i="1"/>
  <c r="O386" i="1" s="1"/>
  <c r="N385" i="1"/>
  <c r="O385" i="1" s="1"/>
  <c r="N384" i="1"/>
  <c r="O384" i="1" s="1"/>
  <c r="N383" i="1"/>
  <c r="O383" i="1" s="1"/>
  <c r="N382" i="1"/>
  <c r="O382" i="1" s="1"/>
  <c r="N381" i="1"/>
  <c r="O381" i="1" s="1"/>
  <c r="N380" i="1"/>
  <c r="O380" i="1" s="1"/>
  <c r="N379" i="1"/>
  <c r="O379" i="1" s="1"/>
  <c r="N378" i="1"/>
  <c r="O378" i="1" s="1"/>
  <c r="N377" i="1"/>
  <c r="O377" i="1" s="1"/>
  <c r="N376" i="1"/>
  <c r="O376" i="1" s="1"/>
  <c r="N375" i="1"/>
  <c r="O375" i="1" s="1"/>
  <c r="N374" i="1"/>
  <c r="O374" i="1" s="1"/>
  <c r="N373" i="1"/>
  <c r="O373" i="1" s="1"/>
  <c r="N372" i="1"/>
  <c r="O372" i="1" s="1"/>
  <c r="N371" i="1"/>
  <c r="O371" i="1" s="1"/>
  <c r="N370" i="1"/>
  <c r="O370" i="1" s="1"/>
  <c r="N369" i="1"/>
  <c r="O369" i="1" s="1"/>
  <c r="N368" i="1"/>
  <c r="O368" i="1" s="1"/>
  <c r="N367" i="1"/>
  <c r="O367" i="1" s="1"/>
  <c r="N366" i="1"/>
  <c r="O366" i="1" s="1"/>
  <c r="N365" i="1"/>
  <c r="O365" i="1" s="1"/>
  <c r="N364" i="1"/>
  <c r="O364" i="1" s="1"/>
  <c r="N363" i="1"/>
  <c r="O363" i="1" s="1"/>
  <c r="N362" i="1"/>
  <c r="O362" i="1" s="1"/>
  <c r="N361" i="1"/>
  <c r="O361" i="1" s="1"/>
  <c r="N360" i="1"/>
  <c r="O360" i="1" s="1"/>
  <c r="N359" i="1"/>
  <c r="O359" i="1" s="1"/>
  <c r="N358" i="1"/>
  <c r="O358" i="1" s="1"/>
  <c r="N357" i="1"/>
  <c r="O357" i="1" s="1"/>
  <c r="N356" i="1"/>
  <c r="O356" i="1" s="1"/>
  <c r="N355" i="1"/>
  <c r="O355" i="1" s="1"/>
  <c r="N354" i="1"/>
  <c r="O354" i="1" s="1"/>
  <c r="N353" i="1"/>
  <c r="O353" i="1" s="1"/>
  <c r="N352" i="1"/>
  <c r="O352" i="1" s="1"/>
  <c r="N351" i="1"/>
  <c r="O351" i="1" s="1"/>
  <c r="N350" i="1"/>
  <c r="O350" i="1" s="1"/>
  <c r="N349" i="1"/>
  <c r="O349" i="1" s="1"/>
  <c r="N348" i="1"/>
  <c r="O348" i="1" s="1"/>
  <c r="N347" i="1"/>
  <c r="O347" i="1" s="1"/>
  <c r="N346" i="1"/>
  <c r="O346" i="1" s="1"/>
  <c r="N345" i="1"/>
  <c r="O345" i="1" s="1"/>
  <c r="N344" i="1"/>
  <c r="O344" i="1" s="1"/>
  <c r="N343" i="1"/>
  <c r="O343" i="1" s="1"/>
  <c r="N342" i="1"/>
  <c r="O342" i="1" s="1"/>
  <c r="N341" i="1"/>
  <c r="O341" i="1" s="1"/>
  <c r="N340" i="1"/>
  <c r="O340" i="1" s="1"/>
  <c r="N339" i="1"/>
  <c r="O339" i="1" s="1"/>
  <c r="N338" i="1"/>
  <c r="O338" i="1" s="1"/>
  <c r="N337" i="1"/>
  <c r="O337" i="1" s="1"/>
  <c r="N336" i="1"/>
  <c r="O336" i="1" s="1"/>
  <c r="N335" i="1"/>
  <c r="O335" i="1" s="1"/>
  <c r="N334" i="1"/>
  <c r="O334" i="1" s="1"/>
  <c r="N333" i="1"/>
  <c r="O333" i="1" s="1"/>
  <c r="N332" i="1"/>
  <c r="O332" i="1" s="1"/>
  <c r="N331" i="1"/>
  <c r="O331" i="1" s="1"/>
  <c r="N330" i="1"/>
  <c r="O330" i="1" s="1"/>
  <c r="N329" i="1"/>
  <c r="O329" i="1" s="1"/>
  <c r="N328" i="1"/>
  <c r="O328" i="1" s="1"/>
  <c r="N327" i="1"/>
  <c r="O327" i="1" s="1"/>
  <c r="N326" i="1"/>
  <c r="O326" i="1" s="1"/>
  <c r="N325" i="1"/>
  <c r="O325" i="1" s="1"/>
  <c r="N324" i="1"/>
  <c r="O324" i="1" s="1"/>
  <c r="N323" i="1"/>
  <c r="O323" i="1" s="1"/>
  <c r="N322" i="1"/>
  <c r="O322" i="1" s="1"/>
  <c r="N321" i="1"/>
  <c r="O321" i="1" s="1"/>
  <c r="N320" i="1"/>
  <c r="O320" i="1" s="1"/>
  <c r="N319" i="1"/>
  <c r="O319" i="1" s="1"/>
  <c r="N318" i="1"/>
  <c r="O318" i="1" s="1"/>
  <c r="N317" i="1"/>
  <c r="O317" i="1" s="1"/>
  <c r="N316" i="1"/>
  <c r="O316" i="1" s="1"/>
  <c r="N315" i="1"/>
  <c r="O315" i="1" s="1"/>
  <c r="N314" i="1"/>
  <c r="O314" i="1" s="1"/>
  <c r="N313" i="1"/>
  <c r="O313" i="1" s="1"/>
  <c r="N312" i="1"/>
  <c r="O312" i="1" s="1"/>
  <c r="N311" i="1"/>
  <c r="O311" i="1" s="1"/>
  <c r="N310" i="1"/>
  <c r="O310" i="1" s="1"/>
  <c r="N309" i="1"/>
  <c r="O309" i="1" s="1"/>
  <c r="N308" i="1"/>
  <c r="O308" i="1" s="1"/>
  <c r="N307" i="1"/>
  <c r="O307" i="1" s="1"/>
  <c r="N306" i="1"/>
  <c r="O306" i="1" s="1"/>
  <c r="N305" i="1"/>
  <c r="O305" i="1" s="1"/>
  <c r="N304" i="1"/>
  <c r="O304" i="1" s="1"/>
  <c r="N303" i="1"/>
  <c r="O303" i="1" s="1"/>
  <c r="N302" i="1"/>
  <c r="O302" i="1" s="1"/>
  <c r="N301" i="1"/>
  <c r="O301" i="1" s="1"/>
  <c r="N300" i="1"/>
  <c r="O300" i="1" s="1"/>
  <c r="N299" i="1"/>
  <c r="O299" i="1" s="1"/>
  <c r="N298" i="1"/>
  <c r="O298" i="1" s="1"/>
  <c r="N297" i="1"/>
  <c r="O297" i="1" s="1"/>
  <c r="N296" i="1"/>
  <c r="O296" i="1" s="1"/>
  <c r="N295" i="1"/>
  <c r="O295" i="1" s="1"/>
  <c r="N294" i="1"/>
  <c r="O294" i="1" s="1"/>
  <c r="N293" i="1"/>
  <c r="O293" i="1" s="1"/>
  <c r="N292" i="1"/>
  <c r="O292" i="1" s="1"/>
  <c r="N291" i="1"/>
  <c r="O291" i="1" s="1"/>
  <c r="N290" i="1"/>
  <c r="O290" i="1" s="1"/>
  <c r="N289" i="1"/>
  <c r="O289" i="1" s="1"/>
  <c r="N288" i="1"/>
  <c r="O288" i="1" s="1"/>
  <c r="N287" i="1"/>
  <c r="O287" i="1" s="1"/>
  <c r="N286" i="1"/>
  <c r="O286" i="1" s="1"/>
  <c r="N285" i="1"/>
  <c r="O285" i="1" s="1"/>
  <c r="N284" i="1"/>
  <c r="O284" i="1" s="1"/>
  <c r="N283" i="1"/>
  <c r="O283" i="1" s="1"/>
  <c r="N282" i="1"/>
  <c r="O282" i="1" s="1"/>
  <c r="N281" i="1"/>
  <c r="O281" i="1" s="1"/>
  <c r="N280" i="1"/>
  <c r="O280" i="1" s="1"/>
  <c r="N279" i="1"/>
  <c r="O279" i="1" s="1"/>
  <c r="N278" i="1"/>
  <c r="O278" i="1" s="1"/>
  <c r="N277" i="1"/>
  <c r="O277" i="1" s="1"/>
  <c r="N276" i="1"/>
  <c r="O276" i="1" s="1"/>
  <c r="N275" i="1"/>
  <c r="O275" i="1" s="1"/>
  <c r="N274" i="1"/>
  <c r="O274" i="1" s="1"/>
  <c r="N273" i="1"/>
  <c r="O273" i="1" s="1"/>
  <c r="N272" i="1"/>
  <c r="O272" i="1" s="1"/>
  <c r="N271" i="1"/>
  <c r="O271" i="1" s="1"/>
  <c r="N270" i="1"/>
  <c r="O270" i="1" s="1"/>
  <c r="N269" i="1"/>
  <c r="O269" i="1" s="1"/>
  <c r="N268" i="1"/>
  <c r="O268" i="1" s="1"/>
  <c r="N267" i="1"/>
  <c r="O267" i="1" s="1"/>
  <c r="N266" i="1"/>
  <c r="O266" i="1" s="1"/>
  <c r="N265" i="1"/>
  <c r="O265" i="1" s="1"/>
  <c r="N264" i="1"/>
  <c r="O264" i="1" s="1"/>
  <c r="N263" i="1"/>
  <c r="O263" i="1" s="1"/>
  <c r="N262" i="1"/>
  <c r="O262" i="1" s="1"/>
  <c r="N261" i="1"/>
  <c r="O261" i="1" s="1"/>
  <c r="N260" i="1"/>
  <c r="O260" i="1" s="1"/>
  <c r="N259" i="1"/>
  <c r="O259" i="1" s="1"/>
  <c r="N258" i="1"/>
  <c r="O258" i="1" s="1"/>
  <c r="N257" i="1"/>
  <c r="O257" i="1" s="1"/>
  <c r="N256" i="1"/>
  <c r="O256" i="1" s="1"/>
  <c r="N255" i="1"/>
  <c r="O255" i="1" s="1"/>
  <c r="N254" i="1"/>
  <c r="O254" i="1" s="1"/>
  <c r="N253" i="1"/>
  <c r="O253" i="1" s="1"/>
  <c r="N252" i="1"/>
  <c r="O252" i="1" s="1"/>
  <c r="N251" i="1"/>
  <c r="O251" i="1" s="1"/>
  <c r="N250" i="1"/>
  <c r="O250" i="1" s="1"/>
  <c r="N249" i="1"/>
  <c r="O249" i="1" s="1"/>
  <c r="N248" i="1"/>
  <c r="O248" i="1" s="1"/>
  <c r="N247" i="1"/>
  <c r="O247" i="1" s="1"/>
  <c r="N246" i="1"/>
  <c r="O246" i="1" s="1"/>
  <c r="N245" i="1"/>
  <c r="O245" i="1" s="1"/>
  <c r="N244" i="1"/>
  <c r="O244" i="1" s="1"/>
  <c r="N243" i="1"/>
  <c r="O243" i="1" s="1"/>
  <c r="N242" i="1"/>
  <c r="O242" i="1" s="1"/>
  <c r="N241" i="1"/>
  <c r="O241" i="1" s="1"/>
  <c r="N240" i="1"/>
  <c r="O240" i="1" s="1"/>
  <c r="N239" i="1"/>
  <c r="O239" i="1" s="1"/>
  <c r="N238" i="1"/>
  <c r="O238" i="1" s="1"/>
  <c r="N237" i="1"/>
  <c r="O237" i="1" s="1"/>
  <c r="N236" i="1"/>
  <c r="O236" i="1" s="1"/>
  <c r="N235" i="1"/>
  <c r="O235" i="1" s="1"/>
  <c r="N234" i="1"/>
  <c r="O234" i="1" s="1"/>
  <c r="N233" i="1"/>
  <c r="O233" i="1" s="1"/>
  <c r="N232" i="1"/>
  <c r="O232" i="1" s="1"/>
  <c r="N231" i="1"/>
  <c r="O231" i="1" s="1"/>
  <c r="N230" i="1"/>
  <c r="O230" i="1" s="1"/>
  <c r="N229" i="1"/>
  <c r="O229" i="1" s="1"/>
  <c r="N228" i="1"/>
  <c r="O228" i="1" s="1"/>
  <c r="N227" i="1"/>
  <c r="O227" i="1" s="1"/>
  <c r="N226" i="1"/>
  <c r="O226" i="1" s="1"/>
  <c r="N225" i="1"/>
  <c r="O225" i="1" s="1"/>
  <c r="N224" i="1"/>
  <c r="O224" i="1" s="1"/>
  <c r="N223" i="1"/>
  <c r="O223" i="1" s="1"/>
  <c r="N222" i="1"/>
  <c r="O222" i="1" s="1"/>
  <c r="N221" i="1"/>
  <c r="O221" i="1" s="1"/>
  <c r="N220" i="1"/>
  <c r="O220" i="1" s="1"/>
  <c r="N219" i="1"/>
  <c r="O219" i="1" s="1"/>
  <c r="N218" i="1"/>
  <c r="O218" i="1" s="1"/>
  <c r="N217" i="1"/>
  <c r="O217" i="1" s="1"/>
  <c r="N216" i="1"/>
  <c r="O216" i="1" s="1"/>
  <c r="N215" i="1"/>
  <c r="O215" i="1" s="1"/>
  <c r="N214" i="1"/>
  <c r="O214" i="1" s="1"/>
  <c r="N213" i="1"/>
  <c r="O213" i="1" s="1"/>
  <c r="N212" i="1"/>
  <c r="O212" i="1" s="1"/>
  <c r="N211" i="1"/>
  <c r="O211" i="1" s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O205" i="1" s="1"/>
  <c r="N204" i="1"/>
  <c r="O204" i="1" s="1"/>
  <c r="N203" i="1"/>
  <c r="O203" i="1" s="1"/>
  <c r="N202" i="1"/>
  <c r="O202" i="1" s="1"/>
  <c r="N201" i="1"/>
  <c r="O201" i="1" s="1"/>
  <c r="N200" i="1"/>
  <c r="O200" i="1" s="1"/>
  <c r="N199" i="1"/>
  <c r="O199" i="1" s="1"/>
  <c r="N198" i="1"/>
  <c r="O198" i="1" s="1"/>
  <c r="N197" i="1"/>
  <c r="O197" i="1" s="1"/>
  <c r="N196" i="1"/>
  <c r="O196" i="1" s="1"/>
  <c r="N195" i="1"/>
  <c r="O195" i="1" s="1"/>
  <c r="N194" i="1"/>
  <c r="O194" i="1" s="1"/>
  <c r="N193" i="1"/>
  <c r="O193" i="1" s="1"/>
  <c r="N192" i="1"/>
  <c r="O192" i="1" s="1"/>
  <c r="N191" i="1"/>
  <c r="O191" i="1" s="1"/>
  <c r="P186" i="1" l="1"/>
  <c r="N187" i="1"/>
  <c r="O187" i="1" s="1"/>
  <c r="N70" i="1"/>
  <c r="O70" i="1" s="1"/>
  <c r="N69" i="1"/>
  <c r="O69" i="1" s="1"/>
  <c r="N65" i="1"/>
  <c r="O65" i="1" s="1"/>
  <c r="N5" i="1"/>
  <c r="O5" i="1" s="1"/>
  <c r="N29" i="1"/>
  <c r="O29" i="1" s="1"/>
  <c r="N54" i="1"/>
  <c r="O54" i="1" s="1"/>
  <c r="N144" i="1"/>
  <c r="O144" i="1" s="1"/>
  <c r="N154" i="1"/>
  <c r="O154" i="1" s="1"/>
  <c r="N155" i="1"/>
  <c r="O155" i="1" s="1"/>
  <c r="N63" i="1"/>
  <c r="O63" i="1" s="1"/>
  <c r="N4" i="1"/>
  <c r="O4" i="1" s="1"/>
  <c r="N45" i="1"/>
  <c r="O45" i="1" s="1"/>
  <c r="N51" i="1"/>
  <c r="O51" i="1" s="1"/>
  <c r="N55" i="1"/>
  <c r="O55" i="1" s="1"/>
  <c r="N85" i="1"/>
  <c r="O85" i="1" s="1"/>
  <c r="N88" i="1"/>
  <c r="O88" i="1" s="1"/>
  <c r="N87" i="1"/>
  <c r="O87" i="1" s="1"/>
  <c r="N99" i="1"/>
  <c r="O99" i="1" s="1"/>
  <c r="N115" i="1"/>
  <c r="O115" i="1" s="1"/>
  <c r="N129" i="1"/>
  <c r="O129" i="1" s="1"/>
  <c r="N171" i="1"/>
  <c r="O171" i="1" s="1"/>
  <c r="N104" i="1"/>
  <c r="O104" i="1" s="1"/>
  <c r="N62" i="1"/>
  <c r="O62" i="1" s="1"/>
  <c r="N9" i="1"/>
  <c r="O9" i="1" s="1"/>
  <c r="N77" i="1"/>
  <c r="O77" i="1" s="1"/>
  <c r="N95" i="1"/>
  <c r="O95" i="1" s="1"/>
  <c r="N26" i="1"/>
  <c r="O26" i="1" s="1"/>
  <c r="N179" i="1"/>
  <c r="O179" i="1" s="1"/>
  <c r="N103" i="1"/>
  <c r="O103" i="1" s="1"/>
  <c r="N28" i="1"/>
  <c r="O28" i="1" s="1"/>
  <c r="N89" i="1"/>
  <c r="O89" i="1" s="1"/>
  <c r="N127" i="1"/>
  <c r="O127" i="1" s="1"/>
  <c r="N73" i="1"/>
  <c r="O73" i="1" s="1"/>
  <c r="N38" i="1"/>
  <c r="O38" i="1" s="1"/>
  <c r="N71" i="1"/>
  <c r="O71" i="1" s="1"/>
  <c r="N61" i="1"/>
  <c r="O61" i="1" s="1"/>
  <c r="N6" i="1"/>
  <c r="O6" i="1" s="1"/>
  <c r="N7" i="1"/>
  <c r="O7" i="1" s="1"/>
  <c r="N8" i="1"/>
  <c r="O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7" i="1"/>
  <c r="O27" i="1" s="1"/>
  <c r="N30" i="1"/>
  <c r="O30" i="1" s="1"/>
  <c r="N32" i="1"/>
  <c r="O32" i="1" s="1"/>
  <c r="N39" i="1"/>
  <c r="O39" i="1" s="1"/>
  <c r="N40" i="1"/>
  <c r="O40" i="1" s="1"/>
  <c r="N41" i="1"/>
  <c r="O41" i="1" s="1"/>
  <c r="N42" i="1"/>
  <c r="O42" i="1" s="1"/>
  <c r="N56" i="1"/>
  <c r="O56" i="1" s="1"/>
  <c r="N57" i="1"/>
  <c r="O57" i="1" s="1"/>
  <c r="N58" i="1"/>
  <c r="O58" i="1" s="1"/>
  <c r="N59" i="1"/>
  <c r="O59" i="1" s="1"/>
  <c r="N60" i="1"/>
  <c r="O60" i="1" s="1"/>
  <c r="N64" i="1"/>
  <c r="O64" i="1" s="1"/>
  <c r="N72" i="1"/>
  <c r="O72" i="1" s="1"/>
  <c r="N74" i="1"/>
  <c r="O74" i="1" s="1"/>
  <c r="N75" i="1"/>
  <c r="O75" i="1" s="1"/>
  <c r="N94" i="1"/>
  <c r="O94" i="1" s="1"/>
  <c r="N96" i="1"/>
  <c r="O96" i="1" s="1"/>
  <c r="N102" i="1"/>
  <c r="O102" i="1" s="1"/>
  <c r="N113" i="1"/>
  <c r="O113" i="1" s="1"/>
  <c r="N131" i="1"/>
  <c r="O131" i="1" s="1"/>
  <c r="N132" i="1"/>
  <c r="O132" i="1" s="1"/>
  <c r="N130" i="1"/>
  <c r="O130" i="1" s="1"/>
  <c r="N133" i="1"/>
  <c r="O133" i="1" s="1"/>
  <c r="N153" i="1"/>
  <c r="O153" i="1" s="1"/>
  <c r="N134" i="1"/>
  <c r="O134" i="1" s="1"/>
  <c r="N160" i="1"/>
  <c r="O160" i="1" s="1"/>
  <c r="N161" i="1"/>
  <c r="O161" i="1" s="1"/>
  <c r="N180" i="1"/>
  <c r="O180" i="1" s="1"/>
  <c r="N181" i="1"/>
  <c r="O181" i="1" s="1"/>
  <c r="N182" i="1"/>
  <c r="O182" i="1" s="1"/>
  <c r="N178" i="1"/>
  <c r="O178" i="1" s="1"/>
  <c r="N183" i="1"/>
  <c r="O183" i="1" s="1"/>
  <c r="N184" i="1"/>
  <c r="O184" i="1" s="1"/>
  <c r="N185" i="1"/>
  <c r="O185" i="1" s="1"/>
  <c r="N31" i="1"/>
  <c r="O31" i="1" s="1"/>
  <c r="N46" i="1"/>
  <c r="O46" i="1" s="1"/>
  <c r="N86" i="1"/>
  <c r="O86" i="1" s="1"/>
  <c r="N107" i="1"/>
  <c r="O107" i="1" s="1"/>
  <c r="N112" i="1"/>
  <c r="O112" i="1" s="1"/>
  <c r="N114" i="1"/>
  <c r="O114" i="1" s="1"/>
  <c r="N128" i="1"/>
  <c r="O128" i="1" s="1"/>
  <c r="N80" i="1"/>
  <c r="O80" i="1" s="1"/>
  <c r="N176" i="1"/>
  <c r="O176" i="1" s="1"/>
  <c r="N177" i="1"/>
  <c r="O177" i="1" s="1"/>
  <c r="N162" i="1"/>
  <c r="O162" i="1" s="1"/>
  <c r="N140" i="1"/>
  <c r="O140" i="1" s="1"/>
  <c r="N118" i="1"/>
  <c r="O118" i="1" s="1"/>
  <c r="N143" i="1"/>
  <c r="O143" i="1" s="1"/>
  <c r="N158" i="1"/>
  <c r="O158" i="1" s="1"/>
  <c r="N172" i="1"/>
  <c r="O172" i="1" s="1"/>
  <c r="N173" i="1"/>
  <c r="O173" i="1" s="1"/>
  <c r="N91" i="1"/>
  <c r="O91" i="1" s="1"/>
  <c r="N163" i="1"/>
  <c r="O163" i="1" s="1"/>
  <c r="N11" i="1"/>
  <c r="O11" i="1" s="1"/>
  <c r="N37" i="1"/>
  <c r="O37" i="1" s="1"/>
  <c r="N66" i="1"/>
  <c r="O66" i="1" s="1"/>
  <c r="N67" i="1"/>
  <c r="O67" i="1" s="1"/>
  <c r="N68" i="1"/>
  <c r="O68" i="1" s="1"/>
  <c r="N76" i="1"/>
  <c r="O76" i="1" s="1"/>
  <c r="N35" i="1"/>
  <c r="O35" i="1" s="1"/>
  <c r="N123" i="1"/>
  <c r="O123" i="1" s="1"/>
  <c r="N100" i="1"/>
  <c r="O100" i="1" s="1"/>
  <c r="N137" i="1"/>
  <c r="O137" i="1" s="1"/>
  <c r="N175" i="1"/>
  <c r="O175" i="1" s="1"/>
  <c r="N84" i="1"/>
  <c r="O84" i="1" s="1"/>
  <c r="N145" i="1"/>
  <c r="O145" i="1" s="1"/>
  <c r="N170" i="1"/>
  <c r="O170" i="1" s="1"/>
  <c r="N101" i="1"/>
  <c r="O101" i="1" s="1"/>
  <c r="N97" i="1"/>
  <c r="O97" i="1" s="1"/>
  <c r="N78" i="1"/>
  <c r="O78" i="1" s="1"/>
  <c r="N79" i="1"/>
  <c r="O79" i="1" s="1"/>
  <c r="N167" i="1"/>
  <c r="O167" i="1" s="1"/>
  <c r="N92" i="1"/>
  <c r="O92" i="1" s="1"/>
  <c r="N138" i="1"/>
  <c r="O138" i="1" s="1"/>
  <c r="N108" i="1"/>
  <c r="O108" i="1" s="1"/>
  <c r="N16" i="1"/>
  <c r="O16" i="1" s="1"/>
  <c r="N17" i="1"/>
  <c r="O17" i="1" s="1"/>
  <c r="N18" i="1"/>
  <c r="O18" i="1" s="1"/>
  <c r="N146" i="1"/>
  <c r="O146" i="1" s="1"/>
  <c r="N14" i="1"/>
  <c r="O14" i="1" s="1"/>
  <c r="N36" i="1"/>
  <c r="O36" i="1" s="1"/>
  <c r="N47" i="1"/>
  <c r="O47" i="1" s="1"/>
  <c r="N49" i="1"/>
  <c r="O49" i="1" s="1"/>
  <c r="N174" i="1"/>
  <c r="O174" i="1" s="1"/>
  <c r="N124" i="1"/>
  <c r="O124" i="1" s="1"/>
  <c r="N105" i="1"/>
  <c r="O105" i="1" s="1"/>
  <c r="N106" i="1"/>
  <c r="O106" i="1" s="1"/>
  <c r="N90" i="1"/>
  <c r="O90" i="1" s="1"/>
  <c r="N93" i="1"/>
  <c r="O93" i="1" s="1"/>
  <c r="N98" i="1"/>
  <c r="O98" i="1" s="1"/>
  <c r="N156" i="1"/>
  <c r="O156" i="1" s="1"/>
  <c r="N83" i="1"/>
  <c r="O83" i="1" s="1"/>
  <c r="N15" i="1"/>
  <c r="O15" i="1" s="1"/>
  <c r="N34" i="1"/>
  <c r="O34" i="1" s="1"/>
  <c r="N43" i="1"/>
  <c r="O43" i="1" s="1"/>
  <c r="N48" i="1"/>
  <c r="O48" i="1" s="1"/>
  <c r="N139" i="1"/>
  <c r="O139" i="1" s="1"/>
  <c r="N33" i="1"/>
  <c r="O33" i="1" s="1"/>
  <c r="N117" i="1"/>
  <c r="O117" i="1" s="1"/>
  <c r="N121" i="1"/>
  <c r="O121" i="1" s="1"/>
  <c r="N147" i="1"/>
  <c r="O147" i="1" s="1"/>
  <c r="N109" i="1"/>
  <c r="O109" i="1" s="1"/>
  <c r="N135" i="1"/>
  <c r="O135" i="1" s="1"/>
  <c r="N111" i="1"/>
  <c r="O111" i="1" s="1"/>
  <c r="N120" i="1"/>
  <c r="O120" i="1" s="1"/>
  <c r="N141" i="1"/>
  <c r="O141" i="1" s="1"/>
  <c r="N142" i="1"/>
  <c r="O142" i="1" s="1"/>
  <c r="N50" i="1"/>
  <c r="O50" i="1" s="1"/>
  <c r="N116" i="1"/>
  <c r="O116" i="1" s="1"/>
  <c r="N168" i="1"/>
  <c r="O168" i="1" s="1"/>
  <c r="N136" i="1"/>
  <c r="O136" i="1" s="1"/>
  <c r="N150" i="1"/>
  <c r="O150" i="1" s="1"/>
  <c r="N152" i="1"/>
  <c r="O152" i="1" s="1"/>
  <c r="N122" i="1"/>
  <c r="O122" i="1" s="1"/>
  <c r="N10" i="1"/>
  <c r="O10" i="1" s="1"/>
  <c r="N148" i="1"/>
  <c r="O148" i="1" s="1"/>
  <c r="N149" i="1"/>
  <c r="O149" i="1" s="1"/>
  <c r="N157" i="1"/>
  <c r="O157" i="1" s="1"/>
  <c r="N164" i="1"/>
  <c r="O164" i="1" s="1"/>
  <c r="N165" i="1"/>
  <c r="O165" i="1" s="1"/>
  <c r="N81" i="1"/>
  <c r="O81" i="1" s="1"/>
  <c r="N82" i="1"/>
  <c r="O82" i="1" s="1"/>
  <c r="N110" i="1"/>
  <c r="O110" i="1" s="1"/>
  <c r="N119" i="1"/>
  <c r="O119" i="1" s="1"/>
  <c r="N125" i="1"/>
  <c r="O125" i="1" s="1"/>
  <c r="N126" i="1"/>
  <c r="O126" i="1" s="1"/>
  <c r="N151" i="1"/>
  <c r="O151" i="1" s="1"/>
  <c r="N169" i="1"/>
  <c r="O169" i="1" s="1"/>
  <c r="N159" i="1"/>
  <c r="O159" i="1" s="1"/>
  <c r="N166" i="1"/>
  <c r="O166" i="1" s="1"/>
  <c r="N13" i="1"/>
  <c r="O13" i="1" s="1"/>
  <c r="N12" i="1"/>
  <c r="O12" i="1" s="1"/>
  <c r="N44" i="1"/>
  <c r="O44" i="1" s="1"/>
  <c r="N52" i="1"/>
  <c r="O52" i="1" s="1"/>
  <c r="N53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AF186" i="1"/>
  <c r="N186" i="1" l="1"/>
  <c r="O53" i="1"/>
  <c r="O186" i="1" s="1"/>
  <c r="N188" i="1" l="1"/>
</calcChain>
</file>

<file path=xl/sharedStrings.xml><?xml version="1.0" encoding="utf-8"?>
<sst xmlns="http://schemas.openxmlformats.org/spreadsheetml/2006/main" count="14024" uniqueCount="3378">
  <si>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</si>
  <si>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</si>
  <si>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</si>
  <si>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</si>
  <si>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</si>
  <si>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</si>
  <si>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</si>
  <si>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</si>
  <si>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</si>
  <si>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</si>
  <si>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</si>
  <si>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</si>
  <si>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</si>
  <si>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</si>
  <si>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</si>
  <si>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</si>
  <si>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</si>
  <si>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</si>
  <si>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</si>
  <si>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</si>
  <si>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</si>
  <si>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</si>
  <si>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</si>
  <si>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</si>
  <si>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</si>
  <si>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</si>
  <si>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</si>
  <si>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</si>
  <si>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</si>
  <si>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</si>
  <si>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</si>
  <si>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</si>
  <si>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</si>
  <si>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2ee87ac447a28d01e4ad3e79b27d35128069bfd4aa49686fc0379dec14f44fda90fd3810999a1fc4269aff04616a741b</t>
  </si>
  <si>
    <t>967</t>
  </si>
  <si>
    <t>DA</t>
  </si>
  <si>
    <t>COP</t>
  </si>
  <si>
    <t>2</t>
  </si>
  <si>
    <t>47</t>
  </si>
  <si>
    <t>12-12-2025</t>
  </si>
  <si>
    <t>12-12-2025 11:09:00</t>
  </si>
  <si>
    <t>802020606</t>
  </si>
  <si>
    <t>DIESEL CAT LTDA</t>
  </si>
  <si>
    <t>860002576</t>
  </si>
  <si>
    <t>GENERAL DE EQUIPOS DE COLOMBIA S.A.</t>
  </si>
  <si>
    <t>Aprobado con notificación</t>
  </si>
  <si>
    <t>Emitido</t>
  </si>
  <si>
    <t>Nomina Individual</t>
  </si>
  <si>
    <t>6ddfe5ff24e5e8abfb19826105e68f3dd0039539cab34baedbbc2b73c3034268324394b9c5b78df435bab18da2ce966d</t>
  </si>
  <si>
    <t>1381</t>
  </si>
  <si>
    <t>NEAA</t>
  </si>
  <si>
    <t>11-12-2025</t>
  </si>
  <si>
    <t>11-12-2025 14:54:47</t>
  </si>
  <si>
    <t>1143454623</t>
  </si>
  <si>
    <t>MARCO ANTONIO  QUIROGA MOLINARES</t>
  </si>
  <si>
    <t>Aprobado</t>
  </si>
  <si>
    <t>156662d6c1afa6859a6aabe23b29d8ca667844ffe24419139fce1ea359788f9851dd43c88a2e0ae9dc4ce5a8d9239e9e</t>
  </si>
  <si>
    <t>1380</t>
  </si>
  <si>
    <t>11-12-2025 14:54:46</t>
  </si>
  <si>
    <t>1143401584</t>
  </si>
  <si>
    <t xml:space="preserve">AYLIN  ARNEDO </t>
  </si>
  <si>
    <t>9244f0d7f3e16eb40792e37f9455dd6a13dca9011928d75af2814bdc01391ee68768f473a48b6f9584bdaf02f0d39b01</t>
  </si>
  <si>
    <t>1378</t>
  </si>
  <si>
    <t>1143157462</t>
  </si>
  <si>
    <t xml:space="preserve">DEYNER  PEREZ </t>
  </si>
  <si>
    <t>12665da1b3560a9104294b5f1827d1385260a0bf23390c472e2df3bb6a6251c2d49c2efb7f5aed3b56fdd03c9bc61196</t>
  </si>
  <si>
    <t>1379</t>
  </si>
  <si>
    <t>1143398232</t>
  </si>
  <si>
    <t xml:space="preserve">FERMIN  GUERRERO </t>
  </si>
  <si>
    <t>fc273ba321b61d8c2ea07fb27c7e7d0a4639e0227cd6e2da16a4b35eb9cf84cb7b17bf1b279a9b3b52fa312715070290</t>
  </si>
  <si>
    <t>1377</t>
  </si>
  <si>
    <t>1143151205</t>
  </si>
  <si>
    <t>ERICK JOSE  MONTERROSA HERNANDEZ</t>
  </si>
  <si>
    <t>e6999b81f2c403fcfa3801fa4ba6d1f857c09f487b376750feafe7f9e45eac8dca30b184fd6cb7fa3bfea2aac271ef0f</t>
  </si>
  <si>
    <t>1375</t>
  </si>
  <si>
    <t>1061687770</t>
  </si>
  <si>
    <t>JHONIER FELIPE  BALANTA MOLINA</t>
  </si>
  <si>
    <t>9a3899a6a8f4684e7a897a6588d0227091d90a2562f4f77ad5282d719a187fcb9f3d95af6329ca37b979e552f6c2ad55</t>
  </si>
  <si>
    <t>1376</t>
  </si>
  <si>
    <t>1143144351</t>
  </si>
  <si>
    <t>LIZETH PAOLA  CASTRO CORREA</t>
  </si>
  <si>
    <t>653703eb6da38641335f38960e4b86103dc91c46b38c307c4e6ce6a42526a95b52ff8a09d994064cda09995d7366ef4a</t>
  </si>
  <si>
    <t>1372</t>
  </si>
  <si>
    <t>1042463903</t>
  </si>
  <si>
    <t>JAIME LUIS  ORTEGA MARTINEZ</t>
  </si>
  <si>
    <t>00889d16ec573acef666bf77bc6c77a5319846e00ff2a8ae20187dea567a4440cafb16bb113ededb7c48b120cee41fe2</t>
  </si>
  <si>
    <t>1374</t>
  </si>
  <si>
    <t>1051447721</t>
  </si>
  <si>
    <t xml:space="preserve">FANY  MUENTES </t>
  </si>
  <si>
    <t>c57529acb63d71bab4d840533eb19e1b902497389c0a5ca6fb8b0fa960fc4b0c5a85261bfebd9eef12c16e747ea9c44b</t>
  </si>
  <si>
    <t>1369</t>
  </si>
  <si>
    <t>1002071941</t>
  </si>
  <si>
    <t>PAULA ANDREA  TORREGROSA MERCADO</t>
  </si>
  <si>
    <t>462e4e08e8245394a5e251ccad1ca2b97ef24e6605795d062ea6791f16548f47baa38ce396596b9c899a25589e386b49</t>
  </si>
  <si>
    <t>1373</t>
  </si>
  <si>
    <t>11-12-2025 14:54:45</t>
  </si>
  <si>
    <t>1043122434</t>
  </si>
  <si>
    <t xml:space="preserve">YARNOBIS  BARRIOS </t>
  </si>
  <si>
    <t>4e405625193fbf7f940d60cd158a32f55c84746a8449d2cad81859dfacf22af0621681a6371c7b784f5a4b6e7237e478</t>
  </si>
  <si>
    <t>1371</t>
  </si>
  <si>
    <t>1042417207</t>
  </si>
  <si>
    <t xml:space="preserve">ANTONIO  RAMOS </t>
  </si>
  <si>
    <t>aef632b2b73fa2ff99e9d71fa19b337aefc6fdffe9637fec75b3df7ed65d33e8208cacda1d3168900a715fc1abaf1a6d</t>
  </si>
  <si>
    <t>1370</t>
  </si>
  <si>
    <t>1042346990</t>
  </si>
  <si>
    <t>MANUEL EDUARDO  MONTENEGRO POLO</t>
  </si>
  <si>
    <t>9da324bc310f383f28352fbb20df273ff186ac72b3d923c56f35f21b1b1846ca16314115a7885e4779dd23999bfb3dc3</t>
  </si>
  <si>
    <t>1368</t>
  </si>
  <si>
    <t>1001940420</t>
  </si>
  <si>
    <t xml:space="preserve">MOISES  PAEZ </t>
  </si>
  <si>
    <t>07f7c12c93b54c410029502bc5af507d1c645e79ff16d5594988c78007caa678b77060dd9f5113095a1d2d408931211c</t>
  </si>
  <si>
    <t>1367</t>
  </si>
  <si>
    <t>1001875626</t>
  </si>
  <si>
    <t>JUAN JOSE  MONSALVO SAMPER</t>
  </si>
  <si>
    <t>dc23e832c7853187eaa4e1be4d468b290032074a7ec4886426f050304a91a36f0f880066e5dd03add537173b301455f0</t>
  </si>
  <si>
    <t>1366</t>
  </si>
  <si>
    <t>85127397</t>
  </si>
  <si>
    <t>ONEIS ANTONIO  DE LA HOZ BERMUDEZ</t>
  </si>
  <si>
    <t>543c9d8554345b50bf295bf8a8a693698a076ce1ab94364d0d198740078ac75686c5dabd291249a958ff62c440f2de47</t>
  </si>
  <si>
    <t>1364</t>
  </si>
  <si>
    <t>72187551</t>
  </si>
  <si>
    <t>RODOLFO  CONSUEGRA ESCORCIAN</t>
  </si>
  <si>
    <t>4c0f4c54fc22b31677c4172253c5647d1bc706bfe105cc20186f2cf40598c829b1032e005e176a81a5bd2483147298b3</t>
  </si>
  <si>
    <t>1365</t>
  </si>
  <si>
    <t>77018345</t>
  </si>
  <si>
    <t>JOSE  OROZCO YANCE</t>
  </si>
  <si>
    <t>d90955e030e790b83dfd17ec45d67805935ce78204f6c9e38ded4893593d936f7684e1c6560aaa4fc08ed4a79403d87b</t>
  </si>
  <si>
    <t>1362</t>
  </si>
  <si>
    <t>11-12-2025 14:54:44</t>
  </si>
  <si>
    <t>8787462</t>
  </si>
  <si>
    <t>RENE ALFONSO  PEREZ FORTICH</t>
  </si>
  <si>
    <t>8c0f381d10b166ac08732e46334733f2c81ddf319565b93c4517798945fa71b123b82350dd6844641f47b4d5c6bec8b9</t>
  </si>
  <si>
    <t>1360</t>
  </si>
  <si>
    <t>8723371</t>
  </si>
  <si>
    <t>SILFREDO  PEREZ SOLAR</t>
  </si>
  <si>
    <t>301cf6ae2c8bb6f37b4e094a6f40cc05589d5fcaf7023e3f18123c357e05713ca6911a771a662193116ff2f71b9e0348</t>
  </si>
  <si>
    <t>1361</t>
  </si>
  <si>
    <t>8759774</t>
  </si>
  <si>
    <t>JOSE  SORACA CASTA�O</t>
  </si>
  <si>
    <t>9d2451257cd22fb616b6f7e5abd02df2dbb9adf1b5b6151420a84ac51c7094111345a4aabc96a9a6b2a3ece9a1f1598d</t>
  </si>
  <si>
    <t>1363</t>
  </si>
  <si>
    <t>18879745</t>
  </si>
  <si>
    <t>JAVIER ALEJANDRO  NOVOA GUERRERO</t>
  </si>
  <si>
    <t>b9534de84682f369c440dcecfde5122142eae5a78ec4fb7c112b46d608eb55b01a53910ad5f0dff4327559e29f3cf0f1</t>
  </si>
  <si>
    <t>966</t>
  </si>
  <si>
    <t>10-12-2025</t>
  </si>
  <si>
    <t>10-12-2025 12:53:25</t>
  </si>
  <si>
    <t>dbade4fd0c2e367661ef3d84cb0d67761191b42c34578d420b3f7d5a2add0b23617e86cdc58e95a5db5c9ea7cd03794f</t>
  </si>
  <si>
    <t>965</t>
  </si>
  <si>
    <t>10-12-2025 12:49:54</t>
  </si>
  <si>
    <t>84bf4c2cfad1245000038a9fb44452cf31e537f621deb442b18e60d2dd8ddf3a7fa56f283d85ee2ddb1f25850a0776ba</t>
  </si>
  <si>
    <t>960</t>
  </si>
  <si>
    <t>25-11-2025</t>
  </si>
  <si>
    <t>25-11-2025 09:51:54</t>
  </si>
  <si>
    <t>Documento soporte con no obligados</t>
  </si>
  <si>
    <t>c820e646f79de239666adfa4e33aef984de2e408d66c7f73c9f6fe9a40b49767a07319a2a5655fdf785b11ec6116eedc</t>
  </si>
  <si>
    <t>5304</t>
  </si>
  <si>
    <t>10</t>
  </si>
  <si>
    <t>10-12-2025 10:58:22</t>
  </si>
  <si>
    <t>DIESEL CAT LTDA.</t>
  </si>
  <si>
    <t>8ecab5cff1fcca8f4269da0e55d6520b209bf2f1e122af212955e527eebe993c677fe881cca82218647d5b29f3f7da0f</t>
  </si>
  <si>
    <t>5303</t>
  </si>
  <si>
    <t>10-12-2025 10:57:18</t>
  </si>
  <si>
    <t>JOSE  SORACA CASTAO</t>
  </si>
  <si>
    <t>7a30110d637e6dadca07684f4a51ef6a43b795e5d20c25d61e1732cb0b22a1e55e168bc8b152e60d86555307f276485c</t>
  </si>
  <si>
    <t>5302</t>
  </si>
  <si>
    <t>10-12-2025 10:55:55</t>
  </si>
  <si>
    <t>ffc5a14814e4aaa2efe2520cba3286b3af009dee7cdeb3d1e654763db3faa37ed2fce056d92061d0d0d5230d918b9f94</t>
  </si>
  <si>
    <t>5301</t>
  </si>
  <si>
    <t>10-12-2025 10:48:08</t>
  </si>
  <si>
    <t>72126771</t>
  </si>
  <si>
    <t>JAIME ALBERTO PERDOMO GUTIERREZ</t>
  </si>
  <si>
    <t>f91582cc5b53f67570cb3f298ea27d63cd3a0702be3da69270eb42660ed7d5cc1575a912aea115be7de1c5ce928f6b8f</t>
  </si>
  <si>
    <t>5300</t>
  </si>
  <si>
    <t>10-12-2025 10:23:31</t>
  </si>
  <si>
    <t>1045694497</t>
  </si>
  <si>
    <t>ARLEY  ZABALETA ALVAREZ</t>
  </si>
  <si>
    <t>4194db513d2452bc13cc8be23deda080dbed4c65563dfb3d02e4a662aefed361062983e258cf4f754ad59cedcd0eb4b2</t>
  </si>
  <si>
    <t>964</t>
  </si>
  <si>
    <t>03-12-2025</t>
  </si>
  <si>
    <t>03-12-2025 13:18:55</t>
  </si>
  <si>
    <t>d6524baba51cbf30008c0eccef3bf178e8585b3cf3a840e97070a651a487e6fa2bc4049ce73f9c1023fbef81bcabd2ce</t>
  </si>
  <si>
    <t>963</t>
  </si>
  <si>
    <t>02-12-2025</t>
  </si>
  <si>
    <t>02-12-2025 15:25:37</t>
  </si>
  <si>
    <t>cb014f5ecd5ca73d9e43ffb99809febfe49de232a2245ad9f24c8861585f4ccde9cbd620ecee14d173ca5c29dac80e57</t>
  </si>
  <si>
    <t>962</t>
  </si>
  <si>
    <t>02-12-2025 15:21:47</t>
  </si>
  <si>
    <t>a89907c2c8741d1f92c533f168a149b26336c1e547ca998edd11629c9e2c793b20c6fa213cbbed4d2aa5e61e9f8a5d1d</t>
  </si>
  <si>
    <t>961</t>
  </si>
  <si>
    <t>01-12-2025</t>
  </si>
  <si>
    <t>01-12-2025 11:58:05</t>
  </si>
  <si>
    <t>890101092</t>
  </si>
  <si>
    <t>NAVIERA FLUVIAL COLOMBIANA S.A</t>
  </si>
  <si>
    <t>Application response</t>
  </si>
  <si>
    <t>800081125</t>
  </si>
  <si>
    <t>CALZAMOS SAS</t>
  </si>
  <si>
    <t>20-11-2025</t>
  </si>
  <si>
    <t>900831584</t>
  </si>
  <si>
    <t>CENTRO DE CAPACITACION LABORAL SAS</t>
  </si>
  <si>
    <t>Centro de Capacitación Laboral S.A.S.</t>
  </si>
  <si>
    <t>cd344b2bd6d5a0833c429eeba002bcddd0ee57615c2a906c5ac67872894d68b9b83e626563a9dba6ae87e7a775553c2b</t>
  </si>
  <si>
    <t>959</t>
  </si>
  <si>
    <t>19-11-2025</t>
  </si>
  <si>
    <t>19-11-2025 14:24:34</t>
  </si>
  <si>
    <t>900305709</t>
  </si>
  <si>
    <t>ALSERTEC S.A.S.</t>
  </si>
  <si>
    <t>e0efd91a1a0731894a8fbee500a8f9916b25cc022532a7b6e4b8ce471237c9129562e139275ab77d0b2042139a18acb8</t>
  </si>
  <si>
    <t>958</t>
  </si>
  <si>
    <t>19-11-2025 14:21:41</t>
  </si>
  <si>
    <t>e64a9e1abceff6a139300ed0fc6a0962770cb792150119e41992a283d559bf02309c0022234ce74acf4d82c793fe3ebc</t>
  </si>
  <si>
    <t>957</t>
  </si>
  <si>
    <t>19-11-2025 14:07:13</t>
  </si>
  <si>
    <t>9860bd2c4b25af848752d4d2f5ce3f27faf384c8d22ab888e503fb26ae216c60cd53fa818a57e2d6c99df7342e4281f4</t>
  </si>
  <si>
    <t>956</t>
  </si>
  <si>
    <t>19-11-2025 14:04:10</t>
  </si>
  <si>
    <t>900595188</t>
  </si>
  <si>
    <t>ELECTRICOS Y SEGURIDAD DE LA COSTA CARIBE S.A.S. 01 00</t>
  </si>
  <si>
    <t>676f90eb3783893d08a09a1f9a0b57a9aa7783fad2e0708bc5784828d1ddcd3fab826eee1fb99210254e08b1f7dbe60d</t>
  </si>
  <si>
    <t>955</t>
  </si>
  <si>
    <t>12-11-2025</t>
  </si>
  <si>
    <t>12-11-2025 14:55:22</t>
  </si>
  <si>
    <t>05f755cddb3c1c3422712fb7688ad1996eb60fbd43116d826768145d106d0c99ef33abdb3bf98cf55817455e314406c2</t>
  </si>
  <si>
    <t>954</t>
  </si>
  <si>
    <t>12-11-2025 14:45:00</t>
  </si>
  <si>
    <t>Nomima Individual De Ajustes</t>
  </si>
  <si>
    <t>8c1fff4445ea9d190efb270535f4a3a0d41ecc6a788998264d68fd2c0bd4918ed8f5f91020a0c256334bb8fe22dbafd5</t>
  </si>
  <si>
    <t>1351</t>
  </si>
  <si>
    <t>12-11-2025 09:49:57</t>
  </si>
  <si>
    <t>73a65d39818354e29e636f8cffe572d2bda8fb1aacc84c7cfaefe9964b3458723ea3d160a16adea88cd4762f7e045538</t>
  </si>
  <si>
    <t>1350</t>
  </si>
  <si>
    <t>12-11-2025 09:49:56</t>
  </si>
  <si>
    <t>828aba8003aa638d96382935875e6795d1433428c6ab056d826eda972eb7caaca27a20c88cc5727ae51ca590811542d6</t>
  </si>
  <si>
    <t>1359</t>
  </si>
  <si>
    <t>448d9911f320be9c7e95c34bf63fbb3383ce72ed6685517017fc11ad5ed32d714e0aec390feef36149de5f21bb5aa22c</t>
  </si>
  <si>
    <t>1357</t>
  </si>
  <si>
    <t>bc3febc313f348bd7875326a93430fe25036202b0ee4d9e51349118a16585915417cf5079063ee442188c9a56dc49f59</t>
  </si>
  <si>
    <t>1344</t>
  </si>
  <si>
    <t>61a777d374b38381fdb5688fa4d294b2f4a615e18837856b50a38792a32189c328d0eb483dcbd06f26c1bc7a26633938</t>
  </si>
  <si>
    <t>1355</t>
  </si>
  <si>
    <t>2c9efc65d96241487593165447ed5d8cd08c7b53aa1414e94f539120ccf70bb8b38e8b3d3683b5227180fc20277435b0</t>
  </si>
  <si>
    <t>1342</t>
  </si>
  <si>
    <t>2fd798c8192ecde7038fc338792a3148fc41ebd022d4b0304ea5469ef851d11d3e22339f4bc13804e822d2f186205077</t>
  </si>
  <si>
    <t>1358</t>
  </si>
  <si>
    <t>12220840bb54ccfed7d45a5b0b0f9bc895beb3c04841cfce9a828af11224a2bbff532ff9cbbf1189ab088c0f964aabf8</t>
  </si>
  <si>
    <t>1349</t>
  </si>
  <si>
    <t>b84e74aad2e653dab06d53a3c56125142f3ae76423cbc8c0e32fc26f9011c9c12084c0ee50fac926e53faec49287e857</t>
  </si>
  <si>
    <t>1353</t>
  </si>
  <si>
    <t>3d0facd2c6f337bf1996c0f2c21245ddf86a026a72d60f63c64006df570b75c3f93f56fdbc672ce3fa82d10588025df8</t>
  </si>
  <si>
    <t>1348</t>
  </si>
  <si>
    <t>9dbf662d07cbef5742da62ca5d500a064229c5486894871d1bf1f119d13deb0c5a941530a4550a97f6bacfe110a0e044</t>
  </si>
  <si>
    <t>1356</t>
  </si>
  <si>
    <t>ed13a15ade83fa1fdeaa106af1a711b28a0ad8a62fb4f1e6858cd54cb96a12c6a39fddfaca90070e2a6a5f4457cda620</t>
  </si>
  <si>
    <t>1352</t>
  </si>
  <si>
    <t>f4ee07ef3d90cf56ca8640c4786e563f587bd9dcad31f42fb1d7978a19535a1ddf4ab8f2dfcece70db97f6990bd3f2c8</t>
  </si>
  <si>
    <t>1347</t>
  </si>
  <si>
    <t>12-11-2025 09:49:55</t>
  </si>
  <si>
    <t>5f5562e45b2b51e0b4d64bb10d4b701c92b4112eec7f92f0db765ec18a96508203e7567f3cd727d79b0c976810053c1f</t>
  </si>
  <si>
    <t>1354</t>
  </si>
  <si>
    <t>169fa683c26860efce2c6b5277a70330c917af727d17cdac3ef219658f09de66c4aa1de720e0716a5b996e17428e5f67</t>
  </si>
  <si>
    <t>1345</t>
  </si>
  <si>
    <t>4ab665b6bf841d7ec44d22f604e07ecf3b8f35ad9f60ab60609cebc62b92dad4b29f94f33c421ab5d74adad9020406f4</t>
  </si>
  <si>
    <t>1346</t>
  </si>
  <si>
    <t>bfdd884994e66c2ced95cc3478e9afed9ce88b9c9926ac1f99049399de7899996104a797184851db3554bfdbdb4c73d3</t>
  </si>
  <si>
    <t>1339</t>
  </si>
  <si>
    <t>b4878e9166196ab5bc2b466522da55523c54ddd7a3d855a1bfeb31a0e04c01fc32b4d40407653945ceb653213ed3fff1</t>
  </si>
  <si>
    <t>1338</t>
  </si>
  <si>
    <t>e1199b8047209356de862c39a9c8ac277cf53f0ae8449a4c66034c1f3b4ce71de6626d4766e3de1750d224060f6f0a20</t>
  </si>
  <si>
    <t>1340</t>
  </si>
  <si>
    <t>f35e2801e416b304bbf9302da9e399cb79102d7df6a0db6c02aafe23d672843066a0c156711f1c18c4f4f0bc1ad3ea6a</t>
  </si>
  <si>
    <t>1341</t>
  </si>
  <si>
    <t>dab741f169b8fd0e7e10074db6e77ea8ccb9ff954226f78a7249d6d4b7f5e8ad7581f3e295da0aab763d7859939b0f4c</t>
  </si>
  <si>
    <t>1343</t>
  </si>
  <si>
    <t>ae8afd314756149f5b88a549db332f0ec2157c113deb8c7d34189c12ad06e201f3b7e9d8fb16d269bd423e85cc5d8b99</t>
  </si>
  <si>
    <t>1337</t>
  </si>
  <si>
    <t>12-11-2025 09:41:18</t>
  </si>
  <si>
    <t>e36156c215eba127359dca687634499da43f0eaef75ced862fb1ebbcb6d13962b22bfc5e630557cc25859a2173a4d269</t>
  </si>
  <si>
    <t>1333</t>
  </si>
  <si>
    <t>d4287bad4b870ee2d3a126f931777dd00df0e79d247b5659badad5cdd58d539c1ddf782550ba912eecee88bcc33f6f04</t>
  </si>
  <si>
    <t>1330</t>
  </si>
  <si>
    <t>f812903524b8b503fc32fc177caf6339ca717e263e53a2b7b012c085a986f6e27712f43fa921b8cbce84896bce9bcbe3</t>
  </si>
  <si>
    <t>1332</t>
  </si>
  <si>
    <t>77977ea7d9a93058c285a804ce081abafa8c0e78e3efcf4c3cdb885107d2ea4d843018d05388a2d1e53f1caaee7f262c</t>
  </si>
  <si>
    <t>1335</t>
  </si>
  <si>
    <t>bc650e09cb1199c58eaf230867bfd8e0e38971a0d5526bc96f22d34f1d3a2b90a7847105f2f25e8b61435698ba486bc2</t>
  </si>
  <si>
    <t>1334</t>
  </si>
  <si>
    <t>13a6a64178a6d1e1a57b2df6b6d1d650fdc6b2ba4019a9d20588d88dce1fa31cd6ea45d8f52ed0f08868d58e43ef0e56</t>
  </si>
  <si>
    <t>1336</t>
  </si>
  <si>
    <t>ed23cd6543053c5ebefd3e1c98cff4cd21389ee70417e942e21cebf1d5de8776f5c5dde9407c598f13d6d833e734ddf1</t>
  </si>
  <si>
    <t>1331</t>
  </si>
  <si>
    <t>b034c6265be77e6795e144240081671ae99d92208bc355e22fd37c9db38add5420dee7b8437dd3ae7181b8a95e001bcb</t>
  </si>
  <si>
    <t>1323</t>
  </si>
  <si>
    <t>12-11-2025 09:41:17</t>
  </si>
  <si>
    <t>764190f6142aefe44b123bff4fdbea27633f9219e93bcbe4d708e9fcf521af04ee041b42136c5e74e0cd9c9da43dd75f</t>
  </si>
  <si>
    <t>1318</t>
  </si>
  <si>
    <t>1ff3d1b99caf74a4e873e1420b2b88bf2f8a4a0e73e0d33fab2ba0644d65a382688f81c07c38855943b10f4e6085746e</t>
  </si>
  <si>
    <t>1326</t>
  </si>
  <si>
    <t>7d0d204b4bcbff91530be7c2188bc6763ee90d000aac60fb296555a6671f40a72a6f9083718184de5f38321338646f86</t>
  </si>
  <si>
    <t>1328</t>
  </si>
  <si>
    <t>1b33bacacdcf6186ec442cf215ef9243da925d79169215398d368f005a6afe03dfc7115e4eb30eae4d95c782b36521cb</t>
  </si>
  <si>
    <t>1325</t>
  </si>
  <si>
    <t>52a5c961ecf6783b3bec58e4e0b791ebbece77909595ef2b6c7ea1210eacd1708b044fc974b3731470747d69fd3261c8</t>
  </si>
  <si>
    <t>1329</t>
  </si>
  <si>
    <t>788c61356696d8f05a22a6f7bf2b8204dfbb0fa557740e681969e872f317f2c1d79e6b0a7509c2e33fa270f8696b9d42</t>
  </si>
  <si>
    <t>1327</t>
  </si>
  <si>
    <t>b9a242d67b2b86b45d4d4b3d089e7766a5be2e3a2304970445c7a1c64b570eb33891abd5154a3583da6d96ef8afd6b76</t>
  </si>
  <si>
    <t>1324</t>
  </si>
  <si>
    <t>8479c5ddd7fc12f426d1245e38a9d386e5a778d1505d21440f5ea4436487110468cc6c2d63c3580a9f5a683d94d9aba1</t>
  </si>
  <si>
    <t>1316</t>
  </si>
  <si>
    <t>9d3d9c412fb574190281d7fc421a1f0ae380044113cdd6ec1d6507bdd34de226af569f6688f3ec8e9795bf7b95501474</t>
  </si>
  <si>
    <t>1320</t>
  </si>
  <si>
    <t>a342ae45431f50f49f2c6c2e22cb47e95b245836245d0de26e81ea686b576f693027be88a8ae3ee9c3404b201b2815ae</t>
  </si>
  <si>
    <t>1317</t>
  </si>
  <si>
    <t>5a9c3b84e7e247d309251b3ed157fcb9f0c2aa90384ace93bd836d0a4c8f1584ef84db4c9883a3c2bdee5989273190bc</t>
  </si>
  <si>
    <t>1322</t>
  </si>
  <si>
    <t>d88f48e3f742e2e0c9c025c90a6c13f7cc363e53021658f5788d66baf3c551ffe2216a4ee7c49ac1b01050e5c639b096</t>
  </si>
  <si>
    <t>1321</t>
  </si>
  <si>
    <t>c993f6f7d386f07899d65a24f27e981ef5d6bc716c4e144c269ded0aa9fa45a4757517ba79e4f4ad620e50e2a4a6a364</t>
  </si>
  <si>
    <t>1319</t>
  </si>
  <si>
    <t>66749bfde897fad398439ee6b8f57fb9c80174f542168080d8fc6beb99766bd9d622d4d12448093ad47cdc5a3e322f82</t>
  </si>
  <si>
    <t>942</t>
  </si>
  <si>
    <t>22-10-2025</t>
  </si>
  <si>
    <t>22-10-2025 09:30:06</t>
  </si>
  <si>
    <t>2349af50266abc8cde13803c6b124c2daa930fa211cf58d0eae182c7ee6d0ec184d1d296e61edeb0fc2baaa664cdd123</t>
  </si>
  <si>
    <t>941</t>
  </si>
  <si>
    <t>22-10-2025 09:27:01</t>
  </si>
  <si>
    <t>fbb9b97d42a9bef93f8e0d5ed36136c89bd7642e356e568b9a757e419e72d551a28e1ab94fea7251de8ca3f9c84cdcfe</t>
  </si>
  <si>
    <t>914</t>
  </si>
  <si>
    <t>10-09-2025</t>
  </si>
  <si>
    <t>10-09-2025 15:08:47</t>
  </si>
  <si>
    <t>ee73d3320667dfa2c198dd4472e32dd54b066cbb3b6606865bec9ae8053c54739e0ea435d2bf310f5f982fa9434eca56</t>
  </si>
  <si>
    <t>934</t>
  </si>
  <si>
    <t>01-10-2025</t>
  </si>
  <si>
    <t>01-10-2025 09:06:45</t>
  </si>
  <si>
    <t>10-11-2025</t>
  </si>
  <si>
    <t>800000835</t>
  </si>
  <si>
    <t>DISTRIBUCIONES INDUSTRIALES ALIPAR Y COMPANIA LIMITADA</t>
  </si>
  <si>
    <t>fe4a3a5c99c99d6dc6206336a3b99797c93b719cbc00c7d73fcf5cf98cff302e7b41c510e5ff3daa4f543c6948a4b860</t>
  </si>
  <si>
    <t>5299</t>
  </si>
  <si>
    <t>10-11-2025 11:39:34</t>
  </si>
  <si>
    <t>3fd08048e85aecc667e6d66723b00c74c7b41216eb077c3f06e25ace60ecd56a5f614572a546262cd3ded6c0f7a96b07</t>
  </si>
  <si>
    <t>5298</t>
  </si>
  <si>
    <t>10-11-2025 11:36:59</t>
  </si>
  <si>
    <t>LIZETH PAOLA CASTRO CORREA</t>
  </si>
  <si>
    <t>56f09e89e4a6965b8fc02bc68d4aad7a8d53741c78d9035185f23a1af0ed65939357879606104ab2ae803dd684322c6d</t>
  </si>
  <si>
    <t>5297</t>
  </si>
  <si>
    <t>10-11-2025 11:28:20</t>
  </si>
  <si>
    <t>2712e1274dc2cee6b4019edeebf7e5238e50e4160faf9480b3270389d8ab6bae8c37050abf988ac74320c6328dc87317</t>
  </si>
  <si>
    <t>5296</t>
  </si>
  <si>
    <t>10-11-2025 11:24:33</t>
  </si>
  <si>
    <t>3708055</t>
  </si>
  <si>
    <t>ANTONIO JOSE LEWIS BROCHERO</t>
  </si>
  <si>
    <t>5ee2f9c85dea32fc3c66f47a5f2ea37cac6f8f2a965435a7f1c362bcf275cfebe71162b737119b2204a908999ea7278d</t>
  </si>
  <si>
    <t>5295</t>
  </si>
  <si>
    <t>10-11-2025 11:21:51</t>
  </si>
  <si>
    <t>f5007f5ab90eb411df75ae91a2f3f472e6060caddb5bda41e3b1ea9cd7db4d69ae4b77b33017a5382c90231888bad3c7</t>
  </si>
  <si>
    <t>5294</t>
  </si>
  <si>
    <t>10-11-2025 11:21:04</t>
  </si>
  <si>
    <t>99981149add4049484f99fcea83ad5d18a5e7bcb6a46d057147a367e5c13b1c7d3a3928e7fe6d7f2bc5ac73197a0e673</t>
  </si>
  <si>
    <t>5293</t>
  </si>
  <si>
    <t>10-11-2025 11:20:14</t>
  </si>
  <si>
    <t>3a0c2e097f20d6ebc8b51c9fd42b04c538709875c544a97ed54f9ce77846da67eb04d23abbed19a4b0c851eaac758328</t>
  </si>
  <si>
    <t>953</t>
  </si>
  <si>
    <t>04-11-2025</t>
  </si>
  <si>
    <t>04-11-2025 10:47:01</t>
  </si>
  <si>
    <t>800203642</t>
  </si>
  <si>
    <t>SAAM TOWAGE COLOMBIA S.A.S</t>
  </si>
  <si>
    <t>07-11-2025</t>
  </si>
  <si>
    <t>c572be9996a601ea733b6d9131bd49f9ff7f63762eb8592f284d720055a1d4c0570cb4db81cff7c8ff968cd2c7ae7006</t>
  </si>
  <si>
    <t>936</t>
  </si>
  <si>
    <t>16-10-2025</t>
  </si>
  <si>
    <t>16-10-2025 10:05:03</t>
  </si>
  <si>
    <t>819000976</t>
  </si>
  <si>
    <t>SERVICIOS PORTUARIOS S.A.S SERPORT S.A.S</t>
  </si>
  <si>
    <t>14643cd290ed2ce736bbd9f3ad52799f8e14dac70da6a359e24ceea9820a9bfe4dd6a5f728d9ac3506a4aab2f87d0353</t>
  </si>
  <si>
    <t>935</t>
  </si>
  <si>
    <t>16-10-2025 09:59:56</t>
  </si>
  <si>
    <t>e33e1035d5b9d8d695bd05988e470774618e28d1f92e481f0fcc208afe0ae1f2063749cf61ac77f38a1a8824cc596c96</t>
  </si>
  <si>
    <t>952</t>
  </si>
  <si>
    <t>30-10-2025</t>
  </si>
  <si>
    <t>30-10-2025 09:44:09</t>
  </si>
  <si>
    <t>29-10-2025</t>
  </si>
  <si>
    <t>800178052</t>
  </si>
  <si>
    <t>ZONA FRANCA DE LA CANDELARIA S.A USUARIO OPERADOR</t>
  </si>
  <si>
    <t>900777045</t>
  </si>
  <si>
    <t>HSEQ DE LA COSTA S.A.S.</t>
  </si>
  <si>
    <t>901494140</t>
  </si>
  <si>
    <t>BYOMEDIC INTEGRAL IPS SAS</t>
  </si>
  <si>
    <t>28-10-2025</t>
  </si>
  <si>
    <t>860030828</t>
  </si>
  <si>
    <t>FERRETERIA INDUSTRIAL S.A.S.</t>
  </si>
  <si>
    <t>900813757</t>
  </si>
  <si>
    <t>MEDICINA LABORAL CONTINENTAL S.A.S.</t>
  </si>
  <si>
    <t>802014850</t>
  </si>
  <si>
    <t>METROLOGIA INSTRUMENTACION Y CONTROL MIC SAS</t>
  </si>
  <si>
    <t>900425588</t>
  </si>
  <si>
    <t>INSTRUMENTACION DEL CARIBE SAS</t>
  </si>
  <si>
    <t>9b92625a6c3b4c6322ff302101cbf543dbc39ce692c4038646080b0ca7dfe76bbec9a60a1c5dbf617c0d9716c46e06d9</t>
  </si>
  <si>
    <t>5292</t>
  </si>
  <si>
    <t>28-10-2025 14:38:55</t>
  </si>
  <si>
    <t>901741225</t>
  </si>
  <si>
    <t>VISION PERFECTA C&amp;#38M SAS</t>
  </si>
  <si>
    <t>c472711f3016cd13e38f0dde766266b6242591365038e3a64c1d2a85b2c07679b0ac2ceae61b3304d4fcfa03a69d7686</t>
  </si>
  <si>
    <t>5291</t>
  </si>
  <si>
    <t>28-10-2025 14:37:39</t>
  </si>
  <si>
    <t>1010124224</t>
  </si>
  <si>
    <t>SARAYS BANESA PADILLA ARBELAEZ</t>
  </si>
  <si>
    <t>e98cb18fdd31b4dd22f3870d16e185813a21de322c12acae43bd5620fb3b991ec8088095b2f0d77a92f147fb333b23d0</t>
  </si>
  <si>
    <t>5290</t>
  </si>
  <si>
    <t>28-10-2025 14:35:48</t>
  </si>
  <si>
    <t>dd90e2c65f3120d1fe57752383e5d0d30e867b224281efa2e213a751984eeeae048c157a4fe1723a10ea65f291a215c7</t>
  </si>
  <si>
    <t>951</t>
  </si>
  <si>
    <t>24-10-2025</t>
  </si>
  <si>
    <t>24-10-2025 14:10:32</t>
  </si>
  <si>
    <t>c616e48188d5c4a7d144d34b3a072a675e357f83006852f5c9523ff62afe9de35f56fa1ed1344e890100a1ef6e56efe1</t>
  </si>
  <si>
    <t>950</t>
  </si>
  <si>
    <t>24-10-2025 14:06:32</t>
  </si>
  <si>
    <t>04d5318bdad5c6c0591b09015b128bacfd6e29c4c6bc5ead29022e063f0966aa0b663e3cd16ca53f516c3ff103dc9f44</t>
  </si>
  <si>
    <t>949</t>
  </si>
  <si>
    <t>23-10-2025</t>
  </si>
  <si>
    <t>23-10-2025 11:05:31</t>
  </si>
  <si>
    <t>948</t>
  </si>
  <si>
    <t>Nota de crédito electrónica</t>
  </si>
  <si>
    <t>228461ea6d801558d13020e51caa4822afb371bd0909a3bb779fe036a2009cb2d908050b07b4715a971f8d074044f972</t>
  </si>
  <si>
    <t>944</t>
  </si>
  <si>
    <t>23-10-2025 10:33:17</t>
  </si>
  <si>
    <t>db50f05f30b18f36e4a31cac51fc18cf2db244fb5d145edbe71196c1407de6719e7c9e07a5f7eebc19e9a723879293fb</t>
  </si>
  <si>
    <t>947</t>
  </si>
  <si>
    <t>23-10-2025 10:54:59</t>
  </si>
  <si>
    <t>d6eb592d0cc5ffe89b497d0635bcec8eaa06dfe4802866abce3c3a8346180713ed16957798fe3617e341be1caa923fb6</t>
  </si>
  <si>
    <t>946</t>
  </si>
  <si>
    <t>23-10-2025 10:40:53</t>
  </si>
  <si>
    <t>bfca4191d52dbe5f143a922def0ce911e15740b0c60f80ea68fae7da495fed653c38c5b68f167a466e08f2558a1feebc</t>
  </si>
  <si>
    <t>945</t>
  </si>
  <si>
    <t>23-10-2025 10:37:15</t>
  </si>
  <si>
    <t>e5dcfff60872bece8ef89f14666c109ae8515c935f421dfcb603cdfe29b64648fbbe6307c6630b85f2bd108eaa5138d2</t>
  </si>
  <si>
    <t>943</t>
  </si>
  <si>
    <t>23-10-2025 10:30:00</t>
  </si>
  <si>
    <t>2cd2a37b69aa4168b5e4a4f7019e5b5607819d617888d94b47b352bc83671ee3db2f62efad693652d5c6ec29bce8eec6</t>
  </si>
  <si>
    <t>913</t>
  </si>
  <si>
    <t>03-09-2025</t>
  </si>
  <si>
    <t>03-09-2025 13:39:18</t>
  </si>
  <si>
    <t>2ed29bc4b9c4f36c824f2af460b5f7e1f9dacc1c29002fa1daa34a72397c16cc8e7a8b470261aef1bf5e4800dc80b38e</t>
  </si>
  <si>
    <t>910</t>
  </si>
  <si>
    <t>02-09-2025</t>
  </si>
  <si>
    <t>02-09-2025 12:01:06</t>
  </si>
  <si>
    <t>403b24b353d62bebaa3baa7bd5919cc60ab218ad4d3b812f25c305b7b8b7ca76f77b16130da7e695e522bab377ac6ca7</t>
  </si>
  <si>
    <t>912</t>
  </si>
  <si>
    <t>02-09-2025 13:42:00</t>
  </si>
  <si>
    <t>8aae981cfb735374b7e7d9b7ea2dff413957797d0ac857d74ccc5fa867fc2dbf83b2ab13564646265dfb0af490a78024</t>
  </si>
  <si>
    <t>911</t>
  </si>
  <si>
    <t>02-09-2025 13:38:05</t>
  </si>
  <si>
    <t>fa23c8fcf1c2919fcff79ce21fc8174795ae4d4465118db04e8b9f8e941e5b3d966493dbc2d122be5b123bb3b9350cf4</t>
  </si>
  <si>
    <t>5289</t>
  </si>
  <si>
    <t>22-10-2025 13:46:05</t>
  </si>
  <si>
    <t>MARCO ANTONIO QUIROGA MOLINARES</t>
  </si>
  <si>
    <t>3e74120ad6a7a0bdfd968552fed436091aca8c87487d24d19ad6b4785898ff154dc7f3c75aa403378e8696e6f515b87e</t>
  </si>
  <si>
    <t>5288</t>
  </si>
  <si>
    <t>22-10-2025 13:33:20</t>
  </si>
  <si>
    <t>fa98ab02179d01b45a1fa5fb9d1626af9b096e7c5ab246d70a603c2164d1e4d6add763e4d28883e07af77583e8167c8d</t>
  </si>
  <si>
    <t>5287</t>
  </si>
  <si>
    <t>22-10-2025 13:29:37</t>
  </si>
  <si>
    <t>d77607d8c6629aa043f3157d51784e0d327477f784c10b38e3790ce68ac8b6f608d1026b2e70fb0b9f5a514081acc36d</t>
  </si>
  <si>
    <t>5286</t>
  </si>
  <si>
    <t>22-10-2025 13:27:06</t>
  </si>
  <si>
    <t>aa8ca878a740e7e759d2c0a1d6d38b793d34e5766de9dc9b74da95b0d3ada66a259e21e773c52eca2a327a48168c565d</t>
  </si>
  <si>
    <t>5285</t>
  </si>
  <si>
    <t>22-10-2025 13:23:34</t>
  </si>
  <si>
    <t>36376a4d038213c2448bb67231cb5d2e2be98839cbcd70b3fce9c640f08b8ecdb00b29225bb6de8aba2df614a4bb8f2b</t>
  </si>
  <si>
    <t>5284</t>
  </si>
  <si>
    <t>1</t>
  </si>
  <si>
    <t>22-10-2025 13:17:13</t>
  </si>
  <si>
    <t>74050a2531dda6bec237c43b632a3b415fc7c338c6c09eca5b010a859ec19d9fc764a0f8ad7038ec42fbbb6db4d7225e</t>
  </si>
  <si>
    <t>5283</t>
  </si>
  <si>
    <t>22-10-2025 13:12:45</t>
  </si>
  <si>
    <t>45781435</t>
  </si>
  <si>
    <t xml:space="preserve">ENIDETH  MORENO </t>
  </si>
  <si>
    <t>4133a391aeed4bbc2e1245ebaee6f2d29e4d3bc5761db650993495a7401707b53a06aac5878fcd0789797741c462dcea</t>
  </si>
  <si>
    <t>940</t>
  </si>
  <si>
    <t>16-10-2025 14:54:53</t>
  </si>
  <si>
    <t>f1fc6a7ec711fd63fad22ea7ef142237a4a89d0923ac58fc3e9d11007c4002c5d20b06fe73b5991d52a64a4378a8618e</t>
  </si>
  <si>
    <t>939</t>
  </si>
  <si>
    <t>16-10-2025 11:13:13</t>
  </si>
  <si>
    <t>3237b20ceb841d186348bdc916806effe36b981f91a9ca01b0af25b62138a5c64cce50d74e94206333d7c5eb8c7a5aa6</t>
  </si>
  <si>
    <t>938</t>
  </si>
  <si>
    <t>16-10-2025 11:09:10</t>
  </si>
  <si>
    <t>644af94d0896be1f0c9890b0380472f4905ca43638f53382b1f2b6903552aeaff1e279144dc4a449442365856de72b38</t>
  </si>
  <si>
    <t>937</t>
  </si>
  <si>
    <t>16-10-2025 11:06:58</t>
  </si>
  <si>
    <t>8ea8f99b7282b4a8d956d8687e32f0aa58e6c563a5736c433e6b8fa571c2cdf3647b21cde3a2331ccfc30ed05c97c1c3</t>
  </si>
  <si>
    <t>5282</t>
  </si>
  <si>
    <t>07-10-2025</t>
  </si>
  <si>
    <t>07-10-2025 15:16:01</t>
  </si>
  <si>
    <t>8c698d3eb65d25b426b1a4bc8693f7724179868c345062214d339a8bacd84551e580ef6cb451b150ad59c076a2ce4a5d</t>
  </si>
  <si>
    <t>5281</t>
  </si>
  <si>
    <t>07-10-2025 15:14:52</t>
  </si>
  <si>
    <t>1fa27443f4be500b1fffb752b1f1d25ad34959f52e5822e803835e663d9c7b81861db5bc4ef81315a03a5b7c5c3a089a</t>
  </si>
  <si>
    <t>5280</t>
  </si>
  <si>
    <t>07-10-2025 15:13:34</t>
  </si>
  <si>
    <t>a231ca5e28d80b0c8f8becfa7ddf9d8663e2aad47744c4af375b146ba3e4149ba81b19d61625da58171cf19df828373b</t>
  </si>
  <si>
    <t>5279</t>
  </si>
  <si>
    <t>07-10-2025 15:12:14</t>
  </si>
  <si>
    <t>181230b4cabd1e2f67b915e82ad31f48fecd91eb22120d509e847a70723a2ed1c546476447ffbe4df389886af058265b</t>
  </si>
  <si>
    <t>5278</t>
  </si>
  <si>
    <t>07-10-2025 15:09:48</t>
  </si>
  <si>
    <t>52ceb2c8e263320833c989670a642dc2cf2d8d53c0fad065bfa5a5e397814b3b0544c9b448ef33651ffa03a2d88ab8ac</t>
  </si>
  <si>
    <t>5277</t>
  </si>
  <si>
    <t>07-10-2025 15:06:18</t>
  </si>
  <si>
    <t>7e35ddd87feb928f21d9f12445d5a96753a06c4ca2b79fdaaf248b6f5f3ab94216fb3af5938db35e1bcbe6ce0871cc24</t>
  </si>
  <si>
    <t>933</t>
  </si>
  <si>
    <t>29-09-2025</t>
  </si>
  <si>
    <t>29-09-2025 14:46:41</t>
  </si>
  <si>
    <t>a38fba2d68bb6e693af548104aef2feba5967fba2189161c2e8581838e98eee6e64a0e320d196aae9c235326f30b0687</t>
  </si>
  <si>
    <t>932</t>
  </si>
  <si>
    <t>29-09-2025 14:44:09</t>
  </si>
  <si>
    <t>cba34bcd5986d9d54c7e465a7f126a16b6e4756b888db08ddb78eca833631e18fa2d38051b4ace0a8fa1c316ccfe98ac</t>
  </si>
  <si>
    <t>931</t>
  </si>
  <si>
    <t>29-09-2025 14:41:25</t>
  </si>
  <si>
    <t>379252d57494944b478152c0d30e2c1d0166bf1e5ab784166e7058c2259a7cb144dd9693c5a9dc3b42cd4cf789d2bcf3</t>
  </si>
  <si>
    <t>930</t>
  </si>
  <si>
    <t>22-09-2025</t>
  </si>
  <si>
    <t>22-09-2025 11:12:42</t>
  </si>
  <si>
    <t>a2589b18054d40873f0e4754281815bcab6a1dba361b42a4e5a2874b375fc4de79bd8d0444b4a8f12f779db59918b4ea</t>
  </si>
  <si>
    <t>929</t>
  </si>
  <si>
    <t>22-09-2025 11:09:13</t>
  </si>
  <si>
    <t>65f17b8c4d138b8846e07477c7a38d35eceb430991e61973ac5e38cd44abe060d633472b3d7ff4b868f30a8c0363fdbf</t>
  </si>
  <si>
    <t>927</t>
  </si>
  <si>
    <t>22-09-2025 11:04:41</t>
  </si>
  <si>
    <t>32243a2ee3e5178190e93475e79ff8971c7ea1015b531bf26f54c9566e1175653a93bf836dac1cfe4f438d746b733003</t>
  </si>
  <si>
    <t>926</t>
  </si>
  <si>
    <t>22-09-2025 11:02:14</t>
  </si>
  <si>
    <t>bf2cabe0deecb763f5b3fc7c77c552f6f5b19e794d68245ee810d233cd6138cbb2ac0beabb297c6137e50c65c74fb20b</t>
  </si>
  <si>
    <t>925</t>
  </si>
  <si>
    <t>22-09-2025 10:59:43</t>
  </si>
  <si>
    <t>22632df0f615e028d89cd2bfab1509519198b6ec335d975302a7eaa175ebc69e7c8027f20954bb6e1afc31dbedd6badf</t>
  </si>
  <si>
    <t>923</t>
  </si>
  <si>
    <t>16-09-2025</t>
  </si>
  <si>
    <t>16-09-2025 14:09:03</t>
  </si>
  <si>
    <t>6198cb2cbd0cdc10ea71a5026f72e6b322d027854e0e10db46bc4c86e42abdfe276d7effca197a5874bf7c86d7783d6d</t>
  </si>
  <si>
    <t>922</t>
  </si>
  <si>
    <t>16-09-2025 11:13:30</t>
  </si>
  <si>
    <t>1f7c96147deb949cb80dccf63647607743e880773bf30115996a5a04085870c84fa2d0e1c79e64a88b11d6f2a407880d</t>
  </si>
  <si>
    <t>921</t>
  </si>
  <si>
    <t>16-09-2025 11:11:12</t>
  </si>
  <si>
    <t>4c5d7917a86db139b52f898bbdd2989ed268c25a5ce44a2b879619ab53e2dcd207267e6eba43be9275668def6b04dc77</t>
  </si>
  <si>
    <t>920</t>
  </si>
  <si>
    <t>16-09-2025 11:08:51</t>
  </si>
  <si>
    <t>a6b0e4e738a2dae493046f194d6676b49f20a4d3925cd3c475520b11dcecebcab3f69ba1b51cf794faf779071f467893</t>
  </si>
  <si>
    <t>919</t>
  </si>
  <si>
    <t>16-09-2025 10:51:38</t>
  </si>
  <si>
    <t>fc1f0e119389a54267024481a52278546ee87b2e596ef3ee5c2e25a876131d514478175278bcfd9e63a83cfaa3cb7dd9</t>
  </si>
  <si>
    <t>918</t>
  </si>
  <si>
    <t>16-09-2025 10:39:16</t>
  </si>
  <si>
    <t>f91d176e46654d47104f1954a1c74f27d94be20959b6b8ae3a9084684f17d51490700652013d92b5f59ce750711d9de2</t>
  </si>
  <si>
    <t>917</t>
  </si>
  <si>
    <t>15-09-2025</t>
  </si>
  <si>
    <t>15-09-2025 12:07:41</t>
  </si>
  <si>
    <t>b3ab095383ccc69d84832d1c365ae10441d8d925d6dbbe63fe9e6b911b58bb1de8b26dba98bcd5b5f5d77b983e25d8c5</t>
  </si>
  <si>
    <t>916</t>
  </si>
  <si>
    <t>15-09-2025 12:04:14</t>
  </si>
  <si>
    <t>01b39412af3c703a00a87678081dbaeee1c5495cd88a38ce7bc8882014210bb8d8cf68f9fd39d63fb977685b4367425e</t>
  </si>
  <si>
    <t>915</t>
  </si>
  <si>
    <t>15-09-2025 12:01:45</t>
  </si>
  <si>
    <t>25bbdca4c366590659b70e240c0892b9cdfb8819be64933755d21507ba078bed1b518082f4418be7edbff6bccba2a2fd</t>
  </si>
  <si>
    <t>905</t>
  </si>
  <si>
    <t>01-09-2025</t>
  </si>
  <si>
    <t>01-09-2025 08:58:35</t>
  </si>
  <si>
    <t>184bf08b4135e16abdafccdce6460b3ecb6c8131853c7f57dbf721cfc47330893f531522c69e2b462796b9b21732e1ba</t>
  </si>
  <si>
    <t>904</t>
  </si>
  <si>
    <t>01-09-2025 08:56:02</t>
  </si>
  <si>
    <t>c44ec8f81fb9a37d4a15ebaabd4d1fef22314f34ba3ce2c2d5a4dae8045896a58041b6c62c47958b6a74ecbdc0043565</t>
  </si>
  <si>
    <t>903</t>
  </si>
  <si>
    <t>01-09-2025 08:52:42</t>
  </si>
  <si>
    <t>3964b9901630a5ba92355da702ab219da0bdbe5f4b4955c8641e26de8d2049ce336e6dda482f7c5df88e852eefa338ba</t>
  </si>
  <si>
    <t>5276</t>
  </si>
  <si>
    <t>30-09-2025</t>
  </si>
  <si>
    <t>03-10-2025 10:01:12</t>
  </si>
  <si>
    <t>b71439122b3cb68dc69798306e3b7cb5fbd6e47d6cfbbaaae44629280d39079890605300d7e353571773e675b56bec9b</t>
  </si>
  <si>
    <t>5275</t>
  </si>
  <si>
    <t>03-10-2025 09:58:37</t>
  </si>
  <si>
    <t>30c84a3e2fd6ae40af5387979c04fda359b048fac0f964fc33430d439b630673e862ee4636efcf4fd2ef014b92bff7f9</t>
  </si>
  <si>
    <t>5274</t>
  </si>
  <si>
    <t>03-10-2025 09:56:06</t>
  </si>
  <si>
    <t>ee67be91ff435557e784157c69a17a356c888f66b497d328b701ec2d522e8f157ca789703cd88c9eef974f82e522209e</t>
  </si>
  <si>
    <t>1312</t>
  </si>
  <si>
    <t>02-10-2025</t>
  </si>
  <si>
    <t>02-10-2025 13:52:42</t>
  </si>
  <si>
    <t>1588c92a6b4df26ca2f585527c46b10ef80a7c61b800de38b7e91847428f047d581c632d986cea3634f1da140be6a6a8</t>
  </si>
  <si>
    <t>1315</t>
  </si>
  <si>
    <t>e5202a5e50d41d0b125ad85fb65d58d5b57891b53235fa103ada1c5837c8645c29a320ab14f494d45a2a52c17dd6c43b</t>
  </si>
  <si>
    <t>1314</t>
  </si>
  <si>
    <t>02-10-2025 13:52:41</t>
  </si>
  <si>
    <t>4a28560812c0b981e3ad207ec2130d0d2fbf1aa555dfd805d56c2ab0a55c6a1682a8f7024dd510feedb6c08726efe60b</t>
  </si>
  <si>
    <t>1311</t>
  </si>
  <si>
    <t>bed79014d8de74612f35fafdb390ff0ad3e58c852016ff90cb1635c1cc0e9ad83c42645f624e85a7dd1f100b261f44be</t>
  </si>
  <si>
    <t>1313</t>
  </si>
  <si>
    <t>dab712c0c85b8761535d88d92dcb09e1d55053c276d53894c2b3e96ef8e80049f51ec0132fe563f9569446f59917b1e7</t>
  </si>
  <si>
    <t>1309</t>
  </si>
  <si>
    <t>b41349effb4f54c65dcc709487c58396775e12778a2df0bb4a11de86c0518f971418d1fb60fef3253918baeabd59413c</t>
  </si>
  <si>
    <t>1310</t>
  </si>
  <si>
    <t>ffe958ac949abb62d44c108fd2bc6feff95aacffa733637342ddb018673a7bc4e11f1486d9489ddd49376580a2d3ffa2</t>
  </si>
  <si>
    <t>1308</t>
  </si>
  <si>
    <t>937b92966341647a77fb4a4d869536d5e8e8a4aef2c6c4eb63ab7702d995f7dc10c71e79854ba58d1c6db91fcfbdaa86</t>
  </si>
  <si>
    <t>1306</t>
  </si>
  <si>
    <t>7ac7af312372f8bc72aabf08ab260cfe6f7349b1e6a7a0dc31a1ea72ead09436272f494294c9b9e32ed0ea587914a592</t>
  </si>
  <si>
    <t>1307</t>
  </si>
  <si>
    <t>82e465b906cabd485cab080f1841448a8c60221767c1c6961e17e4fd0b10bcf2c8abe842946e1af13f009f3e5403eff6</t>
  </si>
  <si>
    <t>1305</t>
  </si>
  <si>
    <t>ec73c38f1a99baed64ece0c7f8446474040a50b2a43855c966cfcf3ddca72204f77e1da1676f5b4f7048d56145dd86cd</t>
  </si>
  <si>
    <t>1304</t>
  </si>
  <si>
    <t>9ea59cd47d1d2c4e98e82693019b3a8d79e251a2fbf7b28f72de96642dfbeada1e4a37c561485341c6b0f18e88f2b8a8</t>
  </si>
  <si>
    <t>1303</t>
  </si>
  <si>
    <t>1007739324</t>
  </si>
  <si>
    <t xml:space="preserve">RUBEN  JULIO </t>
  </si>
  <si>
    <t>d64a1b217fac2a82437766b9973ca1a9abf0d5571217726da1426b37ba3b1a6e03259d9eea452e930f57c6ac1b3e5393</t>
  </si>
  <si>
    <t>1298</t>
  </si>
  <si>
    <t>27f84fb8066fcee356f85f8705ac303683221fc20e38391a237932a054edf947c7628bf30ecc30db833a403fad97244b</t>
  </si>
  <si>
    <t>1297</t>
  </si>
  <si>
    <t>0741061d8bfe03f8d4aa574c3be28b35fc967ec50db0e0e2ec232c00ecb45f4d706abc2f4a3122551124a944560b33b3</t>
  </si>
  <si>
    <t>1299</t>
  </si>
  <si>
    <t>02-10-2025 13:52:40</t>
  </si>
  <si>
    <t>2f839420259b9de970391fc4d6be2d65851bfeb1149c9900d5679ca5e8296a4df9cbab89c20b1c8faec8f39677996fb7</t>
  </si>
  <si>
    <t>1301</t>
  </si>
  <si>
    <t>771a7796330c9c6697d9a56d64d78fdca2f03527d42735b274396f7a7492a9cf74075a9b35b9d9baca3c7b5491a50c61</t>
  </si>
  <si>
    <t>1302</t>
  </si>
  <si>
    <t>0f7241b6f6e8f7f60d229efb31e1211c9de95ad35f1e21f6f41eafde49508c3dd7153fb3ccab26ec399b2dd49ecb07ae</t>
  </si>
  <si>
    <t>1300</t>
  </si>
  <si>
    <t>aebcf844387bfa2192abb98dda92b49ad2ec827925526a28462f5753db4e21127a741eaaea9b587afd44c6dd7ccdb881</t>
  </si>
  <si>
    <t>1296</t>
  </si>
  <si>
    <t>e4cdb975dbb11929f579eeb99b5acc579f23c583e93f99313ad683e2afb31b6df08fdc60a55b27af404e6f33e61f88bf</t>
  </si>
  <si>
    <t>1293</t>
  </si>
  <si>
    <t>724622f35d3ad5f41347daf51606f98e0f8c73d4cb44ae232f18b2b252fdfc12840061cb4d7c6adaf49f1c8aa4f7fdd5</t>
  </si>
  <si>
    <t>1294</t>
  </si>
  <si>
    <t>c6ae50ee9c717f6a671b003687e7aae4a892761a01002ea48953ad7280f6a2fd2d6305478b85ea54363e1f565e21b4ec</t>
  </si>
  <si>
    <t>1295</t>
  </si>
  <si>
    <t>ca1dbcea885f71316f368bb9afb6d7ad3a2eb372d2e8b3e7a77fb92cc77fa06d87d780d3789f9970c452c5ad176bee92</t>
  </si>
  <si>
    <t>906</t>
  </si>
  <si>
    <t>01-09-2025 09:02:29</t>
  </si>
  <si>
    <t>e070256afe71d245f9992d98924a5990e4ce07e16d928893003044ea80e1cdd33e1956467eb192240f856921180a8d26</t>
  </si>
  <si>
    <t>902</t>
  </si>
  <si>
    <t>21-08-2025</t>
  </si>
  <si>
    <t>21-08-2025 14:35:49</t>
  </si>
  <si>
    <t>7ac4cc67cdd8dedaaeecd2ab468a8c0f25f45d78700d2eaaedf0addab1a18dc20f4fdd0b3bc573ff1cdfb2e65acc3b61</t>
  </si>
  <si>
    <t>901</t>
  </si>
  <si>
    <t>20-08-2025</t>
  </si>
  <si>
    <t>20-08-2025 10:15:45</t>
  </si>
  <si>
    <t>934533134ac22a764d7bfe4e9cde505b5a274d0925c867638488b586758790e72b26561dfeba2fb799a60ea9a7d159b1</t>
  </si>
  <si>
    <t>900</t>
  </si>
  <si>
    <t>20-08-2025 10:13:30</t>
  </si>
  <si>
    <t>4e4f86f1bfaf44ea81cdf126e5272921e0d9efd7e5fa3b248a61b10ec25a70624c2f3d03e7231687b87c6beb83935fe6</t>
  </si>
  <si>
    <t>899</t>
  </si>
  <si>
    <t>20-08-2025 10:10:57</t>
  </si>
  <si>
    <t>a62edd8b597f68dab96880c3997940e27842bc89badad854e1289646a7e799b2b951edf1efa8a7942e2c6d7bd0dc657e</t>
  </si>
  <si>
    <t>898</t>
  </si>
  <si>
    <t>20-08-2025 10:07:54</t>
  </si>
  <si>
    <t>c53a38ff78664af483450525f53aaa7ec9ff0f3fbb767070389cc5d72852116b16c506e9ea75f1d85e542587cec3193e</t>
  </si>
  <si>
    <t>897</t>
  </si>
  <si>
    <t>20-08-2025 10:03:53</t>
  </si>
  <si>
    <t>e19df3a1b44a0ea267527c58f3ffa164dbe3e2b5ef7c8d53972a4340885834f4c3aebbc4936507f99b61ccbd69af2895</t>
  </si>
  <si>
    <t>896</t>
  </si>
  <si>
    <t>19-08-2025</t>
  </si>
  <si>
    <t>19-08-2025 14:18:18</t>
  </si>
  <si>
    <t>d3850da1235818ff61ad2d7169e6ed1b354cba597f18a4c85b7a64d7903be270e390e8999ddf7c2e3d911dc4eb9a912f</t>
  </si>
  <si>
    <t>895</t>
  </si>
  <si>
    <t>19-08-2025 14:16:09</t>
  </si>
  <si>
    <t>7174555da40d5558fa33359fec119c55de5e09ce81aeb4d674e7f4393fade809d64e44d42d269cdd67839dd8b8b3342e</t>
  </si>
  <si>
    <t>5273</t>
  </si>
  <si>
    <t>24-09-2025</t>
  </si>
  <si>
    <t>24-09-2025 10:40:06</t>
  </si>
  <si>
    <t>f7c46d5e17818a5fd46ef64426a892d6bd5cd3e91e7d5b6271c6134d12b5faf7acbf877da734073eed4abd7722c4fd76</t>
  </si>
  <si>
    <t>5272</t>
  </si>
  <si>
    <t>24-09-2025 10:33:46</t>
  </si>
  <si>
    <t>03f58b90cfaf2a25a0acf119c0dd32ed51b32c8b9594803d9434e1d0084b829873e6c26b8bae01be10f54b7f4d4f6dd9</t>
  </si>
  <si>
    <t>5271</t>
  </si>
  <si>
    <t>24-09-2025 10:31:58</t>
  </si>
  <si>
    <t>0549a64fa481049dc5571eef1356a4d93cef115d209eb45ee7138a09ec53401ce5d37b86c1700bf48b91efb301596e72</t>
  </si>
  <si>
    <t>5270</t>
  </si>
  <si>
    <t>24-09-2025 10:29:28</t>
  </si>
  <si>
    <t>50c0663c3ff483bebbb1739d2ea53b4c4c0b8eb9f22715af1df802eb72e3ca4f723745975704f8613aa183d5be63c1f4</t>
  </si>
  <si>
    <t>5269</t>
  </si>
  <si>
    <t>24-09-2025 10:26:45</t>
  </si>
  <si>
    <t>29b4f8d7971edb95ef3208d8b2d60dbbeeb3564cd88e8e97d3c3c273418806818731ba7ca8682d59a7b8a40841126db8</t>
  </si>
  <si>
    <t>924</t>
  </si>
  <si>
    <t>17-09-2025</t>
  </si>
  <si>
    <t>17-09-2025 14:35:16</t>
  </si>
  <si>
    <t>92e792853a1499a34ca5944a78599336c2ecdf339497f1cdc4333463490fead6f249c3e52bc44da6c2d85eab1082c5b6</t>
  </si>
  <si>
    <t>842</t>
  </si>
  <si>
    <t>14-04-2025</t>
  </si>
  <si>
    <t>14-04-2025 10:33:46</t>
  </si>
  <si>
    <t>830130106</t>
  </si>
  <si>
    <t>SOENERGY INTERNACIONAL COLOBIA S.A.S.</t>
  </si>
  <si>
    <t>a58d160085944100d3fb35e7b24573084767e0df9130d071c4429add797606f3ca18323b31aeb2147dd27e87ec07ef5d</t>
  </si>
  <si>
    <t>846</t>
  </si>
  <si>
    <t>02-05-2025</t>
  </si>
  <si>
    <t>02-05-2025 14:45:57</t>
  </si>
  <si>
    <t>6c61d5dcb4c060c886f4b995542ac635213711b0b003f5eca06bb0fbb49dc0b92230039116957677b71730aaf3246852</t>
  </si>
  <si>
    <t>847</t>
  </si>
  <si>
    <t>02-05-2025 14:52:49</t>
  </si>
  <si>
    <t>a5d2ceaa31b8918106231b60149298b26d5ddf63f392924a0db6364e19f5cb679237407b8fa877cad4edb4a0ec500db4</t>
  </si>
  <si>
    <t>892</t>
  </si>
  <si>
    <t>04-08-2025</t>
  </si>
  <si>
    <t>04-08-2025 15:16:54</t>
  </si>
  <si>
    <t>1ac9c35f142c5204a7f9a9274507124836d415b58f043ce56bc6f36d513dfb157525b677515fb6234dd759de71c8193e</t>
  </si>
  <si>
    <t>1292</t>
  </si>
  <si>
    <t>11-09-2025</t>
  </si>
  <si>
    <t>11-09-2025 13:55:12</t>
  </si>
  <si>
    <t>9453632a39c1259e8c863cb5206f2213e017eb8c1972c574198d6a3bba31a6ba350bebf80af6ccc1b64a7505b71f590b</t>
  </si>
  <si>
    <t>1291</t>
  </si>
  <si>
    <t>e41df70d12e0deb70f874fca27a526ac336ca55c1a7355e264423aabcadd9f2eec288908601e60bbce7f1d2bcddad378</t>
  </si>
  <si>
    <t>1290</t>
  </si>
  <si>
    <t>35711e710cdb12eec44b5adabbff3e99fa2d05d4ac513fc900ce2a1f3bec59ee6bea90a59ec3defc3e9de2d3db51abd4</t>
  </si>
  <si>
    <t>1288</t>
  </si>
  <si>
    <t>11-09-2025 13:55:11</t>
  </si>
  <si>
    <t>c2512e2d13cc445f832a98b972b4d6df6f1ed25bceccdd0182b6906d8cbc6972d1ee0b0d3cfcc7438b13a3916411d8b2</t>
  </si>
  <si>
    <t>1289</t>
  </si>
  <si>
    <t>a714d29cb516bd209acaa40ba46d1545780d7c517c61e3c955ae230ed7044555b46dbbaba8e0684bf012ff78556f7164</t>
  </si>
  <si>
    <t>1286</t>
  </si>
  <si>
    <t>8a66c80575b9371264fb444ceb4db33d0f25ed35b04e3d75bd7d1539b97f0604ca9878ecb788af5e815bda1fb57d5a33</t>
  </si>
  <si>
    <t>1287</t>
  </si>
  <si>
    <t>b16ed8df8c466e5b3135c9723659d5389792e4ec572ad6e7723be8c365211d78198890aff7e339e7a1c18b336e0a75f8</t>
  </si>
  <si>
    <t>1283</t>
  </si>
  <si>
    <t>6de67b31e2f1e485bf1fc77940efc8fd49fa37c0288841eaa02b3012e42ceb1360bb252c0a6966589da2592370e8a0d9</t>
  </si>
  <si>
    <t>1285</t>
  </si>
  <si>
    <t>335971eeee23a12ad4bba7228d73545b3ba562e34670d2a07c8d7c066060f43e8ead712736b668aa1fe718181d6b4c39</t>
  </si>
  <si>
    <t>1284</t>
  </si>
  <si>
    <t>11-09-2025 13:55:10</t>
  </si>
  <si>
    <t>edc473fcc47b54a80ac2c30d3bb15b437ada9ab426088661e2d0bf66bb71b4cb1c82452b8b795702076c8902d71eb5ca</t>
  </si>
  <si>
    <t>1279</t>
  </si>
  <si>
    <t>c9494bbf235e790f242c276aad6e0a88afd14177a644e6ebdfccd0060a97f54956e336e72552e0c2ea8fb22a42ed35b3</t>
  </si>
  <si>
    <t>1281</t>
  </si>
  <si>
    <t>d705e73b428c69c369b09224c857562565bdbe62458725e431250af010057ce71d998b0983cf27ff96383816af632804</t>
  </si>
  <si>
    <t>1282</t>
  </si>
  <si>
    <t>ac8d64a679a2a86ced512f4a2f9780e033c0c9ccb69333aa82860daaa49a8880aa3b9ff6ac4ede8bea55beca532d0835</t>
  </si>
  <si>
    <t>1278</t>
  </si>
  <si>
    <t>11-09-2025 13:55:09</t>
  </si>
  <si>
    <t>46fc75acfd8af98772e965347e46c8ab60a5ba47868f6641c89092095ad93f89540638a0af4dd922155a7997cfd2d382</t>
  </si>
  <si>
    <t>1280</t>
  </si>
  <si>
    <t>1002412866</t>
  </si>
  <si>
    <t>MACXCIDER DE JESUS  BARRAGAN FORTICH</t>
  </si>
  <si>
    <t>b7e3e2a0fe20a09532212dcc6e60bb3b00e736af0a6767cebb028e61121860fadaef6a97b2a3697b8b2d9e89326762cb</t>
  </si>
  <si>
    <t>1277</t>
  </si>
  <si>
    <t>3c9062d32adfc91454fa17607f0d8fcd7437ce9263bbcdc41f62c9638276fc3a26f1c74ca04df083117be2d5faa19f32</t>
  </si>
  <si>
    <t>1276</t>
  </si>
  <si>
    <t>f9ac10c022f59e84b4c84a29e091bdc9e4586645e3e098107c66645550ee2591b47da5ca1a637c981f195c1bebadaf6f</t>
  </si>
  <si>
    <t>1275</t>
  </si>
  <si>
    <t>62e83ffba241792f0247956f86a208bc222b42c4a5ac5d3aecad54a741d46a266f77086f9eadb42f3f4e16afa0708fb0</t>
  </si>
  <si>
    <t>1274</t>
  </si>
  <si>
    <t>11-09-2025 13:55:08</t>
  </si>
  <si>
    <t>42809e3a3e3f1a862201624524d6d0f3ce86807b2ed1626ed62c3ec1d1e8ba3a92c59c2a3b33580f3ff1d11ec7454523</t>
  </si>
  <si>
    <t>1272</t>
  </si>
  <si>
    <t>4c196a39b6f83a9ba8abdb6142f113e0321db014eb62c574b95883f660434cbbea2ffc250b38790763db909cfc261fae</t>
  </si>
  <si>
    <t>1273</t>
  </si>
  <si>
    <t>9b3998485e5d3eb7f9028e67f57bfe110d25a2ab58bbd1db4dffcec8eb22770138e482a5bf6be3c24823c391af43beb8</t>
  </si>
  <si>
    <t>1271</t>
  </si>
  <si>
    <t>dc5f0480734fe112a7420a5cda960d0a4e0df6f960c74c18e7983d77d49e5752fd635aa439c30138a23441080266c649</t>
  </si>
  <si>
    <t>1270</t>
  </si>
  <si>
    <t>11-09-2025 13:55:07</t>
  </si>
  <si>
    <t>3e3b945af5df352369ddce4ead8cb86b9a6a2650b97282612a0a4dfc6239d512a6d82201210a140bf11ed9452c4f519e</t>
  </si>
  <si>
    <t>5268</t>
  </si>
  <si>
    <t>09-09-2025</t>
  </si>
  <si>
    <t>10-09-2025 13:34:49</t>
  </si>
  <si>
    <t>900088336</t>
  </si>
  <si>
    <t>GALERIA COMERCIAL PORTAL DE SOLEDAD</t>
  </si>
  <si>
    <t>063b9b87821bb17f3d4a106b30fff5ade151c25b8b2a6fb2fd45fcc732f159624c45beb23f92af4ac8d55f10ae6ca654</t>
  </si>
  <si>
    <t>5267</t>
  </si>
  <si>
    <t>10-09-2025 13:32:15</t>
  </si>
  <si>
    <t>8727478</t>
  </si>
  <si>
    <t>ARIEL ENRIQUE DE LA CRUZ MUOZ</t>
  </si>
  <si>
    <t>803fa8c8b08f9127c462ca1069185e3c3f927d0da95cdb47994890a2c0a4b96be9ff543e83eb10f5800512396fb593bf</t>
  </si>
  <si>
    <t>5266</t>
  </si>
  <si>
    <t>08-09-2025</t>
  </si>
  <si>
    <t>08-09-2025 14:03:18</t>
  </si>
  <si>
    <t>346ade7cd6e0ea48844ff764a48b10f9180edc04e851e7eac2ace0c3eda16cab227175a14513a5d4f660235a07fa7548</t>
  </si>
  <si>
    <t>5265</t>
  </si>
  <si>
    <t>08-09-2025 14:01:00</t>
  </si>
  <si>
    <t>615ad04a5a1f33450b235ab8416f6f1f1fe899f6cfe2c5fefb016a04af9a8832a790aba87ec4d9a4eeb7efe6c7e7afb5</t>
  </si>
  <si>
    <t>5264</t>
  </si>
  <si>
    <t>08-09-2025 14:00:12</t>
  </si>
  <si>
    <t>33d4b685b89c34ecd577c25305789d25049ec5dbab16095e1aa91305df532c4dac765e15603fc08a15f29ec9d824f861</t>
  </si>
  <si>
    <t>5263</t>
  </si>
  <si>
    <t>08-09-2025 13:59:15</t>
  </si>
  <si>
    <t>b2ca7494222900fcab7d8bf547e057983226f12844100fd729e055a0bf468bba84e9714fe8b46c0097cab971861e7b75</t>
  </si>
  <si>
    <t>5262</t>
  </si>
  <si>
    <t>08-09-2025 13:57:53</t>
  </si>
  <si>
    <t>fed3421eb6c72e58ae88490b7381f786c2cf52929708a337ad09758a7b1151630874c687d67c491237b5a96b3bb78fcf</t>
  </si>
  <si>
    <t>5261</t>
  </si>
  <si>
    <t>08-09-2025 12:04:38</t>
  </si>
  <si>
    <t>72002735</t>
  </si>
  <si>
    <t>MARCO GREGORIO GARCIA CASTRO</t>
  </si>
  <si>
    <t>f1b477e5e5deea39c9f7ac1f4d264b8e7dd8ad7a89466698a667ff87cf66e36ef7045aca1d0fed14cf68906ac20667f7</t>
  </si>
  <si>
    <t>5260</t>
  </si>
  <si>
    <t>08-09-2025 12:03:12</t>
  </si>
  <si>
    <t>MANUEL EDUARDO MONTENEGRO POLO</t>
  </si>
  <si>
    <t>432aa2b5830c305522c2ad9c73a7c07407eba21cf65bbe3ca9eb09a31caaad5b72836521af903cf83959be5a87f8be1c</t>
  </si>
  <si>
    <t>5259</t>
  </si>
  <si>
    <t>08-09-2025 11:53:14</t>
  </si>
  <si>
    <t>8748086</t>
  </si>
  <si>
    <t>MARIO  RANGEL MIRANDA</t>
  </si>
  <si>
    <t>5eee12677a797893990b2275e5dfc5b9abf908af152bc67ee404d322f3b85d59820f0f8748107e0323aea527571e687d</t>
  </si>
  <si>
    <t>5258</t>
  </si>
  <si>
    <t>08-09-2025 11:51:40</t>
  </si>
  <si>
    <t>8779749</t>
  </si>
  <si>
    <t>DILSON ALBERTO ACOSTA CERVANTES</t>
  </si>
  <si>
    <t>385185e7bc28b2d34520bcaffee4cb8000b89e137088add0bd55d63e85946f85b0786867ff739bd7a12ac2264fc9d7e0</t>
  </si>
  <si>
    <t>5257</t>
  </si>
  <si>
    <t>08-09-2025 11:43:44</t>
  </si>
  <si>
    <t>JAVIER ALEJANDRO NOVOA GUERRERO</t>
  </si>
  <si>
    <t>32347f4d2f4a445ee0e852fd332865e64a09afe45f6f1810dd1d769e51d5b34ff4172d447b23b664944854440902b757</t>
  </si>
  <si>
    <t>5256</t>
  </si>
  <si>
    <t>31-08-2025</t>
  </si>
  <si>
    <t>05-09-2025 15:11:05</t>
  </si>
  <si>
    <t>e28eeeefa4d57bf9b95100496c5d5d22a02ad1ee1372c37d1bf2b0b92f3e6719af1cb41980871c31f4ed93de7131acd9</t>
  </si>
  <si>
    <t>5255</t>
  </si>
  <si>
    <t>05-09-2025 15:08:15</t>
  </si>
  <si>
    <t>72288756</t>
  </si>
  <si>
    <t>FABIAN ENRIQUE JIMENEZ HERAZO</t>
  </si>
  <si>
    <t>41006aae227b28ca9bc8b1a379e0cdc5d32a0fb4fd72dd2d54d856eb54cc3907c81124a54bdf44ea9aa902adb9f13fc9</t>
  </si>
  <si>
    <t>5254</t>
  </si>
  <si>
    <t>05-09-2025 15:05:28</t>
  </si>
  <si>
    <t>1043873050</t>
  </si>
  <si>
    <t xml:space="preserve">WALTER  MARTINEZ </t>
  </si>
  <si>
    <t>0a55f29c91b271b265e0b39b135dc29010bed8ba56d9897cabbc77a142a6dfccb9d4a287ba12cd163f8211e31f63f373</t>
  </si>
  <si>
    <t>5253</t>
  </si>
  <si>
    <t>05-09-2025 15:01:09</t>
  </si>
  <si>
    <t>72241664</t>
  </si>
  <si>
    <t xml:space="preserve">ALEX  CONSUEGRA </t>
  </si>
  <si>
    <t>e8ffca716b79ca82c9d8d3d583805937476ee108920f46b3add41d1741096d4be473a599504afba29fb09e195cd6dde9</t>
  </si>
  <si>
    <t>5252</t>
  </si>
  <si>
    <t>05-09-2025 14:48:14</t>
  </si>
  <si>
    <t>8508969</t>
  </si>
  <si>
    <t>JHON JAIRO SANDOVAL ARIZA</t>
  </si>
  <si>
    <t>2226009a07f3c2b249fa79e1b26ecd455f4b86b97d78724fade79f91eb36c856529b2008abc839ffb37acc27b73d86f1</t>
  </si>
  <si>
    <t>5251</t>
  </si>
  <si>
    <t>05-09-2025 13:46:55</t>
  </si>
  <si>
    <t>52448028ae9651d6543606dd32b1847843e0f3f0965651f72f7808e9bdb4478e3a330004fbb90e9e0a1d300563e2b18a</t>
  </si>
  <si>
    <t>5250</t>
  </si>
  <si>
    <t>05-09-2025 13:46:49</t>
  </si>
  <si>
    <t>ONEIS ANTONIO DE LA HOZ BERMUDEZ</t>
  </si>
  <si>
    <t>cc8d9e40357a9078241f72d0cdddef96faacd53ac3d85c94bd294dee8a456684ea0a7744a42904dbe23a9fe26e84c7b5</t>
  </si>
  <si>
    <t>5249</t>
  </si>
  <si>
    <t>05-09-2025 13:46:43</t>
  </si>
  <si>
    <t>74fea29b26b72504aaa07b6ef2c5ef7425a0424df1ddff461a2dd745e418e92e442dc867d0fff5533b0d147a3ec91eb0</t>
  </si>
  <si>
    <t>5248</t>
  </si>
  <si>
    <t>05-09-2025 13:46:36</t>
  </si>
  <si>
    <t>d8d40d447b44cb3edcc29a194b494ee865ba6f7cf94eafee0456f131eb3c317998b2e2ba7146fdab68ef510732210648</t>
  </si>
  <si>
    <t>909</t>
  </si>
  <si>
    <t>01-09-2025 11:33:47</t>
  </si>
  <si>
    <t>4257c53f5d7f42e303788bfb3f48fef613aeb77aaa4b16a881ca8de61e89a242be8ffafd34edc834bd7c17e90343157e</t>
  </si>
  <si>
    <t>907</t>
  </si>
  <si>
    <t>01-09-2025 09:08:55</t>
  </si>
  <si>
    <t>222222222222</t>
  </si>
  <si>
    <t>Consumidor</t>
  </si>
  <si>
    <t>6c31d709570917b09d7f92751a61d906f6b3928d8012afcd920e552a0a13a4e9605d12c8682cdf0272e03e3711a39f18</t>
  </si>
  <si>
    <t>5247</t>
  </si>
  <si>
    <t>25-08-2025</t>
  </si>
  <si>
    <t>25-08-2025 14:07:10</t>
  </si>
  <si>
    <t>2dbfa65817c5b8be176881c044990b49ad8fc494eee7aa7db6126a1007f8e4518d6f81872b778fcadeb1ff6a94be2d41</t>
  </si>
  <si>
    <t>5246</t>
  </si>
  <si>
    <t>25-08-2025 13:58:08</t>
  </si>
  <si>
    <t>b0b44279090a5d88bf70b6055dbcfc88fbe6dfa8a65078988e66b9bb3b73dd62f7d0b02fa64b13b69c4c08b1b72fe302</t>
  </si>
  <si>
    <t>5245</t>
  </si>
  <si>
    <t>25-08-2025 13:49:53</t>
  </si>
  <si>
    <t>300049c8a43901dd458b303a93162e661f72faeeb3b7e9a0f2a8234e2e82501cd3aafc86578f87df39125036e37a6b07</t>
  </si>
  <si>
    <t>5244</t>
  </si>
  <si>
    <t>25-08-2025 13:48:37</t>
  </si>
  <si>
    <t>3370dd9690070f22ddada85a1f1dbfd06646d78e2e522f1cbe1d9d85a0f91acde6332ec956c66357cacaa6cfd36c2a0c</t>
  </si>
  <si>
    <t>5243</t>
  </si>
  <si>
    <t>25-08-2025 13:46:29</t>
  </si>
  <si>
    <t>6ea465cee7b8654980424895e0ed928e573abda2400b497cabd38f08cf9921c944863d98b8a4f3817024149d4fa03848</t>
  </si>
  <si>
    <t>5242</t>
  </si>
  <si>
    <t>25-08-2025 11:57:45</t>
  </si>
  <si>
    <t>e86d2753903df5a7368cc43508e3c5e22929e7b2a192768eac68d2a6e10b1fc1dc698f3c58cb07c1908bdf269590274f</t>
  </si>
  <si>
    <t>5241</t>
  </si>
  <si>
    <t>25-08-2025 11:55:56</t>
  </si>
  <si>
    <t>9ff39d9b6b10b81ab37b1d2dfc79391518b5279bbf096ff44e63133b21c190dc061b6cc5b071a110ec6934fbf01b13d2</t>
  </si>
  <si>
    <t>5240</t>
  </si>
  <si>
    <t>25-08-2025 11:47:08</t>
  </si>
  <si>
    <t>76de67f117c6751fa48ab8d6d342b2ce3e4b4881c7caa63d54d8bdc9ccb05c76faf62da20b2868b0a0dbd7abf502e28a</t>
  </si>
  <si>
    <t>5239</t>
  </si>
  <si>
    <t>25-08-2025 11:43:39</t>
  </si>
  <si>
    <t>12bf0eda346a964d7b03e880c9041dc4acd4542e458f1b3611d8e1c7dbb77541908000f9732a82589e74724f0cb70149</t>
  </si>
  <si>
    <t>5238</t>
  </si>
  <si>
    <t>25-08-2025 11:30:00</t>
  </si>
  <si>
    <t>c29034101d9d979415ce235b0a66ebca542182da04ee1537e356498e9bfbcadf52661f8c8f177929dae446c85e6a5894</t>
  </si>
  <si>
    <t>5237</t>
  </si>
  <si>
    <t>25-08-2025 11:10:34</t>
  </si>
  <si>
    <t>a529f1dc8e50359183969615bbb013269572b575a6aa74a9034618eaf3aed904eadd0b17afeedddfbfdb09f859faba03</t>
  </si>
  <si>
    <t>5236</t>
  </si>
  <si>
    <t>25-08-2025 11:05:11</t>
  </si>
  <si>
    <t>00e4a7508e1d552ef640caa69ee062dcee2710c8a509616c9f7293309adf21684b681dcc3f676e84dfbf8ae49f8a911e</t>
  </si>
  <si>
    <t>5235</t>
  </si>
  <si>
    <t>25-08-2025 10:53:17</t>
  </si>
  <si>
    <t>59f3969e69fcdb2e40d2acc66494b7e3d2aa1f6c0807fead5eaa77d8dcd162b5a21fd1583b7943f6070838f183e5b76e</t>
  </si>
  <si>
    <t>5234</t>
  </si>
  <si>
    <t>25-08-2025 10:50:07</t>
  </si>
  <si>
    <t>e36834e8ffd002f43e5a1858ef003d80531a507383d6b2538e3d597dcad95c97dee61e6512989c7265ee0fd1406172fc</t>
  </si>
  <si>
    <t>5233</t>
  </si>
  <si>
    <t>25-08-2025 10:48:28</t>
  </si>
  <si>
    <t>d9c22b9040da7b3f977d948334566e6a060fa96cdcf8f1b04404550047f72de7121acda30cfe6c9459180dfcb6cada1d</t>
  </si>
  <si>
    <t>5232</t>
  </si>
  <si>
    <t>25-08-2025 10:45:34</t>
  </si>
  <si>
    <t>936c86e7531c7599edca9ed13d0ea1288bd1b34fa2e30a3b45fddc8fae9d43f4169292888203ee3449a6359a92839bce</t>
  </si>
  <si>
    <t>1265</t>
  </si>
  <si>
    <t>14-08-2025</t>
  </si>
  <si>
    <t>14-08-2025 13:58:05</t>
  </si>
  <si>
    <t>d100a1410ae7111a54fe0f23c268be843f35b98e037e572221e834c21249e470b90db44a4354e708c1024659262650d6</t>
  </si>
  <si>
    <t>1261</t>
  </si>
  <si>
    <t>82922ce35fbb9d4d7f5f32c98e0a3ac7a41034c46dda482dbbb4fb8c11b41ea0a287f32f0f88446b6d47254e8fddefeb</t>
  </si>
  <si>
    <t>1268</t>
  </si>
  <si>
    <t>89bae0f9c0a1bcbadd3a68b31546659534218230e91d84181690f74a68d3b6b50836f80928534e1d046a3289775e71c8</t>
  </si>
  <si>
    <t>1267</t>
  </si>
  <si>
    <t>5c0acf7f43f421e48c750cba07407ad1698bf6dcdf85309236802ceb1d2457fe5a5018a5d76ff349299ce63e8f22d3c3</t>
  </si>
  <si>
    <t>1264</t>
  </si>
  <si>
    <t>3e607cbeedb1191081c0771b184ae5f288ff138d9935cb437f20815024695687783ac808c8030bbca794162e1b42039b</t>
  </si>
  <si>
    <t>1263</t>
  </si>
  <si>
    <t>e9411966e6f07f5677abc0b555453d9e8417b077d56353bbc7fe3ad3b41f30e201de7280bc2c9584808e07ea28bfa282</t>
  </si>
  <si>
    <t>1269</t>
  </si>
  <si>
    <t>b5240ea425d348837ea48e24e6d527aa9c1f878af0257d3342ef84021f64aca0b4269f552d9eb3ccbcd3da46c7353ede</t>
  </si>
  <si>
    <t>1262</t>
  </si>
  <si>
    <t>14-08-2025 13:58:04</t>
  </si>
  <si>
    <t>d916d9fe2fd2ce23b23057e10ecd3e3ebc3755a2609b5d0e89047148bb59a76659831abe07ee4790186d11d485590e44</t>
  </si>
  <si>
    <t>1266</t>
  </si>
  <si>
    <t>409ffd6e9bc4e49084442f74e679326bf82c25ce99af82b9e10f191a22a44e4d376f09ce8218d6ed4d119f18bec75e04</t>
  </si>
  <si>
    <t>1260</t>
  </si>
  <si>
    <t>991b31aa09299b1f6295961d1ae95607135355fee1f3a144a1128c5c4ad5e2eb8d41699d0da5c91acefb3d70c39168f5</t>
  </si>
  <si>
    <t>1259</t>
  </si>
  <si>
    <t>f15a5cfa4cbcce6712ab391239a0dc74c85ca40a0515d2016d40fad0c95c6d27f8e563312fa877b459d5bd93368c06ea</t>
  </si>
  <si>
    <t>1258</t>
  </si>
  <si>
    <t>2b0b729419ffc297acf72c429bb0814be6e1706801d80dc39f6a98850e7ccbec01f3bbbefc10f748c78c5884fc6963e3</t>
  </si>
  <si>
    <t>1257</t>
  </si>
  <si>
    <t>14-08-2025 13:58:03</t>
  </si>
  <si>
    <t>c143aeba9017a9d5c03f0bc628deb14e2325f2e670007cc854ea1a6d9649add1bc1a191eb2aef02c169df4ac457bb9ac</t>
  </si>
  <si>
    <t>1256</t>
  </si>
  <si>
    <t>839c1ff3539e1c9fadaf1a65f87fed4c2eb3098fcc1ee94dbcaca9aa7d7a117aa61c5dae35c276fba94716f0fd4d9d09</t>
  </si>
  <si>
    <t>1255</t>
  </si>
  <si>
    <t>3a7bb22e708b3a6d013580e7bbb169491b557979728312736a9d2f638fdafe383036f1ee1f3382eddc7fe163ed14b078</t>
  </si>
  <si>
    <t>1254</t>
  </si>
  <si>
    <t>3dda06b2b56f27de5b264c9ec63c365cda4b9fc746cc0b94eb0cddb64c965bc643226a3b8cf218545c6e8f231ed7efd8</t>
  </si>
  <si>
    <t>1252</t>
  </si>
  <si>
    <t>d46dc687222762f7e3158ef35178afa442e34974416c18545f8c43172a614ea1139f1670552d2fbd17df4b637b48dc4a</t>
  </si>
  <si>
    <t>1253</t>
  </si>
  <si>
    <t>bd4156f1c94b13a9866069eb70885581d30d3a55c45a24259487f46d1efe3cb983aa291ebac7f61e4dac6020c6169fc2</t>
  </si>
  <si>
    <t>1250</t>
  </si>
  <si>
    <t>14-08-2025 13:58:02</t>
  </si>
  <si>
    <t>dc4aeb9aca639161497257040f90176014ce7a78def5ec20b3384fd10a6b959de4ed39e7d729f3a44a025be63b352448</t>
  </si>
  <si>
    <t>1251</t>
  </si>
  <si>
    <t>ca2a89799358cf4a75dea82084afc7627a3a5d51c9e458c9b8af8fecda221faaa63cfd6d590ddeb70d5a466d1ac941d0</t>
  </si>
  <si>
    <t>1248</t>
  </si>
  <si>
    <t>d8993e19f999bdd73283620ef9ca7a264c32d5f3029c4a5c307babbfa54da4decf1dd310d2f5de609e81d6f46f4bb6e9</t>
  </si>
  <si>
    <t>1247</t>
  </si>
  <si>
    <t>766471494a1153a5e31312297cf79d7497d091d34ef2434d173fc93d52b967f5e74a60e5653f9a3b2dbff916211fa062</t>
  </si>
  <si>
    <t>1249</t>
  </si>
  <si>
    <t>f8603cb9350932ef1ebff70dee62e928e73bdf470ecdfbb0ac9c3778eaf6da54b65fcc2153a36e3f3a95eb3cce9973bc</t>
  </si>
  <si>
    <t>879</t>
  </si>
  <si>
    <t>08-07-2025</t>
  </si>
  <si>
    <t>08-07-2025 16:02:10</t>
  </si>
  <si>
    <t>64fef4a7662f2dd299ec587373706c5be4005181e0625c366a3bc7345152ad9e1f76c6628e9dc6160c65ad423a425258</t>
  </si>
  <si>
    <t>5231</t>
  </si>
  <si>
    <t>14-08-2025 10:53:35</t>
  </si>
  <si>
    <t>f5509d40dd8464cbce4f81d0c159f007f4a353929e9ed8ac0983c9fe7d792251ab8f9a82115adfe849b423abfd07bc9f</t>
  </si>
  <si>
    <t>5230</t>
  </si>
  <si>
    <t>14-08-2025 10:43:48</t>
  </si>
  <si>
    <t>d8c71cedb92f6d0dee898e19215525174f619682cec679473fea8efb22326a43e72139f77a3d71166c27814473544b14</t>
  </si>
  <si>
    <t>5229</t>
  </si>
  <si>
    <t>14-08-2025 10:42:41</t>
  </si>
  <si>
    <t>de4ecaeb7797432aa0c217fc499b1d9ea64efb6c200a26baf42888c6078d305c871c3b1a62372b25e18d6e5f32444a32</t>
  </si>
  <si>
    <t>5228</t>
  </si>
  <si>
    <t>14-08-2025 10:41:40</t>
  </si>
  <si>
    <t>07e6666015b88a19515fb6766691ae696f3c56d1a905e25fe86209f60af05964b46438d52869ebf7478e1808558e01ac</t>
  </si>
  <si>
    <t>5227</t>
  </si>
  <si>
    <t>14-08-2025 10:18:58</t>
  </si>
  <si>
    <t>62a995a3a6d0bf5edb6aa367945ba0f9ca43f2b31bac40497cf829f70807087f782686eabf39fcca5a41ea93d112995a</t>
  </si>
  <si>
    <t>5226</t>
  </si>
  <si>
    <t>14-08-2025 10:12:39</t>
  </si>
  <si>
    <t>d7d5e7dcf4b787249cb579e0192b886076fce1c9956dd92c48074989f607e6b4a08aab53e851a97896311e6192d15d89</t>
  </si>
  <si>
    <t>5225</t>
  </si>
  <si>
    <t>14-08-2025 10:05:33</t>
  </si>
  <si>
    <t>d77744714f06ea7da5f9e42fb9b23b4b40823b21e0b7a7a0bb175ca2f74b013c316976eb3bb170f5ae3acd059c5d9d70</t>
  </si>
  <si>
    <t>5224</t>
  </si>
  <si>
    <t>14-08-2025 10:04:27</t>
  </si>
  <si>
    <t>016eff8b9569c0be86268395e1df942c06e66b812eadb7f64aa277043609932317011c572e1779080c281121f2154210</t>
  </si>
  <si>
    <t>5223</t>
  </si>
  <si>
    <t>14-08-2025 10:02:43</t>
  </si>
  <si>
    <t>722cf76d09928bc2a9f04b44afa9683829fc7411f3a3d16d05f0863131645b27bdd9e345106645208bfc12f399bd4607</t>
  </si>
  <si>
    <t>5222</t>
  </si>
  <si>
    <t>14-08-2025 10:01:48</t>
  </si>
  <si>
    <t>4c631775c92a928c994f35d199f61b01d6900c4047bee87c93a6c2c3977b4f9f0943514f5791d84660d682ec504db488</t>
  </si>
  <si>
    <t>5221</t>
  </si>
  <si>
    <t>14-08-2025 10:00:40</t>
  </si>
  <si>
    <t>89e0f0f0a43ed9aa7ef8d4af4455e6e66a7094de398aca7ffb45f681b6e89f918d0dc1991aba9c0fc9f9ad383125ebd4</t>
  </si>
  <si>
    <t>5220</t>
  </si>
  <si>
    <t>14-08-2025 09:58:40</t>
  </si>
  <si>
    <t>991cd9c9f387655d2da946405bb24dad4a7e4eb672905a79fb3c96cb0ae193377ad0d0caa05b9aa873f1a99b7a3fa746</t>
  </si>
  <si>
    <t>5219</t>
  </si>
  <si>
    <t>14-08-2025 09:57:43</t>
  </si>
  <si>
    <t>46789acf7a2d2bd1e61dee4cca5ac2f2877dd66a3f7c17c817bcd3deb67be0cddc209d6a3fe140118b41cbb606a991d7</t>
  </si>
  <si>
    <t>5218</t>
  </si>
  <si>
    <t>14-08-2025 09:55:16</t>
  </si>
  <si>
    <t>fb9eaf868c015918086fc9e1599a0e16c1aff4232dccdb0b68b183f373182d981f1af17bc12afda305de868ecbdd30f5</t>
  </si>
  <si>
    <t>5217</t>
  </si>
  <si>
    <t>14-08-2025 09:52:46</t>
  </si>
  <si>
    <t>64826f7cd70c1b0d71b02c28016d7ff774998c910bf2e3be2f2cb860de6f425c6beecb4d289b49daa0c6ebcc084bae70</t>
  </si>
  <si>
    <t>5216</t>
  </si>
  <si>
    <t>14-08-2025 09:51:44</t>
  </si>
  <si>
    <t>b48958fec2102607c1a64629bd3b5f71ee894b4c331752d2bed3479019a4b3e697f1ad5cfa6d12cdcf1e4e0deced6825</t>
  </si>
  <si>
    <t>5215</t>
  </si>
  <si>
    <t>14-08-2025 09:49:30</t>
  </si>
  <si>
    <t>9c9484c5bca4f51afc0b3c9efc5213207a8fb7c481fa97cf43d002f8fe12f0b738cc1395864a398cc66530fb2c62e456</t>
  </si>
  <si>
    <t>5214</t>
  </si>
  <si>
    <t>14-08-2025 09:48:27</t>
  </si>
  <si>
    <t>7f889704265ff2c7637297371b61b128c6cc86aa1ed149ae7c7a53c25553868a99a1dedcda5fc2605c5767a6b1e52197</t>
  </si>
  <si>
    <t>5213</t>
  </si>
  <si>
    <t>14-08-2025 09:46:59</t>
  </si>
  <si>
    <t>acdea2884b28daab90153ee460642affa1150aaecc34567673c40608e6bce35d6fa2969b0d0fc19fa65d3c7dde55831a</t>
  </si>
  <si>
    <t>5212</t>
  </si>
  <si>
    <t>14-08-2025 09:45:46</t>
  </si>
  <si>
    <t>f753c16572f29e93f55e42362ef1bc28b3885a3cbe0d6e074fb03366ee45533c46c797222d15dd34053057f0160979e9</t>
  </si>
  <si>
    <t>5211</t>
  </si>
  <si>
    <t>14-08-2025 09:22:01</t>
  </si>
  <si>
    <t>f12d285301ce071d8ce4a88cdbdc2f3083bcb7be44d1586cec60628674f91f48150b957870e1bd763952528342fdbf75</t>
  </si>
  <si>
    <t>894</t>
  </si>
  <si>
    <t>11-08-2025</t>
  </si>
  <si>
    <t>11-08-2025 11:50:06</t>
  </si>
  <si>
    <t>8274037395ace96bf6dbb9575efbda58c5ac5ea279475bf99503089bc5b16f994ec31c9173f39c28757eeb3f2bbad200</t>
  </si>
  <si>
    <t>893</t>
  </si>
  <si>
    <t>08-08-2025</t>
  </si>
  <si>
    <t>08-08-2025 09:21:55</t>
  </si>
  <si>
    <t>0a60ad6b6bc24bfee59dc8b95c0962bbca671ac64e869f35a2b07f2469fe368e5cc6ca208fc6a05cc4878a01f4e94ba4</t>
  </si>
  <si>
    <t>889</t>
  </si>
  <si>
    <t>18-07-2025</t>
  </si>
  <si>
    <t>18-07-2025 14:47:03</t>
  </si>
  <si>
    <t>b46d838509b001db4cb2c97f9e0fc9992f4e030385fdbfc05a5e809cd86fbf1696588f57294f431be8d2ebb0042685ae</t>
  </si>
  <si>
    <t>888</t>
  </si>
  <si>
    <t>18-07-2025 14:44:38</t>
  </si>
  <si>
    <t>b25cf6e3e238bed21f09913d0ce04d9d5d6209893cc956d9efd1d3be6a4becf321dcdbb422349249936a6d1ffdbfdddd</t>
  </si>
  <si>
    <t>887</t>
  </si>
  <si>
    <t>18-07-2025 14:41:06</t>
  </si>
  <si>
    <t>8d27212042d0b82fd9c728c1fd7f758b50b95741d35efc2f7cd811bfbef890f75fca931107bb747b6ceead3d2421f99d</t>
  </si>
  <si>
    <t>886</t>
  </si>
  <si>
    <t>18-07-2025 14:36:23</t>
  </si>
  <si>
    <t>d878c3d9e2d892e7c3ff2e50325f0296bf0d7d6237dd7cf84e15a75ffbb5499666a9b1e98e43bc89dc1f0c845ab51d6c</t>
  </si>
  <si>
    <t>883</t>
  </si>
  <si>
    <t>17-07-2025</t>
  </si>
  <si>
    <t>17-07-2025 09:00:52</t>
  </si>
  <si>
    <t>1b48d1c8ca1d0f1c11f9563b242dbd59dd5870a6001c677c847da7903a58a0b79fa3669112b7607dca81b6897602a054</t>
  </si>
  <si>
    <t>882</t>
  </si>
  <si>
    <t>17-07-2025 08:57:41</t>
  </si>
  <si>
    <t>337d11fffe75d16e819e76011fc9f62d0f80b57b02d8ee5b4700a3c271a1f4245d3f0391e3b5044d0c81494d9eec1548</t>
  </si>
  <si>
    <t>891</t>
  </si>
  <si>
    <t>31-07-2025</t>
  </si>
  <si>
    <t>31-07-2025 15:21:35</t>
  </si>
  <si>
    <t>f8f5e733185b73905de2ff8e9ba3b8b684e6eb64bc371cdc75aabee05d3f9b26b2f440b1bc7b8e12c2d30560497a90a0</t>
  </si>
  <si>
    <t>877</t>
  </si>
  <si>
    <t>01-07-2025</t>
  </si>
  <si>
    <t>01-07-2025 13:27:40</t>
  </si>
  <si>
    <t>54de441f50f16a2a335d364527e6a320d51bc35dda4d61c81e5bb816e02e2778039c7e6af90486de5a164665c52897c7</t>
  </si>
  <si>
    <t>878</t>
  </si>
  <si>
    <t>01-07-2025 13:32:50</t>
  </si>
  <si>
    <t>23-07-2025</t>
  </si>
  <si>
    <t>46c3b85d0f5c5819048e12635cd75f685182769c1a2bf256cc67c624ed7ce42324b133a082089eb5ba5ba666e3a4a03d</t>
  </si>
  <si>
    <t>854</t>
  </si>
  <si>
    <t>19-05-2025</t>
  </si>
  <si>
    <t>19-05-2025 11:55:27</t>
  </si>
  <si>
    <t>587205c915ba317738d453d253405c4c503a31ca68aaf96f8880382f5ad48ad4ef29eb54ca40b79d92e57b036ca43a61</t>
  </si>
  <si>
    <t>885</t>
  </si>
  <si>
    <t>18-07-2025 14:16:55</t>
  </si>
  <si>
    <t>a0e3b57798332e89da3d0aa924b1689db7bc8bfb71ae3c4870540e8f27472b7af260f73b767235b98d29a8bf273fdc2c</t>
  </si>
  <si>
    <t>861</t>
  </si>
  <si>
    <t>23-05-2025</t>
  </si>
  <si>
    <t>23-05-2025 10:52:39</t>
  </si>
  <si>
    <t>d0f2784b5c2b2793c6944a70a655c0e781fbffe1bf8a59b601180961a16db2bad09af6b1ab72334cbad654e1d5eddd8b</t>
  </si>
  <si>
    <t>859</t>
  </si>
  <si>
    <t>21-05-2025</t>
  </si>
  <si>
    <t>21-05-2025 09:15:35</t>
  </si>
  <si>
    <t>61a16dbd5f1c75d3946c22ae51e672855554a1a083ffbe66a3ce37ec044c0eeb0482d244142d392632c296eb374be578</t>
  </si>
  <si>
    <t>860</t>
  </si>
  <si>
    <t>21-05-2025 09:19:35</t>
  </si>
  <si>
    <t>8af1159676dca69df9eefc1105f8143d5da494cb90a27b8cbf0ab3aaf0e4a2b242f0acad0c9724ddfeb95f3df382019a</t>
  </si>
  <si>
    <t>858</t>
  </si>
  <si>
    <t>21-05-2025 09:12:38</t>
  </si>
  <si>
    <t>e333da58f4230f8c897a62072336ee402a4783ef7ad66857c103f9d04347a31b40acfa112e1b8a2b568ba5a02e870421</t>
  </si>
  <si>
    <t>857</t>
  </si>
  <si>
    <t>21-05-2025 09:08:27</t>
  </si>
  <si>
    <t>49b1709b836022c2100560305f35a8705740c2163acde31652534bbba419ee94751a9e526400e61e65a1363c3fcd0104</t>
  </si>
  <si>
    <t>856</t>
  </si>
  <si>
    <t>19-05-2025 14:41:29</t>
  </si>
  <si>
    <t>c6dfad3d39ae43ddcb48019a7135467bd3163c2f396a06f611eb5dd0a950314bfb535e56eda1b6fe7d51741a00a024b1</t>
  </si>
  <si>
    <t>855</t>
  </si>
  <si>
    <t>19-05-2025 14:34:28</t>
  </si>
  <si>
    <t>225c3e55cd8a33911efc48f4b2b36db646d20e4be5c6e0c320b81e7ecc49295c274506c051c953676b1d5d82ecdcb374</t>
  </si>
  <si>
    <t>853</t>
  </si>
  <si>
    <t>09-05-2025</t>
  </si>
  <si>
    <t>09-05-2025 13:05:42</t>
  </si>
  <si>
    <t>28174e8b42299f1282b42cbd35a4a167a1b92e32b72b779510d1cbb739992cdb95814ab8cafabfb246efb0e3ba690d17</t>
  </si>
  <si>
    <t>868</t>
  </si>
  <si>
    <t>13-06-2025</t>
  </si>
  <si>
    <t>13-06-2025 09:09:49</t>
  </si>
  <si>
    <t>fa297b1a19c12e76aacdc10bc310c3ec44bbd342960632839fd56150c736e4b5f66cf504cd32ae04536d9f55a13f7b0a</t>
  </si>
  <si>
    <t>870</t>
  </si>
  <si>
    <t>13-06-2025 12:07:41</t>
  </si>
  <si>
    <t>2550ad4dd14ad73c310e040e62a03fa627c01db4f7fb3f3cc94520901dc807f3f15f60fa36a99018e684334809a686d9</t>
  </si>
  <si>
    <t>869</t>
  </si>
  <si>
    <t>13-06-2025 09:15:02</t>
  </si>
  <si>
    <t>1234fef57c9088900ba32450aa27b5e61186238ed404ff5abbf0de5ee952e669e7212c2cef4cde4b7d7fc6f047e9d15f</t>
  </si>
  <si>
    <t>874</t>
  </si>
  <si>
    <t>20-06-2025</t>
  </si>
  <si>
    <t>20-06-2025 10:13:36</t>
  </si>
  <si>
    <t>5732a7aefa5c151298ba3effd87b15c7cc78485eb67e7f11252dde4919d9705bb15c13f6a69afdc54a92845c61886252</t>
  </si>
  <si>
    <t>875</t>
  </si>
  <si>
    <t>20-06-2025 10:23:18</t>
  </si>
  <si>
    <t>530925b74fbb5ff24b6c8ccd65ef3ab2a4a4bdd95fdd3e92ef29eef112ca10c09d774e859aa06eeba29cfdf79af24126</t>
  </si>
  <si>
    <t>867</t>
  </si>
  <si>
    <t>11-06-2025</t>
  </si>
  <si>
    <t>11-06-2025 11:45:04</t>
  </si>
  <si>
    <t>7063f2711e9d720d74e1a5a10091ef36072dbb69f2da3aa78e77351ef91aa956af0cb772bedf04669e287ac0439feaa8</t>
  </si>
  <si>
    <t>873</t>
  </si>
  <si>
    <t>17-06-2025</t>
  </si>
  <si>
    <t>17-06-2025 14:39:52</t>
  </si>
  <si>
    <t>df1cdbc10bbe88beb5c83ab1cc546324a758056daa34cbb3a2c3c1f311d96209ae2e9e157726a7ba5406e25e7b4d58b0</t>
  </si>
  <si>
    <t>871</t>
  </si>
  <si>
    <t>17-06-2025 14:30:23</t>
  </si>
  <si>
    <t>80f67120b8f4e37c0cff2f593041e2403e26471b71b849e1888ba482fc1a61e24c204e3db5b7b2bb871d842aed76f026</t>
  </si>
  <si>
    <t>1246</t>
  </si>
  <si>
    <t>15-07-2025</t>
  </si>
  <si>
    <t>15-07-2025 10:02:24</t>
  </si>
  <si>
    <t>7e88ed9f5329ca452db4eb96a9057e9cff1b101d9b4dc286a7bfb3093a1ae80a6611c6d572e06f50351ea067fe13d314</t>
  </si>
  <si>
    <t>1244</t>
  </si>
  <si>
    <t>15-07-2025 10:02:23</t>
  </si>
  <si>
    <t>42d764d1aa4f4faf471f0b703412c3452f129310693ba2e11afa69802d0c4ca1e1b157a8fc41b862240d3c163e52de1b</t>
  </si>
  <si>
    <t>1245</t>
  </si>
  <si>
    <t>200a0408fde490ff950e846db2656c1b51fc1f04b73c564d27bfa152f2d2b695ac0b378e11a66dc9b7687dffc6ae5a8f</t>
  </si>
  <si>
    <t>1241</t>
  </si>
  <si>
    <t>a903de45aade9022ac601f4d31e6cbfd68718dad87b83714f393cc22670afab376654274c8e564bedb03c1e1dfa91913</t>
  </si>
  <si>
    <t>1242</t>
  </si>
  <si>
    <t>2bd2be7f30b12ff0ad31e16213b5a9e2ff664a16325a7a3ac20b434ded4bf8fe098e0971ded6290f832ac15d71a1c287</t>
  </si>
  <si>
    <t>1240</t>
  </si>
  <si>
    <t>e796f613a4e43bd95e36f31a8125629818590548450eeb425de375a4e2ccd628e6f4e1fe4143677cc628b27133277192</t>
  </si>
  <si>
    <t>1243</t>
  </si>
  <si>
    <t>15-07-2025 10:02:22</t>
  </si>
  <si>
    <t>01f9065a7da7c729acd5490acea761c3e6d2796d1be6841f07bb3d5556908d00c0d21423094c3191ae4a537bcb19dd32</t>
  </si>
  <si>
    <t>1236</t>
  </si>
  <si>
    <t>f7241bb1acdbb77e1d7641a8099fe3a0a92ff88aa4d0a57b5cc4f628c46c7ef96b1882add085704199fbc616faee1749</t>
  </si>
  <si>
    <t>1237</t>
  </si>
  <si>
    <t>6e0fa28da873a0d665b05c1dc900b9841b243ba890b6dffbf65f16f16199d48b4293e96fdff84d93cf5789b33d750f72</t>
  </si>
  <si>
    <t>1239</t>
  </si>
  <si>
    <t>9e44f082b9ca65b4132837af9cb390dc54c35256d49b1f79a060e7c049a5c2d72eeb9ecdc5a532f641152511b6e88efd</t>
  </si>
  <si>
    <t>1238</t>
  </si>
  <si>
    <t>b9638986465e323ccc5b6411edd7b4cffb5f00da6fbb68de4ea569b5a321bdf4b4e3277628788bd4e73c69b8b12f9cfa</t>
  </si>
  <si>
    <t>1235</t>
  </si>
  <si>
    <t>fb0f464f091cf0e1e1e12e82685966fd233c851c6e3acd0cccc6a3b8fcb3ac4e35c6295e1c27a10f5322a666265f841c</t>
  </si>
  <si>
    <t>1233</t>
  </si>
  <si>
    <t>15-07-2025 10:02:21</t>
  </si>
  <si>
    <t>ed8954f00cb5d66aa782967a18543d9cfa86f5aa778aabbc007dbe54d3e12b2c74c15979d1ebcdabc6e0c7e68373af1e</t>
  </si>
  <si>
    <t>1228</t>
  </si>
  <si>
    <t>f22f24eb17f8be4738593cda6a8228f31f7d7375a405585fe5efa953076475f17ac43724c45b2e7446d34e9f922a2b52</t>
  </si>
  <si>
    <t>1234</t>
  </si>
  <si>
    <t>35aed16746f9e341fe077277df677c6d2a87c52fd75305fc6e140abc6c75ddbc81f942c00571a177e2fc53ae71ef47ee</t>
  </si>
  <si>
    <t>1232</t>
  </si>
  <si>
    <t>3db49f89516668f6741f3077f01fb25e16ff933d1928b430f9d77af05629ce531cc1a8eeb5613f3d63d26a66fbb39715</t>
  </si>
  <si>
    <t>1231</t>
  </si>
  <si>
    <t>ae64983b11ffed86100f166d89816935d76f0ca215a666b92bd7dfb658bdb1d574d7220ae3f156f283a4e7ceb45091d5</t>
  </si>
  <si>
    <t>1230</t>
  </si>
  <si>
    <t>004111d63ad556d4fc67f6cdb77fa95fe176a9e82a6a2b0261b41a74aaeddc95ab7878263de6e05d874f263a8d1300d0</t>
  </si>
  <si>
    <t>1227</t>
  </si>
  <si>
    <t>15-07-2025 10:02:20</t>
  </si>
  <si>
    <t>0e803bb073a9d201e185207c5643d11f6b31a488b7b4ee82a5e77a4307a4acb14c84488b5a28867d3f16f24348743605</t>
  </si>
  <si>
    <t>1226</t>
  </si>
  <si>
    <t>e8de9e2b6284e751db81b3779736df8170fe007a8b00e314eadab4272129fdf900b3ed30f128fb160247474bd588803d</t>
  </si>
  <si>
    <t>1229</t>
  </si>
  <si>
    <t>f92d83f2ea31c9d7a012460f842587a731103b5a99874c5984167a58bb07ef0db6085dad2416f623625577908713be3f</t>
  </si>
  <si>
    <t>881</t>
  </si>
  <si>
    <t>10-07-2025</t>
  </si>
  <si>
    <t>10-07-2025 16:02:11</t>
  </si>
  <si>
    <t>2b9b929578b6bc57868e92199c3f56c99df0c105f8f358c4ac27bc55592823175cc8e27a8f84787ab3aef58a44b6029f</t>
  </si>
  <si>
    <t>880</t>
  </si>
  <si>
    <t>10-07-2025 14:58:42</t>
  </si>
  <si>
    <t>c489b452efe9eb43a90ede1cdd3837d7989f810509ef8d50261e7bc01a7781ddd562452431d27538cf6d7f5403d855c0</t>
  </si>
  <si>
    <t>876</t>
  </si>
  <si>
    <t>01-07-2025 13:23:00</t>
  </si>
  <si>
    <t>a2e73f991cf6c298732dbf8e49e66f4526d8157b215af7993f6ebf8e8a9dfb3d0594e349b295623f3995d12c129fa717</t>
  </si>
  <si>
    <t>864</t>
  </si>
  <si>
    <t>03-06-2025</t>
  </si>
  <si>
    <t>03-06-2025 09:45:16</t>
  </si>
  <si>
    <t>37e8c44e403b8dc91e34affb8300ebc4c2024675db2d4f34cc24551fff2206dd328103eb8dc7e57785a8d56e7d7ffb28</t>
  </si>
  <si>
    <t>872</t>
  </si>
  <si>
    <t>17-06-2025 14:35:48</t>
  </si>
  <si>
    <t>082bc07b180c76c6a082ff96207277330d5f16f144adb2336040429896e9f05b7b84a61c049e7cd7b425753e1635b5ef</t>
  </si>
  <si>
    <t>1225</t>
  </si>
  <si>
    <t>16-06-2025</t>
  </si>
  <si>
    <t>16-06-2025 14:43:38</t>
  </si>
  <si>
    <t>280ddabff140437f13cb66a962ae4038308dde7c0cf2d24f0e1c4280376e53b76a3e6533ccebee2321280acb70be8f5e</t>
  </si>
  <si>
    <t>1224</t>
  </si>
  <si>
    <t>3bd9411d215f46df0dab6b9f1926b8d6c601f5ee539905d8c31d5f63a310f1712e9bb08270ef02fdc6028e313d76b70c</t>
  </si>
  <si>
    <t>1223</t>
  </si>
  <si>
    <t>3f6a93de3ba9cb6d220598776929d9b572c2eafef6e5fc0033f2e6a5d5688747475620563a2e8f0a35677b6b7ade98e2</t>
  </si>
  <si>
    <t>1221</t>
  </si>
  <si>
    <t>701691d00231cd6d51b879ffc6987acbd73bee8e882f5aff1a0c2b3438003d770add5c84fa85929adcb00c0d40224d97</t>
  </si>
  <si>
    <t>1222</t>
  </si>
  <si>
    <t>c8cc7fed12cffa3137fa00f24c714f3a0db621e1a4661e144fe8d08d66f1843fbd49788ca759fbc026844290f1079811</t>
  </si>
  <si>
    <t>1220</t>
  </si>
  <si>
    <t>16-06-2025 14:43:37</t>
  </si>
  <si>
    <t>dcdcd837d7a0ee15ed4f40daefb158b2d99b73a424eb8d9c0794ed460520311bf0873a0f42e850ee707a91f2622890ab</t>
  </si>
  <si>
    <t>1217</t>
  </si>
  <si>
    <t>75329a1cc455c0323005f9379ca4e2aea3a5cfef8d7c56e1a5dd58bfd4b33cb077a0ce63752656ccba7e49b02a821738</t>
  </si>
  <si>
    <t>1219</t>
  </si>
  <si>
    <t>5431c50ae177701a765335b6bd6c42a1a7ad59f9a6ac2ebdaabf38792df6c32d9c9ab9258a8d0ac486df0f2eddc75508</t>
  </si>
  <si>
    <t>1218</t>
  </si>
  <si>
    <t>1e87b0446a09ae0a9652223de6158c167eeb6e17023f04315a0106d6da17bbb321bec6e53845ea9e45bf08d685bc9ffc</t>
  </si>
  <si>
    <t>1215</t>
  </si>
  <si>
    <t>9d2847047dbb2cf04a51a9bc64f7580da552c4b6fd9d00579cf382b09cd51f75d70c8ffe63162493bf0e2c837ba95a92</t>
  </si>
  <si>
    <t>1216</t>
  </si>
  <si>
    <t>013f04d5a3edfe05e051df1c20fda8b44e00a67baa3a1605429a71b54c7c177d203d9050c3690967c82cc6662fc4027c</t>
  </si>
  <si>
    <t>1212</t>
  </si>
  <si>
    <t>65c70b405bf40615e740b098f750d2695a6b8004dad1b3451f861db378c055b815ba8f95170a551f1caccc3771e51e87</t>
  </si>
  <si>
    <t>1214</t>
  </si>
  <si>
    <t>16-06-2025 14:43:36</t>
  </si>
  <si>
    <t>d9c4f3d4c98a51843bb0766317022c605e5b054b9a148445cc87ea7140ff56a16d11c5e7c5750d869f6f2442aafed5d4</t>
  </si>
  <si>
    <t>1213</t>
  </si>
  <si>
    <t>af7d1e24c2dded8df058e8f155f9aa0c6bfba735a720f5474d25c4c915ac9d4634367d0e9ee90b016f86c8e964eda7bb</t>
  </si>
  <si>
    <t>1211</t>
  </si>
  <si>
    <t>4c18df42fd691900f5cdbe8293f23c2c251adf5dfe1f7c1bea10328e86e1cfe3cec9eb7fd78d442780c40fddec4ed558</t>
  </si>
  <si>
    <t>1210</t>
  </si>
  <si>
    <t>c8ea6ce52a0e38cdc97c2115d2cc75af1c2cb38a10260a01775aad3144f29ad280336085264e97a47f71c55b21aa496e</t>
  </si>
  <si>
    <t>1208</t>
  </si>
  <si>
    <t>ccc64d536beb6dac0da5bd99777d713895c0de3313d75169d7c5f5d795dd0c92a608f1d3da8c48a84efa39ffec419e8e</t>
  </si>
  <si>
    <t>1206</t>
  </si>
  <si>
    <t>667f38e3e655119036cc0742c961399afc3e5e0c8adc7267317b20a79c0fb56e081f99d213506a1e76482058fcfd1a09</t>
  </si>
  <si>
    <t>1207</t>
  </si>
  <si>
    <t>3b2c9636bb89ee595007380427006473d777b90f43898b2a5c4f511c922de2929a7c18a26cc9d3963f616a7890b8766a</t>
  </si>
  <si>
    <t>1209</t>
  </si>
  <si>
    <t>16-06-2025 14:43:35</t>
  </si>
  <si>
    <t>a6117a554f5534b313b9839460a0969b7706b84241e00598765d161c2bb7491855d37ada0cef0450a77ce52d6b63d167</t>
  </si>
  <si>
    <t>1205</t>
  </si>
  <si>
    <t>16-06-2025 14:36:55</t>
  </si>
  <si>
    <t>a3cd1275877107a46942cefd09bc1772db3de6c57532d07f95a11b40fae892da5ff1b951358ad41f75b6d2cde19ce080</t>
  </si>
  <si>
    <t>1199</t>
  </si>
  <si>
    <t>16-06-2025 14:36:54</t>
  </si>
  <si>
    <t>86de7ea4b20b7b3b0ec09cd747ab84ebf7260b0a619d8d4c27f65eec8d6ed6b0b70a38c3215cda1dea8a3264ef01b218</t>
  </si>
  <si>
    <t>1203</t>
  </si>
  <si>
    <t>81ee44a5899d5b10c4cfa9a128d9f3b89e2cc0a83828f5c068e3ab5d0d6552eb7d1381607bc910e9792e42f84d518518</t>
  </si>
  <si>
    <t>1202</t>
  </si>
  <si>
    <t>b3b75a5f7707b84ec588394cc3d08c7ee3431a8a3bffe0e4a89b7cc74fd22dc7f2f76ff7641c70a3f9b9ab33d49e3f72</t>
  </si>
  <si>
    <t>1204</t>
  </si>
  <si>
    <t>feed7ebac33256b0862ec03555ec44290eeffa8cae880ee84995c3e82868d917b60ed110c49cdc6be5e8e1967ce0c999</t>
  </si>
  <si>
    <t>1201</t>
  </si>
  <si>
    <t>bf5cad63113b45c4256bfd0ad2b1353f35623c4241af9568d249d1fc3fc63e9270a9493d4e9718620d45afd7670dab03</t>
  </si>
  <si>
    <t>1197</t>
  </si>
  <si>
    <t>d386b39127bd4a8868aef990620f5e84ca5b8a847f792f26bd9f702e80a473e584c2b61269000ed924afc589d7e93335</t>
  </si>
  <si>
    <t>1200</t>
  </si>
  <si>
    <t>a7e43db5a7470a723bfc1483cc49fcd4f8189d21764ce794e026136a17a231680006002259a2231a7dd1f56756c31cce</t>
  </si>
  <si>
    <t>1196</t>
  </si>
  <si>
    <t>2267706d996cb844184377f53dfd69605b42742f594341383e93e6686c1aaac8ff30441d6164c163cef2ecfe31304c39</t>
  </si>
  <si>
    <t>1198</t>
  </si>
  <si>
    <t>f159eff691436b2aa5ce85dd35dd117db071089e61acf403fbcee2b1232b874808d484071c82b56fe2be96a21bb30723</t>
  </si>
  <si>
    <t>1193</t>
  </si>
  <si>
    <t>16-06-2025 14:36:53</t>
  </si>
  <si>
    <t>2e752e9458c20999d307d7aa4446190a3645228e002c55b2627b813e5acdb4b8a66ae4329c14d9753a241d590d143991</t>
  </si>
  <si>
    <t>1194</t>
  </si>
  <si>
    <t>17d77c113d944123e053a2544cdfac15b8f0b8e2eb18d9758b96de852e75063aa701c9fa0ffa256abadd14c1bacda8ef</t>
  </si>
  <si>
    <t>1195</t>
  </si>
  <si>
    <t>64770ceb3985ad993729d60d8234d340333439ab574c75a0e0341e6d0bbf85af6b1f4397b0d73d932b75df84f335e7c1</t>
  </si>
  <si>
    <t>1192</t>
  </si>
  <si>
    <t>82dabf20988d5783810fc4a71d6e07ecc12c721c9ab2b1b145b7f93bd4b94e6ddb4f3d42dedd20193b26598263dbe860</t>
  </si>
  <si>
    <t>1191</t>
  </si>
  <si>
    <t>a4ca4d5156fe87aa0237a643174b0fc34ec07da8772c8a37165681f50d111d115474f877da1db51eda487a5f906f3855</t>
  </si>
  <si>
    <t>1190</t>
  </si>
  <si>
    <t>b3c1d8204c1573d857416bd03857a63ab0a679574ec3f4666f259a595cc182ed4459334ed5d4e680b7958588a3b47209</t>
  </si>
  <si>
    <t>1189</t>
  </si>
  <si>
    <t>8bc2092591be4cd944a221a82f9a22e98a80f2fed63090406bcf8ca3e50959e4ea4174b2ed06b46cb10c5fac8fcc4c2c</t>
  </si>
  <si>
    <t>1187</t>
  </si>
  <si>
    <t>0bc27d2ace3e4df8c9554511a53ca7af796bcccbd72de2ef16e452a636eda850b7457fb2a051207d35834dbd527eac6c</t>
  </si>
  <si>
    <t>1188</t>
  </si>
  <si>
    <t>16-06-2025 14:36:52</t>
  </si>
  <si>
    <t>4f57fdcbf7e190089d7eb1cd3ca87d2c3902e9eff19e214051c75ae6d0a7cc2ace5b54dd354430900e4774b5f276124d</t>
  </si>
  <si>
    <t>1186</t>
  </si>
  <si>
    <t>14f9592d57e46f8868f777e32af49db3f4ba7e7fdf0d5fd463a40f25a20013b0d4795b47172dc13e3cd8aaea593ccb68</t>
  </si>
  <si>
    <t>852</t>
  </si>
  <si>
    <t>08-05-2025</t>
  </si>
  <si>
    <t>08-05-2025 12:08:18</t>
  </si>
  <si>
    <t>e1ccd90f962f4c0fe935a4e08e4107af30909f0b549efe3b233894a6cdc0b54e11816c0feee362ed743697221d6991db</t>
  </si>
  <si>
    <t>851</t>
  </si>
  <si>
    <t>08-05-2025 12:05:13</t>
  </si>
  <si>
    <t>051fc12f07ac812522b12e34a9d3edf2bda6d4238cf7f45ba2f88548b943a844549d43389a0e70e4e495c49fbaa70f76</t>
  </si>
  <si>
    <t>849</t>
  </si>
  <si>
    <t>02-05-2025 15:20:52</t>
  </si>
  <si>
    <t>a71a6adac4142fe40797d2ec0352267de71eaaab314061ba1821b91af7b75d4021dc9545022fc359f29b8499cf150afc</t>
  </si>
  <si>
    <t>1174</t>
  </si>
  <si>
    <t>13-06-2025 09:06:22</t>
  </si>
  <si>
    <t>2b5061f7eb60c5a1f4647811ccb9842e8ebb125b3fc2a691823be78ec65e02dcee9cb74c73bcfc679b4c9af8d9db1890</t>
  </si>
  <si>
    <t>1185</t>
  </si>
  <si>
    <t>13-06-2025 09:06:20</t>
  </si>
  <si>
    <t>f39d01c131b7228cddc6ef93545d0333d10e3138692dfd55d813647b160302e1f6ab9dbbc4b425255551509b61b8c35d</t>
  </si>
  <si>
    <t>1184</t>
  </si>
  <si>
    <t>13-06-2025 09:06:19</t>
  </si>
  <si>
    <t>14e1c7b1b3e539a0f216cdfb6867c8c4cc1c7051fe5573bed6b2722003045099ec0440874611e73339141fed7085da3c</t>
  </si>
  <si>
    <t>1183</t>
  </si>
  <si>
    <t>8ab731091e1c2ed8178089a7eed9c997b5d23d92891111c999ff2cc31fe179fc9e7689ea839f04a6a1f9e323ab2c1775</t>
  </si>
  <si>
    <t>1181</t>
  </si>
  <si>
    <t>8c31a82bf8e6839952dcb68b4a55162da1c6faf068f9679ed715568307ff130b16618280ce870cd30e405075af25a890</t>
  </si>
  <si>
    <t>1182</t>
  </si>
  <si>
    <t>000fdd3b6d6a99b8373a25737feff8cbdb64368df4cef5ac6c8b5dd2459499d5a779324bba004fdc04a7877942f4bece</t>
  </si>
  <si>
    <t>1180</t>
  </si>
  <si>
    <t>2cca9df7c32077d6d6be92ab4a81ccf2fb8f4adc217a6d9fb2c299a40f782ca701abb8e2330d878cbc85109475bc194d</t>
  </si>
  <si>
    <t>1179</t>
  </si>
  <si>
    <t>9d22da0b212003c8ec31baece4a9b54123df3d3bfbd1b3ceac85d469a58a45b06e4e627669afa83dd3d86673ebf314b0</t>
  </si>
  <si>
    <t>1178</t>
  </si>
  <si>
    <t>7bf671295d63578e2376244e07db4a634862eadc6108098bb3ac86d6c29e750f6d6823cff6ae06adf9da06d2d3195fee</t>
  </si>
  <si>
    <t>1177</t>
  </si>
  <si>
    <t>f14789fff8165e133335c848729ad27bebd301765afe069ad2134db207f533a629e8db99b0a6e84fe0fb1044cba16c52</t>
  </si>
  <si>
    <t>1176</t>
  </si>
  <si>
    <t>5db1ac1f8cc7c59216ecee4ca2f822fdde6d870a550f72ed8f7f93f05a36629d0941e37b04e6cc9f23a1a4a077e8e7a6</t>
  </si>
  <si>
    <t>1173</t>
  </si>
  <si>
    <t>13-06-2025 09:06:18</t>
  </si>
  <si>
    <t>9b73222b27c4a88db64f1c622e9182213658df0518f4e225f870c409e7749339f7d9e35fb5f07d2fe79f7bd223261288</t>
  </si>
  <si>
    <t>1172</t>
  </si>
  <si>
    <t>8319950422b2d4cbb88688fc1cdf0281ca4c4394d6a70cf6d0cc83abcc8b6478f8ca30e6e5492519ff8ca9a26040ae0c</t>
  </si>
  <si>
    <t>1175</t>
  </si>
  <si>
    <t>16caf57dafb6ea8fa21a2fd7349e6ca3f8c6f7bd59d0a9a0823892e29de490680d343b6c2bacdd5fc6e673387a797fba</t>
  </si>
  <si>
    <t>1170</t>
  </si>
  <si>
    <t>b9eeb0090cff2b57a519a8217d3a4dc71c87d5635916d0c69d573bd552eafdd87c77f15c56ab507a74cdddbb89da5d7d</t>
  </si>
  <si>
    <t>1171</t>
  </si>
  <si>
    <t>82d189197a03fa519e9bc9e9ee58070551e1fc2f8807330ba7c1bcdac8c61159659d377f9c49e6abb6cabe2dc88bbfed</t>
  </si>
  <si>
    <t>1167</t>
  </si>
  <si>
    <t>13-06-2025 09:06:17</t>
  </si>
  <si>
    <t>92d92a882e4e877fa1a5e822e999999ce78d74ce779787b4514eb06e18e5520248d6f1229f2e3943ac8576b903ab40ce</t>
  </si>
  <si>
    <t>1166</t>
  </si>
  <si>
    <t>2360b6a57719780d0ba1796e6bf537f55bf1d71cfd9ed6456ad2cacc7e7507f74a13f20e50ea113ba3b29b62db7869f5</t>
  </si>
  <si>
    <t>1168</t>
  </si>
  <si>
    <t>1cbfb5193154aa5100e859d83db6088f8ef7edc42c6f7583fbc6d17c0088ad8cf7f0fb52de7e28bca19489a135d22ce7</t>
  </si>
  <si>
    <t>1169</t>
  </si>
  <si>
    <t>242a566ea42c4b8d64f429e01942be7676e0bd99491fef3eea856f66597d4cb7af95b16155292ca0de098469609e162b</t>
  </si>
  <si>
    <t>865</t>
  </si>
  <si>
    <t>03-06-2025 09:51:20</t>
  </si>
  <si>
    <t>39638226d0a22e495c4d5d367ff891afeee6e67cacd854d65f8b873215e425921eb798144ac3ab0d9c17a8c508e3e135</t>
  </si>
  <si>
    <t>866</t>
  </si>
  <si>
    <t>03-06-2025 09:55:53</t>
  </si>
  <si>
    <t>fbe3fb68288c9115dae4690b1a13db06000a15ab6c6a3a12528db9f696aafb5f83f3f543e63e6e796988e639813b790c</t>
  </si>
  <si>
    <t>845</t>
  </si>
  <si>
    <t>22-04-2025</t>
  </si>
  <si>
    <t>22-04-2025 09:41:09</t>
  </si>
  <si>
    <t>4309eb5251657b581ef146667d0d295ffc4595c80351fabe08d85d0b90d457d473e2a17efc5f9bf4f57e36a471cdd585</t>
  </si>
  <si>
    <t>844</t>
  </si>
  <si>
    <t>21-04-2025</t>
  </si>
  <si>
    <t>21-04-2025 14:58:13</t>
  </si>
  <si>
    <t>fe09411992361739fa3b96fe54cb55a3c840272691d62b58a375890f669fbeac3cdc9118e1383f745ed71c492f77db6f</t>
  </si>
  <si>
    <t>843</t>
  </si>
  <si>
    <t>21-04-2025 14:55:01</t>
  </si>
  <si>
    <t>4d0e0e7189b43e55f491d1a88da103202a6f7eb5498d737496216b831c8430efab189e4bdb75452513b044c3917d9661</t>
  </si>
  <si>
    <t>827</t>
  </si>
  <si>
    <t>19-03-2025</t>
  </si>
  <si>
    <t>19-03-2025 16:42:25</t>
  </si>
  <si>
    <t>bad24cb9c68f4c5ce2cdf73758fcf11853d39e43fcfaf4304864bbfe033b3a9e450b00e939b4b356f4e1bb8c29cf518c</t>
  </si>
  <si>
    <t>826</t>
  </si>
  <si>
    <t>19-03-2025 16:39:56</t>
  </si>
  <si>
    <t>d3dedf467227b91c5cc5b20e74b5c1a6fce26a5d565386464f2e3933a09d41d88d72ee6cd777d3303da5a7eeeaa108a2</t>
  </si>
  <si>
    <t>824</t>
  </si>
  <si>
    <t>19-03-2025 16:09:27</t>
  </si>
  <si>
    <t>a4aa7486a9c5a3ccaec4b8d888b11906f1aa386ec9cce0fd452e08d33cb82b9d9eb0cc48e41600fc157f37a78bd999b6</t>
  </si>
  <si>
    <t>825</t>
  </si>
  <si>
    <t>19-03-2025 16:36:34</t>
  </si>
  <si>
    <t>2aaf2ad9d835b3240450c7106f2bc6bd96421c29feb59beb6004e9a2bd4449551a79a2185e88b31cd6ce73ad7d3389b7</t>
  </si>
  <si>
    <t>830</t>
  </si>
  <si>
    <t>20-03-2025</t>
  </si>
  <si>
    <t>20-03-2025 20:49:09</t>
  </si>
  <si>
    <t>707356fed9c441d49c4e6bf6296b8ec4c041331e2344cb762c0dd1910c6ac27cb3d126e6d9ef9d63ebc2a680ab45f225</t>
  </si>
  <si>
    <t>829</t>
  </si>
  <si>
    <t>20-03-2025 20:44:47</t>
  </si>
  <si>
    <t>605bc6e4ce60f1687f892c2465286bbb1d075d57902ed807d5f376f30ea029453d694c1f6779ed351403014a9e3993f2</t>
  </si>
  <si>
    <t>818</t>
  </si>
  <si>
    <t>12-03-2025</t>
  </si>
  <si>
    <t>12-03-2025 19:35:01</t>
  </si>
  <si>
    <t>eeb6f36c630f28951c42faf0d3041ca85c0a823aa969338735282d89e5f070a41d16c639af2713010f28ddc656cfc0a1</t>
  </si>
  <si>
    <t>817</t>
  </si>
  <si>
    <t>12-03-2025 19:31:56</t>
  </si>
  <si>
    <t>b58209ddea86ded0fed1e40d27a28c8417a92ff39d4dc8ce8a2cb8ec0d898a7ae62ca62652d2c109cc61539ae0b17a0d</t>
  </si>
  <si>
    <t>863</t>
  </si>
  <si>
    <t>26-05-2025</t>
  </si>
  <si>
    <t>26-05-2025 15:28:34</t>
  </si>
  <si>
    <t>14-03-2025</t>
  </si>
  <si>
    <t>943360eb78ee9f2c9f42c0b20a5654e6c628a8918a412149a91e2f5269a78964f993f37d15191751ffed9061356a4af0</t>
  </si>
  <si>
    <t>862</t>
  </si>
  <si>
    <t>23-05-2025 14:15:58</t>
  </si>
  <si>
    <t>9f5e222abe03384433f9281f81ec58e09a2fdfb9cc1040a611728f1f9f9cd9c82c93e16dcc7025ded6c32ece822b09fc</t>
  </si>
  <si>
    <t>841</t>
  </si>
  <si>
    <t>11-04-2025</t>
  </si>
  <si>
    <t>11-04-2025 09:15:17</t>
  </si>
  <si>
    <t>3123fc4f8ffc5372ffe87d504885addf519617573ae55eb9772088df558b128f0fdd35fd6e298d4dca15cb7d095d6ed9</t>
  </si>
  <si>
    <t>837</t>
  </si>
  <si>
    <t>09-04-2025</t>
  </si>
  <si>
    <t>09-04-2025 14:50:39</t>
  </si>
  <si>
    <t>43fabcaaea25ccb01fe7b058968c3c24cd67dd6b09d43f285f566f9351e7c80fd513d7a0138acc52752cbcdf8d453aa0</t>
  </si>
  <si>
    <t>836</t>
  </si>
  <si>
    <t>04-04-2025</t>
  </si>
  <si>
    <t>04-04-2025 20:04:59</t>
  </si>
  <si>
    <t>694aae082fbc877d99c5abe13258d29ceea3a533ab00025fe68d93d8718b5eaee41eb8da9ac664b6bc1c91449d90b983</t>
  </si>
  <si>
    <t>835</t>
  </si>
  <si>
    <t>04-04-2025 19:59:49</t>
  </si>
  <si>
    <t>d4dd07207b714922842ed233293c9466d21c6344d3c22fb9eedb406a130d0784d00de9874aeab7698d4b4845f8ab8d0d</t>
  </si>
  <si>
    <t>834</t>
  </si>
  <si>
    <t>04-04-2025 19:54:52</t>
  </si>
  <si>
    <t>09f0e94ab3961bcb8c08babd6c9536816a4a3aa3d1774faab0a75468d359289cc7a76767874625666a45f57bcc4991b2</t>
  </si>
  <si>
    <t>833</t>
  </si>
  <si>
    <t>01-04-2025</t>
  </si>
  <si>
    <t>01-04-2025 14:03:01</t>
  </si>
  <si>
    <t>57bfef37f0fe7d73b3dbed5d698fa7edbf34a2ad5512ab6bb6f5eb4615a96aa258a50bc0eecff22ff18f84c63a975d4a</t>
  </si>
  <si>
    <t>850</t>
  </si>
  <si>
    <t>06-05-2025</t>
  </si>
  <si>
    <t>06-05-2025 14:43:08</t>
  </si>
  <si>
    <t>f59d9726b23b0745816525fda761260d532b0eae8e26d9e6bca6921b447ad77cb7ae3251daf58563e5fe1d152892fe44</t>
  </si>
  <si>
    <t>848</t>
  </si>
  <si>
    <t>02-05-2025 14:56:03</t>
  </si>
  <si>
    <t>718d9c0b48d7527883ea82c6ec2f0b77bad062cf786e0452ea969fcf8ca43c6281e51c553e4a6b21c3786a0c809d379b</t>
  </si>
  <si>
    <t>1165</t>
  </si>
  <si>
    <t>30-04-2025</t>
  </si>
  <si>
    <t>30-04-2025 13:56:08</t>
  </si>
  <si>
    <t>c7ca22d76191d0c93cde84045c2614d8ec21a6d06de0ef83fa0cc87ff4489f1c57c71dd702020b9ef01fe679e1232370</t>
  </si>
  <si>
    <t>1164</t>
  </si>
  <si>
    <t>90503d724d90c07ec6c23acec024e12ab56ab7a8326cbf01cc5701bb6a8a8facd09fa0982153661c667935fe63325bea</t>
  </si>
  <si>
    <t>1162</t>
  </si>
  <si>
    <t>d6e094fd15d872844026e919d4d410ce846e97eda26102135ed358fa2dad970aa9f737a1eddd2c6b0e141c05071a0897</t>
  </si>
  <si>
    <t>1163</t>
  </si>
  <si>
    <t>7d0d8502dec6836158053c19498a058637a3d6ad476e4ea7a57bdb54b18fd196863fc1b1f0d1fa2640b472781d735a37</t>
  </si>
  <si>
    <t>1161</t>
  </si>
  <si>
    <t>30-04-2025 13:56:07</t>
  </si>
  <si>
    <t>1663060c1c5ebff0f56f3621639447e2fccb25ee36ceab23b705feadb0e55d0e660bf35823b2b8325797b1695647b40f</t>
  </si>
  <si>
    <t>1160</t>
  </si>
  <si>
    <t>e51cb15e43e93fd81fd9e1393ab9bfdc4374f150b59ec04aad80f55b43783aff1c481458a24b7801b283db180f525633</t>
  </si>
  <si>
    <t>1157</t>
  </si>
  <si>
    <t>c599c72262d519f7e922b6321d11f850cd7b207d3386cec861562dfb6ab74b1d68d0f58a42b4019102b921433f025e66</t>
  </si>
  <si>
    <t>1159</t>
  </si>
  <si>
    <t>fddd1d5ef98b19a3e8d299c5a46e473c1043c2c07e628cdab96aa80ab60dae0e35c6eecc8561d098511a7a57c5918a45</t>
  </si>
  <si>
    <t>1158</t>
  </si>
  <si>
    <t>041fe063d51703af9d609a47ae5e1e4c1792a56536336beb2b413590f04241beb575b274f2c4538ec27b957db939cd4b</t>
  </si>
  <si>
    <t>1156</t>
  </si>
  <si>
    <t>30-04-2025 13:56:06</t>
  </si>
  <si>
    <t>ca77348a1ea2bf9539241b29441ea2d8f29a1b87f730c39858112c33ef591c9b6d9f6443849111acf56490b1e8c5ae53</t>
  </si>
  <si>
    <t>1155</t>
  </si>
  <si>
    <t>1e9c04426e8c25c3b1300799918f7945e9be29f7097c39f00faa97863049418d9dc6906a3ddcdef90e56cdd08cd04802</t>
  </si>
  <si>
    <t>1154</t>
  </si>
  <si>
    <t>515f893045638b9c0e87f5fb564522fbf8ba40d386333683db1f862e0ed50bd7694fd55aaecde49a99c5d389d83c6a57</t>
  </si>
  <si>
    <t>1152</t>
  </si>
  <si>
    <t>30-04-2025 13:56:05</t>
  </si>
  <si>
    <t>ba27a9fbd09bca0b6d97eaafa8006ccde39ed05a27266fd1c953f10e1caa024624b835dbd0b71489ebbe102be4c70291</t>
  </si>
  <si>
    <t>1153</t>
  </si>
  <si>
    <t>72f0269f598d2a977291631d62e681df79d026bf0787fadb0cffa5cb9387350a8b1aa17f46145a67a0c2cde9325131cc</t>
  </si>
  <si>
    <t>1151</t>
  </si>
  <si>
    <t>0c4b438a84c5a35b307a5671b6abc06ab331a9bfd42e22d3e347e6cdd5a57f681cfb97db1662680d16d9334e195d1c72</t>
  </si>
  <si>
    <t>1150</t>
  </si>
  <si>
    <t>22041637493a99e8fb3e6bf245584f8d5109331b0c4c373b1bef7a7def809753246c67c068bf15603d81886b63a862fb</t>
  </si>
  <si>
    <t>1149</t>
  </si>
  <si>
    <t>30-04-2025 13:56:04</t>
  </si>
  <si>
    <t>c4834503a20974e24bf6f0dd2a064f89080dde1a331ef727f3b94bc796d2049244e14100065c345b277b9446e7b3388d</t>
  </si>
  <si>
    <t>1146</t>
  </si>
  <si>
    <t>50cd84926a1448d8c36943f91b3297f2e2bca205ddb04f836829ecfba69dbae6075c0984c28afe5627f3ae33105816b1</t>
  </si>
  <si>
    <t>1148</t>
  </si>
  <si>
    <t>a85092d7725a6abc4c2b8e7958a28c65c35f89e1d2337cc71d7f0bfa83297f16bdf98bdeba0a5489a50500a5688aeb74</t>
  </si>
  <si>
    <t>1147</t>
  </si>
  <si>
    <t>30-04-2025 13:56:03</t>
  </si>
  <si>
    <t>a96c323546ae5825d2ee63e85b4d0774ddd4f3c87a516f477f227c725f6eb2cd6e9c5a32fac7ed57bf24b4d020059817</t>
  </si>
  <si>
    <t>816</t>
  </si>
  <si>
    <t>06-03-2025</t>
  </si>
  <si>
    <t>06-03-2025 16:19:09</t>
  </si>
  <si>
    <t>51ff259fee5931e96e31b20b8465d5424186d447883a653aa658de7b1d7b6a2cb4f08a3a029d8c81f9277bd28db0c79a</t>
  </si>
  <si>
    <t>815</t>
  </si>
  <si>
    <t>06-03-2025 16:16:02</t>
  </si>
  <si>
    <t>1d42e68baa8d62f46545dcdd094dc7706e4abab2089f7157a3727c109da5060d068c73aa17b10709f6aef4f920046279</t>
  </si>
  <si>
    <t>1143</t>
  </si>
  <si>
    <t>14-04-2025 14:56:58</t>
  </si>
  <si>
    <t>80dab7610997d3549ee72436c2b7668dc16e9ad1040c22ba834f858abbb6463631dbc0d515933dd1c6bc947a0e1c1c67</t>
  </si>
  <si>
    <t>1137</t>
  </si>
  <si>
    <t>d5ef514807736bf585c025dbeb33e73d7058c61fa44a2334a2618aefa198fc2279c2901d1015f94fa455412f873c6ece</t>
  </si>
  <si>
    <t>1145</t>
  </si>
  <si>
    <t>14-04-2025 14:56:57</t>
  </si>
  <si>
    <t>b2f0f3a395d4928faefc6e0cc206366ede81d7fa3f41a9c4d07e83cdd067f80a35dc5753ced86c3cb40cdbf2608565d1</t>
  </si>
  <si>
    <t>1144</t>
  </si>
  <si>
    <t>4a03a018ef3bda2430abd14e9706e360dd2fea7905295b2fcac9a6187e710ab7fd4875464aa1e5204195eaac7a7a03a5</t>
  </si>
  <si>
    <t>1142</t>
  </si>
  <si>
    <t>2bb4fb355faf28eeb27eb692227ab8651248058e4a6bbbbb3ca1ed901918d3a600434f2849851303bf1d02d0fc0d395a</t>
  </si>
  <si>
    <t>1141</t>
  </si>
  <si>
    <t>1104383059</t>
  </si>
  <si>
    <t>JUAN MANUEL  MORENO RAMIREZ</t>
  </si>
  <si>
    <t>536821cbdf0c6d7ed91e086e0de0b9ecbe7e0d64b1a7bdc3d1734239dbccb60d844cd08b1bf94d73956a157b1fc5ced0</t>
  </si>
  <si>
    <t>1139</t>
  </si>
  <si>
    <t>f652c3ab0f12f0168b6617e8ceaf7205b531e8c74586ecae67d4232380a0504fc33103cccc7a1c559914f51ea1f7b6ba</t>
  </si>
  <si>
    <t>1140</t>
  </si>
  <si>
    <t>ed9bf0f8312c89ef25f64909bfd2e68b99502878e9e832356d274845f27dedb91cc042056280b9d7a5b8fb3ec41fb944</t>
  </si>
  <si>
    <t>1138</t>
  </si>
  <si>
    <t>b1a0496dd651f874227057e602e257de261446cbba71d461ad06c99e22b48ea022f5db2004fb0fb82cd533c3043577de</t>
  </si>
  <si>
    <t>1134</t>
  </si>
  <si>
    <t>6aa077788b3c36f2e55726ba8a3b97a9420b4e9321634352e7f2e2b4a5f1ed37e419fb0cd5ff7e41520e21dca659720f</t>
  </si>
  <si>
    <t>1135</t>
  </si>
  <si>
    <t>9e7695fcdb4157f9fb9eae116dff35303af27a700233fbe41ffe3f033a90e50e3c76a5fa9558b6806f712f81a58e07d6</t>
  </si>
  <si>
    <t>1136</t>
  </si>
  <si>
    <t>44514ac759a0074864bec6f6cd2b4b7318adc6596cd07661ee2876409835636aab93af28bd2fa2578564bb059091916a</t>
  </si>
  <si>
    <t>1131</t>
  </si>
  <si>
    <t>dc35382844446d0c7597e45abcfd0287946ce4bf47a15d31bb8faa895c22d2283971d9f26052b78106f2255eff3b63cb</t>
  </si>
  <si>
    <t>1132</t>
  </si>
  <si>
    <t>aebf03a2109eb44784072e724fa1f8921f120eed0802a20e09581a64543dff2161072dfea15c08990b3853a115548a57</t>
  </si>
  <si>
    <t>1133</t>
  </si>
  <si>
    <t>fcb48e4db8f535948762eb73f1dcc44b4fc5d846a847f18955716220032ca29b2419469c4e90967bba5dace7601949c7</t>
  </si>
  <si>
    <t>1125</t>
  </si>
  <si>
    <t>a90598b12edabab0d38f470c3278aa18ab8945dcec0176fed5a249a4624583a94732e8408a8fd9cd07cb016373c3aee2</t>
  </si>
  <si>
    <t>1129</t>
  </si>
  <si>
    <t>aa4720c69c69b0eff805962bb2e2c13565f42d12fec7cc123a4d15f33afaa8d0773b99341d18d9a682c184ac314aa5d6</t>
  </si>
  <si>
    <t>1127</t>
  </si>
  <si>
    <t>a00997a17ad01c613f3daf5a2ceeaed9a56a5f888981c9de9216dcce237a18c9863db57d662e27a3c1376d870beb7302</t>
  </si>
  <si>
    <t>1128</t>
  </si>
  <si>
    <t>02651aefae05389f617ec0a13fdda98c89561b9aa7db663c3cceff0e3d2fabc176da3ec74c3a6fe01783df759df666ed</t>
  </si>
  <si>
    <t>1130</t>
  </si>
  <si>
    <t>14-04-2025 14:56:56</t>
  </si>
  <si>
    <t>4823f90d8984db9537ad7b3ad5cae84151d667e559bc84cba178d3628b088937172054c6225bb8fcc0228e9de36429cd</t>
  </si>
  <si>
    <t>1126</t>
  </si>
  <si>
    <t>7068fcaea3b1b4a1ecbf19542b3925ba68de2f8a44c035b16c1630d51ce4fedb620589de49e2d1d6ce9774a2e5381e97</t>
  </si>
  <si>
    <t>5210</t>
  </si>
  <si>
    <t>11-04-2025 11:29:43</t>
  </si>
  <si>
    <t>1d64a9041351721caa201f0ab8b1c5860be93ebd1e660f3297d69a6f35184b6f7a5ae1a01bccc908efe1c4d709338ab2</t>
  </si>
  <si>
    <t>5209</t>
  </si>
  <si>
    <t>11-04-2025 11:25:16</t>
  </si>
  <si>
    <t>0859f769b4a8480f03811803aae962a4645525d23b1a9de9f0287c57bc5bec3c0009e131731a5650967102c9a5ec8f36</t>
  </si>
  <si>
    <t>832</t>
  </si>
  <si>
    <t>01-04-2025 13:58:18</t>
  </si>
  <si>
    <t>16bce9e6096f5c0ee354a60570a0eedb2d98cef7c4441d827a4dbcb3daa0ee9897a9ac33d774e194771df86c33fb0079</t>
  </si>
  <si>
    <t>840</t>
  </si>
  <si>
    <t>10-04-2025</t>
  </si>
  <si>
    <t>10-04-2025 14:27:53</t>
  </si>
  <si>
    <t>900551721</t>
  </si>
  <si>
    <t>SANTA ROSA DE LIMA MAQUINARIA SAS</t>
  </si>
  <si>
    <t>95e9659f871e33f3e1a5e87f854db2aa206473bd5d2e9d1b9fc8a1eb29bc957644f315a374802e0bca88bf67a4cd16c5</t>
  </si>
  <si>
    <t>839</t>
  </si>
  <si>
    <t>10-04-2025 13:45:39</t>
  </si>
  <si>
    <t>37a96a284184a9b7a61cd4651ee2b8d97346bb6eddfd50a5e42f006a7f30b2d5bd2c12a6533921610acf4265a7d3eba0</t>
  </si>
  <si>
    <t>838</t>
  </si>
  <si>
    <t>09-04-2025 15:46:56</t>
  </si>
  <si>
    <t>5df869691f975eb4b646c5f83e5a7b82d06fdccdf69c98e052c3ac45871259439c38a17002a6fc5fc536943b94086a12</t>
  </si>
  <si>
    <t>5208</t>
  </si>
  <si>
    <t>08-04-2025</t>
  </si>
  <si>
    <t>08-04-2025 20:01:04</t>
  </si>
  <si>
    <t>72288544</t>
  </si>
  <si>
    <t>RAY  CAMPO ANDRADE</t>
  </si>
  <si>
    <t>4003c94bb5af4af465153eebbccbe461d57b75699527da77b610c3c89b478bd56c527b733f49c787681251cfa205a372</t>
  </si>
  <si>
    <t>5207</t>
  </si>
  <si>
    <t>08-04-2025 19:57:19</t>
  </si>
  <si>
    <t>039bea6b393eac35679950fbf4a7a2f07a1f4997b3b9a5ff62a475792341c66e687eb55de530f25b20f8fe36cfbb21d0</t>
  </si>
  <si>
    <t>5206</t>
  </si>
  <si>
    <t>08-04-2025 19:52:30</t>
  </si>
  <si>
    <t>569a6e8eb5f33050cd350c74063090a35950658beaecb0663d4e267290b4e925cdb41c1b108f8ef5b8e75b1d7d39cfcf</t>
  </si>
  <si>
    <t>5205</t>
  </si>
  <si>
    <t>08-04-2025 19:44:59</t>
  </si>
  <si>
    <t>72005492</t>
  </si>
  <si>
    <t xml:space="preserve">EDGARDO  GOMEZ </t>
  </si>
  <si>
    <t>eb0f552a388f0aa1ce4484190ef83e820c6e381f97513e6a6f6f4005e47da9a758183b374c4dc23ec4af116e29e1aea0</t>
  </si>
  <si>
    <t>5204</t>
  </si>
  <si>
    <t>08-04-2025 19:17:10</t>
  </si>
  <si>
    <t>cea9cf8bd48862101e6d802a609d6357923c0d7053cc7590a0448ca884ac1b15e99efa4797c8c3652cf85442d09194f6</t>
  </si>
  <si>
    <t>5203</t>
  </si>
  <si>
    <t>08-04-2025 19:13:45</t>
  </si>
  <si>
    <t>b0306dbfc20077795631e8d792302b976ba4bf6d5591e0eb916ec6f421db81b62930aadfacb2bacd64f2b09c1fbafef5</t>
  </si>
  <si>
    <t>5202</t>
  </si>
  <si>
    <t>08-04-2025 19:10:19</t>
  </si>
  <si>
    <t>2132ec5d830075f4d6e8e4c36287d277dddfdc3a3b71bba39c5332b474eadc4754dbed662239d375b70e1d683871d083</t>
  </si>
  <si>
    <t>5201</t>
  </si>
  <si>
    <t>08-04-2025 19:04:14</t>
  </si>
  <si>
    <t>69c529088dbc7fc489a84f1493756a5040806b0ff560debb0254aaba7ee01173242da5ccd1e64b5bfe1d65b14b1e7d27</t>
  </si>
  <si>
    <t>5200</t>
  </si>
  <si>
    <t>08-04-2025 19:02:26</t>
  </si>
  <si>
    <t>7aabada554dc3ef8f8c464d99ac4be11d8e7bffd8b9f51913f5c633302b613bfb3d5908f5214504791b9a704d98a1d5f</t>
  </si>
  <si>
    <t>5199</t>
  </si>
  <si>
    <t>08-04-2025 19:01:18</t>
  </si>
  <si>
    <t>88619301163d1ea0a3ac32eae6c665fa09ee6b22f4e4792f6f5fd07197acc8efff2a01927231e7546790bdeb466a34de</t>
  </si>
  <si>
    <t>5198</t>
  </si>
  <si>
    <t>08-04-2025 18:59:40</t>
  </si>
  <si>
    <t>36f385e5ff92382913b7665baddb17ee85c20e22c5ccd30d89c3fc2334a19af9c850d68641d605af515dbdc204e4eb42</t>
  </si>
  <si>
    <t>5197</t>
  </si>
  <si>
    <t>08-04-2025 18:51:59</t>
  </si>
  <si>
    <t>ee525f17582158c43fddb55ba1305788a73f9c0caf09a90033d7e6f37aa4733469b66604a0743d4c4c91b05cc02a008d</t>
  </si>
  <si>
    <t>831</t>
  </si>
  <si>
    <t>25-03-2025</t>
  </si>
  <si>
    <t>25-03-2025 20:00:09</t>
  </si>
  <si>
    <t>2de14b90358773b6e39fe3fd8b127a507561ac6ca07e1aee547fe576d5ca629e020072df37d115edfec890b0081c27a6</t>
  </si>
  <si>
    <t>802</t>
  </si>
  <si>
    <t>04-02-2025</t>
  </si>
  <si>
    <t>04-02-2025 14:26:01</t>
  </si>
  <si>
    <t>668b8bfce49a3b95b81060611faf2b11138dcc5d68408616306df1c8aaccc8d9616e3928b69b0f8c8cc714956693b80e</t>
  </si>
  <si>
    <t>778</t>
  </si>
  <si>
    <t>08-01-2025</t>
  </si>
  <si>
    <t>08-01-2025 13:57:09</t>
  </si>
  <si>
    <t>c2d13b945bad7a194e25baae06bc9059710b9c0c8eb678468aedd28803ae226003be8207c62c54c725e3783ba5721669</t>
  </si>
  <si>
    <t>811</t>
  </si>
  <si>
    <t>12-02-2025</t>
  </si>
  <si>
    <t>12-02-2025 17:20:45</t>
  </si>
  <si>
    <t>73aca96f375797306f724dedb6a8fc131047a20ff6ce50162fa203252e54ffd73da9ff755c35b04ff45bb82a35218578</t>
  </si>
  <si>
    <t>810</t>
  </si>
  <si>
    <t>12-02-2025 17:18:21</t>
  </si>
  <si>
    <t>bf7cd37f8084a93eac45b70b993c89ca7702f3e940ead4477719310c7205a57852d05a4d4689e291506086d8e0ba630c</t>
  </si>
  <si>
    <t>809</t>
  </si>
  <si>
    <t>12-02-2025 17:08:54</t>
  </si>
  <si>
    <t>e8a42de8be604e731332d5362d71e345da23b966f4e3aafd89281b36f507ef10f281bd8ef28ca03a82069c67113ba365</t>
  </si>
  <si>
    <t>808</t>
  </si>
  <si>
    <t>12-02-2025 17:06:14</t>
  </si>
  <si>
    <t>d3c65a731a7c485f4e53bc4fc3b256e36deff01d0e16ced83d6f07c03e2ccc3ae436a34ddffe193c6d37ec3094ca97ea</t>
  </si>
  <si>
    <t>807</t>
  </si>
  <si>
    <t>12-02-2025 16:58:45</t>
  </si>
  <si>
    <t>1b03b5ecc7bd3a215da2366695c08f6cd7e92f020259dd39c0c1eaab8c1669eb45f0b19da37b61bbea9ca188a35bda78</t>
  </si>
  <si>
    <t>791</t>
  </si>
  <si>
    <t>20-01-2025</t>
  </si>
  <si>
    <t>20-01-2025 15:08:20</t>
  </si>
  <si>
    <t>ee2d986c1c4b77d3b720a27c2eca336a0c25308744a1033e3328863b75e8fbe04248a26047655cc509ea37f018d53ed0</t>
  </si>
  <si>
    <t>790</t>
  </si>
  <si>
    <t>20-01-2025 15:05:15</t>
  </si>
  <si>
    <t>77a6c17b78011e4666b2ecb864ce0dac5093e53d01f65ab0db4bb529b645b18c3aa0a7806a7b1beabadeefc3a366480e</t>
  </si>
  <si>
    <t>789</t>
  </si>
  <si>
    <t>20-01-2025 15:03:05</t>
  </si>
  <si>
    <t>6cc2104332278be6f536e7ffe782f213222e2d10b95d47c289392dfd06bbb241eb66fb065fb933d9174d3a32d72bf3e0</t>
  </si>
  <si>
    <t>788</t>
  </si>
  <si>
    <t>20-01-2025 14:56:14</t>
  </si>
  <si>
    <t>f03b931a2d59f34b0902dac2361b21aac31a646eef88360744ae9c52378d860c332373eaaa8ed9a732332c35d28bc28a</t>
  </si>
  <si>
    <t>787</t>
  </si>
  <si>
    <t>20-01-2025 14:49:36</t>
  </si>
  <si>
    <t>cd9690957b53467f16a880b66c7de8162162c7d10fde4b45495461a591a45c52213231c8c266e5747015fea6d7d05b72</t>
  </si>
  <si>
    <t>785</t>
  </si>
  <si>
    <t>17-01-2025</t>
  </si>
  <si>
    <t>17-01-2025 15:43:14</t>
  </si>
  <si>
    <t>c09b86ecaaf2a57242accfc3587ce39d057c229b9aa5ea0d21ca585c020157376ef49596f3b2b0d4fda16e7b41930122</t>
  </si>
  <si>
    <t>784</t>
  </si>
  <si>
    <t>17-01-2025 15:40:00</t>
  </si>
  <si>
    <t>1714da33a61fccb084b25f89bb42ab52e5d96908687919e942ce6e67c63621d2331088b1767839921630f6eb351060c3</t>
  </si>
  <si>
    <t>786</t>
  </si>
  <si>
    <t>17-01-2025 15:46:10</t>
  </si>
  <si>
    <t>78ca8035583f2c705095b56a99db2e572c257085af26f9df4e295d4ee6e8b6ca0d48b68f3aa1073501a4e3e6fb9bdf63</t>
  </si>
  <si>
    <t>783</t>
  </si>
  <si>
    <t>17-01-2025 15:35:02</t>
  </si>
  <si>
    <t>71ab4d4186bc9e140f33f0ddbc657c9721ec04d159ddfc7fc12801d4e502ad6719a66f5e44a02734ea21026860e26876</t>
  </si>
  <si>
    <t>828</t>
  </si>
  <si>
    <t>20-03-2025 18:13:58</t>
  </si>
  <si>
    <t>2e3b2b4f95a1d1f6de433c757bb3f08d7d65fccccceeb5c35716393dbe0013702869fe3e15a5a4bd0a56f1a25ed6260a</t>
  </si>
  <si>
    <t>819</t>
  </si>
  <si>
    <t>14-03-2025 16:50:24</t>
  </si>
  <si>
    <t>2a156577dc3551d9dfb0f09efd587131f7a21a1efefb9e2973e87fe377ae032495d26b2461ecc51977774d71b23af8bd</t>
  </si>
  <si>
    <t>820</t>
  </si>
  <si>
    <t>14-03-2025 17:09:32</t>
  </si>
  <si>
    <t>9c03101a9f15ec904962c956e278025f1d9bfc2dad46e4c458b903e1092ed3612c46b9bc120d3771c4a25894a0033ea6</t>
  </si>
  <si>
    <t>1113</t>
  </si>
  <si>
    <t>14-03-2025 15:13:01</t>
  </si>
  <si>
    <t>62a1e171c5ee97c651dcc6688076e317a84dd2c472305b71aa0a68333c802cdfd86f75c60056a6df613065215981701d</t>
  </si>
  <si>
    <t>1124</t>
  </si>
  <si>
    <t>b48f625acec134532529458d21cafbe55237d7b0d7073c12f431b4194a663f4ce4dd5b7eb73bf637c46faf06cb9252c1</t>
  </si>
  <si>
    <t>1121</t>
  </si>
  <si>
    <t>6bf22afacb09e52dc54f472bf61b3798e4eaa967fd82da3d74aaae512e53e7c38c63621507c1eb8198e9241c47c0424a</t>
  </si>
  <si>
    <t>1123</t>
  </si>
  <si>
    <t>a03b81da4ffd4c7b480cffeb1d52c7a451ea0281f7ac1c11c12547c0651303597aae26994161ca5f337385b96f51eacd</t>
  </si>
  <si>
    <t>1122</t>
  </si>
  <si>
    <t>57f1b0d2baac17ac71a74143b0dfebfb08bffae503dd25e70a04ed3f20d0aeec3f5b6e20833149f36e7e7a80e52b5a5b</t>
  </si>
  <si>
    <t>1118</t>
  </si>
  <si>
    <t>495df01c38d061ef0731aebdb7dae6f0fdc1869c222d7259ede3601d7cc01e9dcb9c81a59963759d23f23cfd8d00afda</t>
  </si>
  <si>
    <t>1120</t>
  </si>
  <si>
    <t>605ee837ca1bf828e80b7ab86d781f57e0a4d0f92901076744129ee6986c64176baaa82619ef3475a7f2176157da5cff</t>
  </si>
  <si>
    <t>1117</t>
  </si>
  <si>
    <t>14-03-2025 15:13:00</t>
  </si>
  <si>
    <t>48b1cb6496bcd8ddd085b60a5ab9bcb2963847a3e4f033ed052d9d1c1f983456fd94e1876529bf731acc10e66eff916f</t>
  </si>
  <si>
    <t>1119</t>
  </si>
  <si>
    <t>1ca6a7a9864643ece2089f258d29b50855e134a9a02e9898901183186bf667d2fece08510a18e384e12fa202d8fd1870</t>
  </si>
  <si>
    <t>1116</t>
  </si>
  <si>
    <t>9d990734d320ffd96080b3f118dac169c21cbb73ad8f1b38dc11cfb829d80766e026abace7a5b1cfe36185db92c27257</t>
  </si>
  <si>
    <t>1115</t>
  </si>
  <si>
    <t>03e9f71e0a22b4ab7399e38afc700bc14b31f92e13748a6488c21e3de16fd66a27f4dfce2b73684ff0e66cd76a12cfea</t>
  </si>
  <si>
    <t>1114</t>
  </si>
  <si>
    <t>aedbe926ae58e06fc4e8891db33ed6a806e49dcffab101b1718fde3d457ab69649ddd4ef4221bd1822a71d6a9085ca7d</t>
  </si>
  <si>
    <t>1109</t>
  </si>
  <si>
    <t>e06bb02b1b02467200c4a3fd14884a9e8b21f14da916b3e13adcfb6eb375b6a50118768475596752561faaa7b689d87d</t>
  </si>
  <si>
    <t>1111</t>
  </si>
  <si>
    <t>32b7b369fe479eb62afb1bed0ad69fbfec02cfe34ad6e82c1ba52745140c9f38ccfab69c035a690cf838bf7d5ddaca6e</t>
  </si>
  <si>
    <t>1112</t>
  </si>
  <si>
    <t>d862010b5e4983c4cb945985ceeb3c12770b229db8e9d20bf5adc52b1dd8bc09fd28048cc2bf5d9268ee91c34f75ce08</t>
  </si>
  <si>
    <t>1110</t>
  </si>
  <si>
    <t>878e363c09de778c4d8f667d0c3f8772fa85002e4062cbe9575199ea2c95f2ff5c82baae35e7132863d2466ee6120132</t>
  </si>
  <si>
    <t>1108</t>
  </si>
  <si>
    <t>cf5b733dea88014d2a87749cd3a2700f09789d07833683dcc6d23336d67b151f95932ee60bcebc23a32f0664e7d5861b</t>
  </si>
  <si>
    <t>1107</t>
  </si>
  <si>
    <t>14-03-2025 15:12:59</t>
  </si>
  <si>
    <t>9110f2e0274264616cb471b6e54f20ab6ad2237793ea8f2ee007d20c95c18a944118511dc2b591c06a820423b034708c</t>
  </si>
  <si>
    <t>1105</t>
  </si>
  <si>
    <t>714924b60609ef7fa28b0b469e4ec93fbd9074b1c3e9365c97a8955e8c1b89812e73991a7bea2103a5cbfc28070573fb</t>
  </si>
  <si>
    <t>1104</t>
  </si>
  <si>
    <t>a7df9e543a19c0247595149c6817c444f89d7de6a462d31cd62015cad6c7b7dde2281066c411e5d4f5b7315821dcd155</t>
  </si>
  <si>
    <t>1106</t>
  </si>
  <si>
    <t>c5bbf040d7ea8ffc485081adecfaf8ee1b5f1143d009b03873f60196492d3a6da183f4f56b9b15d7a30f31b54d4c73cd</t>
  </si>
  <si>
    <t>814</t>
  </si>
  <si>
    <t>20-02-2025</t>
  </si>
  <si>
    <t>20-02-2025 18:19:38</t>
  </si>
  <si>
    <t>685e515ad6a0756f44bec2e9a05a63e86de53a590844192783bb0920dc88c5c739bdf000a2726d80a151b87a4580ae10</t>
  </si>
  <si>
    <t>813</t>
  </si>
  <si>
    <t>14-02-2025</t>
  </si>
  <si>
    <t>14-02-2025 18:23:20</t>
  </si>
  <si>
    <t>abefa6fac8eb502a14cd6a8fd4e263dc0a2af6ddc45ae8c96c69a4530fd1b956e0a5122a8801c0df844f5ddf4cc75c30</t>
  </si>
  <si>
    <t>806</t>
  </si>
  <si>
    <t>11-02-2025</t>
  </si>
  <si>
    <t>11-02-2025 16:34:30</t>
  </si>
  <si>
    <t>33ea7a254e5ce58d300c5a71cf466223ef7a310ccdf89e3ab698833d84ee0334090dea3b781b20e33e6443d2891f92f9</t>
  </si>
  <si>
    <t>803</t>
  </si>
  <si>
    <t>07-02-2025</t>
  </si>
  <si>
    <t>07-02-2025 13:59:55</t>
  </si>
  <si>
    <t>aea43ebd31664b393e6b1c6aa9a61ae81e250d5fc849c5ac50afc04e3b3dab9279fe3c92d42d6954a3156208bb5cdbc8</t>
  </si>
  <si>
    <t>800</t>
  </si>
  <si>
    <t>24-01-2025</t>
  </si>
  <si>
    <t>24-01-2025 19:34:29</t>
  </si>
  <si>
    <t>bebd1e8a5f9f27be28ff34c31924891e42dbed1cd7f6ebd03a98101ccc70ead74d4838cf35af8eb4b634589cc37bc32a</t>
  </si>
  <si>
    <t>812</t>
  </si>
  <si>
    <t>13-02-2025</t>
  </si>
  <si>
    <t>13-02-2025 14:38:10</t>
  </si>
  <si>
    <t>9578958a00cfc973a396fb31b688f5a543ef2e0947a10e8d262b908a42618c6b627542073477782b175468520f41458e</t>
  </si>
  <si>
    <t>798</t>
  </si>
  <si>
    <t>21-01-2025</t>
  </si>
  <si>
    <t>21-01-2025 20:28:08</t>
  </si>
  <si>
    <t>82aea28c99c8f9af6fb52477f54677c2c3593947fbc47012b0e3a4b81afa4831a210878a2ea904d11641cdf1515712d9</t>
  </si>
  <si>
    <t>797</t>
  </si>
  <si>
    <t>21-01-2025 20:25:42</t>
  </si>
  <si>
    <t>fce5d347717db843af88d4aa411061c7cb9f16bfd0961bfcaa899ec1cd1f1ec79cb1e5deb68049beaa5b402ad0d0d5e2</t>
  </si>
  <si>
    <t>796</t>
  </si>
  <si>
    <t>20-01-2025 20:53:06</t>
  </si>
  <si>
    <t>0b88a04c0058aa13fe781e5a64570f3a0a55289a7fde3140921603043bf3023841caca400c03b24c8a4ba4e3ac8fdff2</t>
  </si>
  <si>
    <t>795</t>
  </si>
  <si>
    <t>20-01-2025 20:51:09</t>
  </si>
  <si>
    <t>4bfa59bedd06c42be3f8ab84c08e80ed509b4336052797b0a3459bd2e5428919fce597e510abae9a91c91870551750d7</t>
  </si>
  <si>
    <t>794</t>
  </si>
  <si>
    <t>20-01-2025 20:49:20</t>
  </si>
  <si>
    <t>9d80557dcd4e74a2e044e6c5cc38ac332ade39b5f7a1dd5ec26e9104de7c0a71043e14406f7303d96b747dc0d880cd8b</t>
  </si>
  <si>
    <t>793</t>
  </si>
  <si>
    <t>20-01-2025 20:46:49</t>
  </si>
  <si>
    <t>4b1cb7d3cf9f7fac7e08d38337f68cc14ea49b00bd889148ab601cf56a5b80c9a64a44f61a1cd085c924a507819138cc</t>
  </si>
  <si>
    <t>792</t>
  </si>
  <si>
    <t>20-01-2025 15:29:25</t>
  </si>
  <si>
    <t>0231ac98f4b8b949d823ceb7f70c86e3dc2b993addea5f586b5430698e682f8632bb9e42cc3e181dbd5d4a8892992cb7</t>
  </si>
  <si>
    <t>781</t>
  </si>
  <si>
    <t>13-01-2025</t>
  </si>
  <si>
    <t>13-01-2025 20:01:48</t>
  </si>
  <si>
    <t>817151d445659ac8cadb6339faf1126b989839206e7620b50353743c942bfb946678316d294a73d49371d7d18fd52e08</t>
  </si>
  <si>
    <t>780</t>
  </si>
  <si>
    <t>13-01-2025 19:57:12</t>
  </si>
  <si>
    <t>69f6cd6bd9a0dd1ad4c80c89e4e4b7727b4e0eb821a4a1b467e66be231bebf915940dca29f596336b86676c56d4269b5</t>
  </si>
  <si>
    <t>779</t>
  </si>
  <si>
    <t>10-01-2025</t>
  </si>
  <si>
    <t>10-01-2025 16:58:42</t>
  </si>
  <si>
    <t>abcbb1bce7fe4a91af7a20bf47a6f7528c1bac62250cff40cfa009154ae84bef810e58a4227536aa50be40318f115c14</t>
  </si>
  <si>
    <t>804</t>
  </si>
  <si>
    <t>11-02-2025 13:53:28</t>
  </si>
  <si>
    <t>42ad59413d2d3d6bdb3b98b9a979e5b40e340c6a37028f501cbc641bc1f3a14b0ef66735ab82f5cd1083ef37c5c38f2c</t>
  </si>
  <si>
    <t>801</t>
  </si>
  <si>
    <t>03-02-2025</t>
  </si>
  <si>
    <t>03-02-2025 15:17:04</t>
  </si>
  <si>
    <t>1ec9920b21a26d3a3bc1c60ac1da8597e2e48742c5ad276af59f091a889781b6acbdb1aa937898c55baaba73882300c1</t>
  </si>
  <si>
    <t>799</t>
  </si>
  <si>
    <t>24-01-2025 19:21:28</t>
  </si>
  <si>
    <t>8b509bbb46db955488c250532970a9a4494b53e7e2a148aff18c07971684915bc6d04eb40c2378fc2d97238f37bfaded</t>
  </si>
  <si>
    <t>777</t>
  </si>
  <si>
    <t>07-01-2025</t>
  </si>
  <si>
    <t>07-01-2025 14:26:42</t>
  </si>
  <si>
    <t>e52bb7c0af387cc0f6ac5f8d242e646a4fc8e4fc9006d70df531b338b0b7bc73ae031f3c5186985186dd5f164d388c64</t>
  </si>
  <si>
    <t>782</t>
  </si>
  <si>
    <t>16-01-2025</t>
  </si>
  <si>
    <t>16-01-2025 19:56:05</t>
  </si>
  <si>
    <t>b1bd78a118c083d73b1b8ae56d4440611eb776bc2b4e73f86735fd9495081a37d5fef58a5d3695af006f33a8c1e550b4</t>
  </si>
  <si>
    <t>1100</t>
  </si>
  <si>
    <t>14-01-2025</t>
  </si>
  <si>
    <t>14-01-2025 14:04:09</t>
  </si>
  <si>
    <t>5216ec9b58101c4219d5ba0859739449c89a92b596810a68cbd23b02a5d05fbc2e05ebf7b77cd71267f259d87c266fdf</t>
  </si>
  <si>
    <t>1103</t>
  </si>
  <si>
    <t>58b01d534048bb3db1fd815f4d013a55a0a793a244e475d2d8233e85769d2f1f4ba28af0a31c33daf2d95ce086e065c4</t>
  </si>
  <si>
    <t>1102</t>
  </si>
  <si>
    <t>0a591d31a8b01232a75bcf23eaf930aed9085acca2de5e32cc85d027549df1353341c4b72a095f8a971712a3ca80cd9f</t>
  </si>
  <si>
    <t>1101</t>
  </si>
  <si>
    <t>86e50f1fb2259e950f9333d0323af8800d56d1c9ca026bd9329a4bf757321391f565b22b343334721379cb622705bebb</t>
  </si>
  <si>
    <t>1099</t>
  </si>
  <si>
    <t>227994dfb621d73877ad4b7688af6d3174c67e39ca1883628ee52de746a3b2ad9725aca46672fe2ced6081abbd19c029</t>
  </si>
  <si>
    <t>1098</t>
  </si>
  <si>
    <t>14-01-2025 14:04:08</t>
  </si>
  <si>
    <t>d485f076edabf420dbd146da0d19b0873344be627c4e0c9be16b78b6bc354ebd98d775b04d19243d08ae8ed2d5ccadd6</t>
  </si>
  <si>
    <t>1097</t>
  </si>
  <si>
    <t>1048265355</t>
  </si>
  <si>
    <t xml:space="preserve">DIEGO  RUDAS </t>
  </si>
  <si>
    <t>211f5a149cea7b67be7c2200b9656de86e782473b44633a59db57e28cb5a82e13fd47e2bde7225386fd88c5e6395a24d</t>
  </si>
  <si>
    <t>1096</t>
  </si>
  <si>
    <t>58df37197967d5fd855d84ed4b29f75030792a2e0640c7a17a89294a21271ee861be0337959c341b00511b31067cb4f9</t>
  </si>
  <si>
    <t>1095</t>
  </si>
  <si>
    <t>b26799dd7e695997673b0aa08b6988e29aa7ce1be32eb4024a7cc4adc672ad058942ea20dc3f3a576cf0a393f965bde3</t>
  </si>
  <si>
    <t>1094</t>
  </si>
  <si>
    <t>0c29794a342af8b1831a71ba92475ffa72af491317df517350a8d3e31f8f1a3273f6b7e9ce21dcbaecc6f37e8694b1ef</t>
  </si>
  <si>
    <t>1093</t>
  </si>
  <si>
    <t>14-01-2025 14:04:07</t>
  </si>
  <si>
    <t>32172d359ffc07274102d25a7bc6f10c70495af15fd69065315959b713277df89d84b9692c996c060108d702f44597a1</t>
  </si>
  <si>
    <t>1092</t>
  </si>
  <si>
    <t>8b9e9e993e40cd5ce8beb92705e7e83eeec2745370932b8e199de658de66d368c05b9d582691449d3ba6fdcb3fb5ec8e</t>
  </si>
  <si>
    <t>1088</t>
  </si>
  <si>
    <t>f2f7487b79fbfcea6e6d380e1441cfe2b970f67f52b183573f659b76deac3104f9bcf1b716a7621248822b27c6c43d35</t>
  </si>
  <si>
    <t>1091</t>
  </si>
  <si>
    <t>43237c3cdae7210406fe4e3ce8349b37a34599c262e1b73f200922c7c2c4d0afac85e4bc00b34efeb17f0f4a334f6f7b</t>
  </si>
  <si>
    <t>1090</t>
  </si>
  <si>
    <t>7492b3f59efda1ab2fe9f2c45705825e343c94636349aaa2762eecc80383383960691825ae87ef1e7421f67742617e06</t>
  </si>
  <si>
    <t>1089</t>
  </si>
  <si>
    <t>f43dd54b5b8ba51c87ff036d444b6add5bf7c9090038fafd43cf4f14ef47e0919afc024cc66c3bbdeb4627715242361d</t>
  </si>
  <si>
    <t>1087</t>
  </si>
  <si>
    <t>14-01-2025 14:04:06</t>
  </si>
  <si>
    <t>8e5d7e941e691618580d10a70eb2e909be3b6319d99cd2beb83cb5de0b7763f40b393d30ce1301963f6d622deaea5a12</t>
  </si>
  <si>
    <t>1086</t>
  </si>
  <si>
    <t>a00bfc7b48c7e34df301a07c7b123261000d767440500f6d20bfe87d1d99a99b6e119317a53fe2a6b5ba22a8725219c0</t>
  </si>
  <si>
    <t>1084</t>
  </si>
  <si>
    <t>2d138936d132a07c7651d03ab821fc1ccbb8df80dc9d0d836ea041254d370e7c3c9a5b7e12825b8d0c6ca6a507a9b52d</t>
  </si>
  <si>
    <t>1083</t>
  </si>
  <si>
    <t>966b2827dcd80c06fb21e93e293ec2c1aae386c5dc79d406c82f00e3a155089c92e9ecf257439f1b1e52845bfd7dcfcb</t>
  </si>
  <si>
    <t>1085</t>
  </si>
  <si>
    <t>694f132ff8e367ebafe0180e2644b21d187141b598282d5d4e01e80899b4b3e26e135d881271172290dc38ac16395764</t>
  </si>
  <si>
    <t>82</t>
  </si>
  <si>
    <t>VMFE</t>
  </si>
  <si>
    <t>31-12-2025</t>
  </si>
  <si>
    <t>31-12-2025 11:24:51</t>
  </si>
  <si>
    <t>900726631</t>
  </si>
  <si>
    <t>V.M. CERVANTES S.A.S. 01 00</t>
  </si>
  <si>
    <t>DIESEL CAT LIMITADA</t>
  </si>
  <si>
    <t>Recibido</t>
  </si>
  <si>
    <t>15c612eb01c49f469293b2f612ce2238b1459082a625a42ebe012260c6a5b3b84581200c0ed5336d2fbafa268e0ed32a</t>
  </si>
  <si>
    <t>80</t>
  </si>
  <si>
    <t>31-12-2025 11:16:11</t>
  </si>
  <si>
    <t>b9772dce9fbd120b0d2db791acf6c26e7481e330f37c25d5149117ad6653e689ef4ef0ba04ca4863a1184927ebec9a96</t>
  </si>
  <si>
    <t>78</t>
  </si>
  <si>
    <t>31-12-2025 10:52:18</t>
  </si>
  <si>
    <t>13c7ed6c405f9fd4d978ed89c02674e38e1fc34b060c67517c0331ff8f1c0f5c95b988b98cb1dbf98b19ab67f52029b0</t>
  </si>
  <si>
    <t>74</t>
  </si>
  <si>
    <t>30-12-2025</t>
  </si>
  <si>
    <t>30-12-2025 22:36:00</t>
  </si>
  <si>
    <t>b784d51fa810eae935fe0e7557dc521b5ddb10c18084477f4b1b1b7bb6cd13b423536ff95f3bcc3aff3a056a650fa4c6</t>
  </si>
  <si>
    <t>71</t>
  </si>
  <si>
    <t>30-12-2025 22:24:06</t>
  </si>
  <si>
    <t>2094867e7db5e322ad0587d71f4e0b81b993f597ac3467b29610be7b6d916e78975ba92add895b5e147f81e3328f79f2</t>
  </si>
  <si>
    <t>70</t>
  </si>
  <si>
    <t>30-12-2025 22:15:14</t>
  </si>
  <si>
    <t>9a697aedb5ee26c38e3e0c977f37542304c2dc6c86327e97cc7c2e1d62f56e59e03e756cc3eb1195b114637ddd8fefe9</t>
  </si>
  <si>
    <t>6011893262</t>
  </si>
  <si>
    <t>E</t>
  </si>
  <si>
    <t>30-12-2025 13:47:31</t>
  </si>
  <si>
    <t>800153993</t>
  </si>
  <si>
    <t>COMUNICACION CELULAR S A  COMCEL S A</t>
  </si>
  <si>
    <t>DIESEL CAT LIMITADA -</t>
  </si>
  <si>
    <t>4b61987cd91ef862e56856a6a177dcf12c2185104380a1f1dfe4e3c99a5bd37769963c5de49eb842ee5d2e0ac5704b8a</t>
  </si>
  <si>
    <t>22724</t>
  </si>
  <si>
    <t>8E</t>
  </si>
  <si>
    <t>23-12-2025</t>
  </si>
  <si>
    <t>23-12-2025 17:09:29</t>
  </si>
  <si>
    <t>901038197</t>
  </si>
  <si>
    <t>GASCAL UNIFORMES Y DOTACIONES S.A.S</t>
  </si>
  <si>
    <t>c52660173d54db1617500716201dd30a2ae0973a4c6939fa615481d551c01eac487fd746f8c994623a4529292ec23240</t>
  </si>
  <si>
    <t>18905</t>
  </si>
  <si>
    <t>FE</t>
  </si>
  <si>
    <t>23-12-2025 10:05:35</t>
  </si>
  <si>
    <t>901944083</t>
  </si>
  <si>
    <t>INVERSIONES CASTRO SANTANA SAS</t>
  </si>
  <si>
    <t>f943b15e811dcf0b95918bb692b2dc7f03934b98188a4bf9cbab8742cc8dafa1bfb11c178b105a79fec4b555ae00f15e</t>
  </si>
  <si>
    <t>6462</t>
  </si>
  <si>
    <t>FEI</t>
  </si>
  <si>
    <t>23-12-2025 09:39:02</t>
  </si>
  <si>
    <t>f1a41cf659878afd8628a723b845f07a7584a923a938858e159e333446c0e15bac4bd5724f73e99a50bdef3226214137</t>
  </si>
  <si>
    <t>6032</t>
  </si>
  <si>
    <t>FEL</t>
  </si>
  <si>
    <t>ZZZ</t>
  </si>
  <si>
    <t>16-12-2025</t>
  </si>
  <si>
    <t>16-12-2025 10:21:16</t>
  </si>
  <si>
    <t>e1b864d43d0ce88822816ed402842552995634175bfae2fc59d7abefa6e132f6fbfeb78a498ddc036995dc37ea4316ed</t>
  </si>
  <si>
    <t>241997</t>
  </si>
  <si>
    <t>93</t>
  </si>
  <si>
    <t>12-12-2025 11:21:34</t>
  </si>
  <si>
    <t>830048145</t>
  </si>
  <si>
    <t>SIIGO S.A. S</t>
  </si>
  <si>
    <t>379930963720477403cad637409d4347106355afe00520f12990d32389b22040e6914567f245a95f411cd054bd1ca06f</t>
  </si>
  <si>
    <t>030DA967802020606</t>
  </si>
  <si>
    <t>12-12-2025 11:09:29</t>
  </si>
  <si>
    <t>GENERAL DE EQUIPOS DE COLOMBIA S.A. GECOLSA</t>
  </si>
  <si>
    <t>bac1029cbd8173b140741138fe4aadbd325ab761c47d28057ab2da5dd2aaec45682642140a2c0644cf1d254e56f8166a</t>
  </si>
  <si>
    <t>12192</t>
  </si>
  <si>
    <t>12-12-2025 08:21:15</t>
  </si>
  <si>
    <t>901126387</t>
  </si>
  <si>
    <t>TU CASA FERRETERA SAS</t>
  </si>
  <si>
    <t>21ec6bc9ba66c269af6ab4ea44a053c50f7194c940403e5753ca0048e96a9051eb546eb6f2abc3b22c4a8ce3332633a2</t>
  </si>
  <si>
    <t>1629186</t>
  </si>
  <si>
    <t>1013</t>
  </si>
  <si>
    <t>11-12-2025 13:47:41</t>
  </si>
  <si>
    <t>890903407</t>
  </si>
  <si>
    <t>SEGUROS GENERALES SURAMERICANA S.A</t>
  </si>
  <si>
    <t>1a44b5be4b65029577c41bd98beb148ab1e5a1c429c098aac18597fbd66e7a54d61ab5055b8d0fafecde2637cc456bfd</t>
  </si>
  <si>
    <t>6419</t>
  </si>
  <si>
    <t>11-12-2025 12:19:36</t>
  </si>
  <si>
    <t>3b26efa350df8de0e238c979efcfe7fb5336d0c51437f35567a3ad57251a29a156d678bbe6de098372867e628b1f4b57</t>
  </si>
  <si>
    <t>1947827</t>
  </si>
  <si>
    <t>1012</t>
  </si>
  <si>
    <t>11-12-2025 11:16:52</t>
  </si>
  <si>
    <t>4a337f5f63484ab81efc5e07e20854d2758c5227e821369995b088a105fcce729d3c71299b9532cc6c7fbfb931233917</t>
  </si>
  <si>
    <t>105186914</t>
  </si>
  <si>
    <t>10-12-2025 17:51:34</t>
  </si>
  <si>
    <t>8e4c0133dff6fea41ffc09878f016f82d54ed511884d333bf5781cf1618a821bc9b5d9d9125241259d1bae0b862f81a6</t>
  </si>
  <si>
    <t>1711740</t>
  </si>
  <si>
    <t>95</t>
  </si>
  <si>
    <t>01-12-2025 07:00:07</t>
  </si>
  <si>
    <t>108778eff4b8cc9a840f9bbe9efb33dfef72db0ad9c4a562c57e4acd43a62102d3900f611a0e0cdbe58bbf2b932ca4ea</t>
  </si>
  <si>
    <t>030DA966802020606</t>
  </si>
  <si>
    <t>10-12-2025 12:54:02</t>
  </si>
  <si>
    <t>92d2d28f0f995e010c5b01a9c56c89f436fab521c0dd3b82d8f031b5a31aa22d5e7692d1453aaadeb929a20478a4ff82</t>
  </si>
  <si>
    <t>030DA965802020606</t>
  </si>
  <si>
    <t>10-12-2025 12:50:29</t>
  </si>
  <si>
    <t>1c3964fefdcabc57933660236933fd1aceedb89f8e1aac7d4f999b6c9c75e9c49a70dc84b478a0aba3fe969b7e58b056</t>
  </si>
  <si>
    <t>030DA960802020606</t>
  </si>
  <si>
    <t>10-12-2025 12:03:18</t>
  </si>
  <si>
    <t>c65097371b628ec0fe34aba54619722d277fed1f854a85edba03789b49608543ab4662b48f95b873aa071ee3e12f6554</t>
  </si>
  <si>
    <t>NC34062</t>
  </si>
  <si>
    <t>04-12-2025</t>
  </si>
  <si>
    <t>04-12-2025 18:44:16</t>
  </si>
  <si>
    <t>51106beb25c1aaaf4870b50bf42041adff5a7a665e72718aa6668932424f232136ce69cf46f3ac8d96ae78256eb6e2d4</t>
  </si>
  <si>
    <t>151200</t>
  </si>
  <si>
    <t>02-12-2025 15:08:09</t>
  </si>
  <si>
    <t>07ec2da671460cf0fb2786738801f486f5fa2f50f3e32f80909c643d2fac139f53d9c2138f1084cb850bd541be4fccbf</t>
  </si>
  <si>
    <t>168</t>
  </si>
  <si>
    <t>FA</t>
  </si>
  <si>
    <t>42</t>
  </si>
  <si>
    <t>03-12-2025 20:39:11</t>
  </si>
  <si>
    <t>1129526204</t>
  </si>
  <si>
    <t>RENZO DE JESUS SANTIAGO LARA</t>
  </si>
  <si>
    <t>f0b22bd2cf271714eccc05fe46a91504516464d18064ba7791b8c13d57905b9e701530a0fb8fdc4975d8ed02bb890e15</t>
  </si>
  <si>
    <t>030DA964802020606</t>
  </si>
  <si>
    <t>03-12-2025 13:19:21</t>
  </si>
  <si>
    <t>3bb579b06f5568ce12ea01c9b5c8bd52b2a753f56f502afbc6ba6028fae44762928cb6d8fe305567e2999ca132198d6e</t>
  </si>
  <si>
    <t>430944</t>
  </si>
  <si>
    <t>BS</t>
  </si>
  <si>
    <t>03-12-2025 08:13:14</t>
  </si>
  <si>
    <t>800192105</t>
  </si>
  <si>
    <t>RECORDAR PREVISION EXEQUIAL TOTAL S. A.S</t>
  </si>
  <si>
    <t>6bd75d967c50f6518f3bd26f04a74c715971572d6f2c918458a378a57ca7d2641958265ae1323a1c671c51dd395d250d</t>
  </si>
  <si>
    <t>030DA963802020606</t>
  </si>
  <si>
    <t>02-12-2025 15:26:34</t>
  </si>
  <si>
    <t>f21c990b5ac72cc180df9f1c9018f37083f5b7b89ae7eb0a3841e6e82c3424f0e48b74130cc47883c74dbe222d3ba6b1</t>
  </si>
  <si>
    <t>030DA962802020606</t>
  </si>
  <si>
    <t>02-12-2025 15:23:43</t>
  </si>
  <si>
    <t>7dee5f779a1a9a6ed451904e6b89d9f833aef07373e344dab3c2621172c60355c1ef6c02389aa5dc55f89e34bd52ec46</t>
  </si>
  <si>
    <t>244</t>
  </si>
  <si>
    <t>FEV</t>
  </si>
  <si>
    <t>02-12-2025 13:55:27</t>
  </si>
  <si>
    <t>1129569172</t>
  </si>
  <si>
    <t>LUIS ALBERTO CARPINTERO LARA</t>
  </si>
  <si>
    <t>3fb4c055ccd689abba6ca2cd5c466003e2e0748643fcff7d41a1e1c90bba63b71b4b602963dcbea565bac20a40a486c9</t>
  </si>
  <si>
    <t>171466</t>
  </si>
  <si>
    <t>BAQ3</t>
  </si>
  <si>
    <t>01-12-2025 16:55:10</t>
  </si>
  <si>
    <t>890110294</t>
  </si>
  <si>
    <t>CENTRAL DE SOLDADURAS Y PROTECCION INDUSTRIAL S.A.</t>
  </si>
  <si>
    <t>d0a2fc5fc28d32c8194833efb43e6b95f33f639fdce50365b1c63cbbdceb93bf68fba9c2fa196359541f9b9f4a4db9c3</t>
  </si>
  <si>
    <t>6001259651</t>
  </si>
  <si>
    <t>30-11-2025</t>
  </si>
  <si>
    <t>30-11-2025 03:45:47</t>
  </si>
  <si>
    <t>f77e0a9a61c1247d8684f14e2411e5bdae27e8d66b986604bc2e693bcc1b9818ac11997a2f41ad0033f0b3065ad5441f</t>
  </si>
  <si>
    <t>376</t>
  </si>
  <si>
    <t>FEIS</t>
  </si>
  <si>
    <t>28-11-2025</t>
  </si>
  <si>
    <t>28-11-2025 21:49:36</t>
  </si>
  <si>
    <t>901362954</t>
  </si>
  <si>
    <t>INGEDU S.A.S. 01 00</t>
  </si>
  <si>
    <t>f39fee643d6d697435326ea1b10450df21d33547de5a5d30ae97478f6d1b49ea0fc63757e895bf382167a5cc45beb9ee</t>
  </si>
  <si>
    <t>326</t>
  </si>
  <si>
    <t>GR</t>
  </si>
  <si>
    <t>28-11-2025 21:40:23</t>
  </si>
  <si>
    <t>901539537</t>
  </si>
  <si>
    <t>EXPOTRANS DEL CARIBE S.A.S. 01 00</t>
  </si>
  <si>
    <t>caec2571edbf1444ddfc02590932efbb1b70b863d6db3dcfb43735f862e10fb2dce9ba8729e0932a98ca07ef078b0e2f</t>
  </si>
  <si>
    <t>44</t>
  </si>
  <si>
    <t>28-11-2025 20:44:01</t>
  </si>
  <si>
    <t>2dd2b0e3ce2bb6bb38bf8cf01d908bff2a9dbdb2db6ca4bb263cdf93c29e67c0580837d0c7e0f5eaf2a63b0ba4bfff8a</t>
  </si>
  <si>
    <t>28-11-2025 20:29:36</t>
  </si>
  <si>
    <t>88200ed8f1612f976ca2e968bb4ffeb51b800bcd4684468e5fc5145abc1a54d66b46108e8ecd6927190eef7776018cd9</t>
  </si>
  <si>
    <t>321</t>
  </si>
  <si>
    <t>27-11-2025</t>
  </si>
  <si>
    <t>27-11-2025 21:35:40</t>
  </si>
  <si>
    <t>14f645c120884b723c89dc1939f27097104c8c0e1ae1f324a7c6c05ef2c2bca4dac0bd11034fef12bbae7d8797c6c207</t>
  </si>
  <si>
    <t>320</t>
  </si>
  <si>
    <t>27-11-2025 21:30:55</t>
  </si>
  <si>
    <t>3f0cd360d671443504d39691fcbc4421be2668e50950d12c574ce6745e5a3441b77bb5ac5e85992f3780f785b45e47f1</t>
  </si>
  <si>
    <t>372</t>
  </si>
  <si>
    <t>27-11-2025 21:24:22</t>
  </si>
  <si>
    <t>0f6423b84853c2c706a66fe40397d13794185629f307cfe82aaf77b23e7aed87319883da3cc5e69bcca01b340afc6610</t>
  </si>
  <si>
    <t>371</t>
  </si>
  <si>
    <t>27-11-2025 21:14:52</t>
  </si>
  <si>
    <t>609fbc5081d99d5edc58452e7136d23d21f26b0b1dee925e82d7ab09e2f93b8cf0f59c01b1f92b6834b6d70e0626ba4d</t>
  </si>
  <si>
    <t>58967</t>
  </si>
  <si>
    <t>T012</t>
  </si>
  <si>
    <t>49</t>
  </si>
  <si>
    <t>27-11-2025 10:16:31</t>
  </si>
  <si>
    <t>860039794</t>
  </si>
  <si>
    <t>CALYPSO BARRANQUILLA S.A.S</t>
  </si>
  <si>
    <t xml:space="preserve">DISEL CAT LTDA  </t>
  </si>
  <si>
    <t>7f60ed07f6542e735309bc98844cfbc2984a0a21b7ebf95fc25bdfae7c2cda35497098a37273f4bbcc0b561df230216e</t>
  </si>
  <si>
    <t>151138</t>
  </si>
  <si>
    <t>24-11-2025</t>
  </si>
  <si>
    <t>24-11-2025 11:40:32</t>
  </si>
  <si>
    <t>377480c70bbe4b5641d1b5552791529636bf7ae6e0ba5cc946d408ef9289a74cd7037c20c74aa25998aa0e0c81f917bb</t>
  </si>
  <si>
    <t>241</t>
  </si>
  <si>
    <t>41</t>
  </si>
  <si>
    <t>25-11-2025 11:50:54</t>
  </si>
  <si>
    <t>4e53c847f56a0bf2045df3fd18aa11f4953b78221de9b591f23a3e7da8a5cee7f8629efdfd92cffa271d241693c5c758</t>
  </si>
  <si>
    <t>1932613</t>
  </si>
  <si>
    <t>21-11-2025</t>
  </si>
  <si>
    <t>21-11-2025 03:49:33</t>
  </si>
  <si>
    <t>3d2fe677ebc22dac70d2ad43ff20640830c593f99b1ef5cfff663419f624e0b61fb7642a8a9932f70bc75df952c236bb</t>
  </si>
  <si>
    <t>1622873</t>
  </si>
  <si>
    <t>21-11-2025 03:19:20</t>
  </si>
  <si>
    <t>72b9ae24327005246a8d37a9c4da55f691000e750d50eda7078cdb0e79f4b4f2e2e3809b3087d5df328d01a079706d9d</t>
  </si>
  <si>
    <t>6284</t>
  </si>
  <si>
    <t>20-11-2025 13:02:41</t>
  </si>
  <si>
    <t>35bd358acd2b994007750cf75d84dbbabf0d8d5f22d835291e310ff328a918dd143abe22c2fd0caf24af53287e1518af</t>
  </si>
  <si>
    <t>6107</t>
  </si>
  <si>
    <t>FEB</t>
  </si>
  <si>
    <t>20-11-2025 13:14:21</t>
  </si>
  <si>
    <t>2657f846d9732e89c1db2d4d29f68a5380d92306706c71a2a339b80adf8cb326948d1566dfc911e9852509ca473a240e</t>
  </si>
  <si>
    <t>6106</t>
  </si>
  <si>
    <t>20-11-2025 13:11:08</t>
  </si>
  <si>
    <t>b52488abd3e2ee06dc807f053af19848f7b94e4709fb745fd116f457f88ecd2159d0aad9f05f78e7df7bbd3809f635e0</t>
  </si>
  <si>
    <t>1336617</t>
  </si>
  <si>
    <t>VRT</t>
  </si>
  <si>
    <t>3</t>
  </si>
  <si>
    <t>20-11-2025 11:39:08</t>
  </si>
  <si>
    <t>890102010</t>
  </si>
  <si>
    <t>CAMARA DE COMERCIO DE BARRANQUILLA</t>
  </si>
  <si>
    <t>f27f33f2d07fe60a53b2500304a206c37a4ecb7d3193f045d7f169fa2e8dccdccba33cbd6a2fa34da5ce6f26b3b43197</t>
  </si>
  <si>
    <t>1622413</t>
  </si>
  <si>
    <t>19-11-2025 18:48:03</t>
  </si>
  <si>
    <t>7daa7b3feeb3db460f949ad24c2f225de61c410ca8e032358dfdb3bac61f11edc73dbd31845ec84ec882ba009d7959f0</t>
  </si>
  <si>
    <t>1931237</t>
  </si>
  <si>
    <t>19-11-2025 17:18:20</t>
  </si>
  <si>
    <t>dee92399f6ce96bf050b3405461b759019d75709f3583e84cd98c98e46f5976a586159953dc34b4b379fc485e656e9bf</t>
  </si>
  <si>
    <t>11357</t>
  </si>
  <si>
    <t>18-11-2025</t>
  </si>
  <si>
    <t>18-11-2025 09:35:45</t>
  </si>
  <si>
    <t>03618c171bfc768f75b38fd93e9af622faa84f068f02a30200d9253cbd31da37a588caa5b62e7977321a14cf5271ed15</t>
  </si>
  <si>
    <t>78166</t>
  </si>
  <si>
    <t>2PB</t>
  </si>
  <si>
    <t>12-11-2025 14:12:04</t>
  </si>
  <si>
    <t>901140179</t>
  </si>
  <si>
    <t>INVERSIONES DUQUIN S.A.S.</t>
  </si>
  <si>
    <t>aaeaaa5f29cbb28ef9a632e85939f5c64603004c9d4fd873639381ef9c0b5d9f61a8ee7eee8849627c8b426bba199a7f</t>
  </si>
  <si>
    <t>032DA942802020606</t>
  </si>
  <si>
    <t>11-11-2025</t>
  </si>
  <si>
    <t>11-11-2025 16:05:44</t>
  </si>
  <si>
    <t>af44733d1aecc2fe193941f383f8a0695517153907381cc825720ca1ffedb5ed7de4b51e4c952667a07f5d694c8de423</t>
  </si>
  <si>
    <t>032DA941802020606</t>
  </si>
  <si>
    <t>11-11-2025 15:52:08</t>
  </si>
  <si>
    <t>e7c067c3c4932ee83ff31825037930c08c6270517ea2800557929e4fde73431d72bf1975050369a0d346f1b7ab010e4e</t>
  </si>
  <si>
    <t>033DA914802020606</t>
  </si>
  <si>
    <t>11-11-2025 11:57:07</t>
  </si>
  <si>
    <t>efb65047060ce2e89ca70a89728a9ea9b627d16d76e9c900a9745e4234c17d6d09f90c119572ea139c15f93686ffc412</t>
  </si>
  <si>
    <t>033DA934802020606</t>
  </si>
  <si>
    <t>11-11-2025 11:38:36</t>
  </si>
  <si>
    <t>7c0fe92b2eb53f6b25dbafd2c006f3771b2646f37687ad4ace174627e812c33de3fc56e1344056e559d3c6a8b890e273</t>
  </si>
  <si>
    <t>032DA914802020606</t>
  </si>
  <si>
    <t>11-11-2025 11:13:56</t>
  </si>
  <si>
    <t>c062d6411f6a55400a297c77e4235091a8ab1f1c861804851a4e796c74665d1388aa1448b709b95239d657905d6058a1</t>
  </si>
  <si>
    <t>032DA934802020606</t>
  </si>
  <si>
    <t>11-11-2025 10:59:21</t>
  </si>
  <si>
    <t>1694c841c56d8ac7b1c35ee1d7049e1d2204c38d928dd305b071e038f2df895f48c33460cb61bf7720e29bd57399c63d</t>
  </si>
  <si>
    <t>6904</t>
  </si>
  <si>
    <t>AL</t>
  </si>
  <si>
    <t>04-11-2025 08:19:23</t>
  </si>
  <si>
    <t>8a13b9aef762397048a20858b471ad2bdb9bfbe83d5a176f7b7732a08c696a65d759d2626f04242ffa929c57a8a2f7cc</t>
  </si>
  <si>
    <t>00b76a0afa6845a1925492911</t>
  </si>
  <si>
    <t>10-11-2025 08:02:33</t>
  </si>
  <si>
    <t>c04afec7d9201317fc4a5e7d4e758b1f6202d2ba2208f250e5450be73ecee483654333c151e4705cc012b057dae5818a</t>
  </si>
  <si>
    <t>13768</t>
  </si>
  <si>
    <t>07-11-2025 09:28:51</t>
  </si>
  <si>
    <t>49ce98e70f9441e250375d49f8362c6e31089a313baf2c524e82c198758bd640a64e37e2dc89c068d9a3f2c59e25dc16</t>
  </si>
  <si>
    <t>NC211</t>
  </si>
  <si>
    <t>06-11-2025</t>
  </si>
  <si>
    <t>06-11-2025 14:43:57</t>
  </si>
  <si>
    <t>8713347</t>
  </si>
  <si>
    <t>Benjamin Jose Guardo Hernández</t>
  </si>
  <si>
    <t>e66c47e673feec6d91efdc3b73099ef7585930617735851556421d4997cdc2a9817b5924944ea3d306dca96b613b2c55</t>
  </si>
  <si>
    <t>440</t>
  </si>
  <si>
    <t>BG</t>
  </si>
  <si>
    <t>06-11-2025 09:39:09</t>
  </si>
  <si>
    <t>a779abc0d8e370d659c36b358ced76f35bccc70cd3a5f6c1cc7a1f56b765f537cac628b07dbaa090a04315265c6d4260</t>
  </si>
  <si>
    <t>4c5b816ea1f746c5636729840</t>
  </si>
  <si>
    <t>05-11-2025</t>
  </si>
  <si>
    <t>05-11-2025 20:44:22</t>
  </si>
  <si>
    <t>35b37c5e4fe7931ad3ac661a4d6d5625956a8a81883c7e5d51e16bab3fb9b3bd28a6ba741899c4f88e6a0828994038ef</t>
  </si>
  <si>
    <t>960bba0e281a48c8745697000</t>
  </si>
  <si>
    <t>05-11-2025 20:44:15</t>
  </si>
  <si>
    <t>bc472ba172d43b0a198845a8ecd6f9bfadf13129adf55a496b0a228e3fdea637afc3216c8ed5f67ba03477f5d2c75b10</t>
  </si>
  <si>
    <t>cf26a4a77b9a4747722533168</t>
  </si>
  <si>
    <t>05-11-2025 20:43:59</t>
  </si>
  <si>
    <t>0dd682e2f2e8f94f96e2eb6be9bd363ab4f6e24c4910e2df47babdda37528348f08a82a0e5fa739971f253f12e397a14</t>
  </si>
  <si>
    <t>cc7372e63806479c448926627</t>
  </si>
  <si>
    <t>05-11-2025 20:43:42</t>
  </si>
  <si>
    <t>b5813ec04a41f4d5216473a8eac1c572ad45fc37b0730c4e6d27cdcab889fcc6a3c6ffbabd005fffedb303c153b90e90</t>
  </si>
  <si>
    <t>c7b718c134234fab829643040</t>
  </si>
  <si>
    <t>05-11-2025 20:43:37</t>
  </si>
  <si>
    <t>4893d2a7864f341cdd31b68ee79c4600de8c81a0fb44a8e46ee0c2353a78a8c504548a53542e41c257f7c27cd70cd528</t>
  </si>
  <si>
    <t>75d1958f58114350777626475</t>
  </si>
  <si>
    <t>05-11-2025 20:43:25</t>
  </si>
  <si>
    <t>687408a771d8daaf9d4528fe5438dd419494490eab9fc3de3649380536c60396872062928fa805076007032eee8b9edb</t>
  </si>
  <si>
    <t>640d43f520c54b2b74545072</t>
  </si>
  <si>
    <t>04-11-2025 10:47:24</t>
  </si>
  <si>
    <t>8adf34e0b625b1110314159526a1ab245e6f9f49e969d1572e1b33bc575efa60ddf0282788ed06dd12437bf48a13a8c8</t>
  </si>
  <si>
    <t>18788</t>
  </si>
  <si>
    <t>FEZF</t>
  </si>
  <si>
    <t>01-11-2025</t>
  </si>
  <si>
    <t>01-11-2025 19:47:10</t>
  </si>
  <si>
    <t>b25e09b42fb608e0d1eb9f66090bbf171d404b1cdf255fec21657397b5d2febe11d3def25190908cae7198976cee4ebe</t>
  </si>
  <si>
    <t>427176</t>
  </si>
  <si>
    <t>01-11-2025 08:22:13</t>
  </si>
  <si>
    <t>85733825df2d759e55908204b7eec4d8e1b01a3311c592f1350b9628b67b4733fbf6a9b9dbec0f1cb6e5063225754f4f</t>
  </si>
  <si>
    <t>247</t>
  </si>
  <si>
    <t>30-10-2025 16:58:42</t>
  </si>
  <si>
    <t>ad62d068aa9a53ae36e98a335d063581ff37dda6f3040e4a4f9f24e2e2a973df9c95b3ef68a354f42273cd9a3a0159ec</t>
  </si>
  <si>
    <t>193</t>
  </si>
  <si>
    <t>30-10-2025 16:55:50</t>
  </si>
  <si>
    <t>128336fd26b187f1f8331448b26fcbbf7c19eae5cb0dc8aa6a65fff9e46c110c04e4ab082916e6745c8a166de20cdfd1</t>
  </si>
  <si>
    <t>190</t>
  </si>
  <si>
    <t>30-10-2025 16:53:58</t>
  </si>
  <si>
    <t>849c3a9a7321f01d053b4f02b09cce02335f25954b1cc49d3fc90b5699ef1042ded5de323bf6d6d35b218d6191651a6e</t>
  </si>
  <si>
    <t>30-10-2025 16:52:00</t>
  </si>
  <si>
    <t>bde502ccc6dff0639ade641b0365daffee7457ec20663eaf6562a93e65fc09a4233a4b60c399dbf33ea16f6fa6965417</t>
  </si>
  <si>
    <t>187</t>
  </si>
  <si>
    <t>30-10-2025 16:50:02</t>
  </si>
  <si>
    <t>d580fb7fc7f12e139b22abb83f66374c2c9d88301bc77e024474d08bd37c1d306aa19299a84d9bbb5abb29deaf1771c7</t>
  </si>
  <si>
    <t>240</t>
  </si>
  <si>
    <t>30-10-2025 16:45:09</t>
  </si>
  <si>
    <t>b668289ecc45f1e5cceaf2f016aa457e714d772ecb7fe81189beefef311bc4de173c0c361e4bf02bd1c91f516df6d584</t>
  </si>
  <si>
    <t>185</t>
  </si>
  <si>
    <t>30-10-2025 16:42:32</t>
  </si>
  <si>
    <t>a42e289ecf36d8905115485299cd7aea284b06c1345ce0e09a2aa3c0d61437c66a6b190a144db96ddee229953f94f715</t>
  </si>
  <si>
    <t>239</t>
  </si>
  <si>
    <t>30-10-2025 16:40:39</t>
  </si>
  <si>
    <t>c5ffa8ef2e0c9d1ab3db0d1486d72100274bcd0cfd60f46c6a61d6daf7628bbedd8b6e815d09c1d332b1d22f5fdd17df</t>
  </si>
  <si>
    <t>182</t>
  </si>
  <si>
    <t>30-10-2025 16:36:47</t>
  </si>
  <si>
    <t>c2e5309ffe4c2e811503590f41a01090812f1bbd090209cbe4b5dbbc1b12a3ef315f81398335e6c106eb18cb21932734</t>
  </si>
  <si>
    <t>238</t>
  </si>
  <si>
    <t>30-10-2025 16:31:26</t>
  </si>
  <si>
    <t>af033fe29e29d3e51f0a283c3c52a123a33718eeb0ae7ef70f7f385d0538e7992147eac757bf7895142b9674793d4846</t>
  </si>
  <si>
    <t>13060</t>
  </si>
  <si>
    <t>30-10-2025 11:31:39</t>
  </si>
  <si>
    <t>822ff56c05cafbbd6ede291ff670886084280072d31bf71b500d3249bc3486cd0cfa8621ad5a4adf64a596ec6180ba45</t>
  </si>
  <si>
    <t>13039</t>
  </si>
  <si>
    <t>30-10-2025 09:38:31</t>
  </si>
  <si>
    <t>11ec612d9a638ed233ad69e561c84cf4bd9f6b3cb64dc61422b520de73bc3d56d7376f9e3a9a44ade1e2c8eed47584a0</t>
  </si>
  <si>
    <t>5990718360</t>
  </si>
  <si>
    <t>29-10-2025 17:15:43</t>
  </si>
  <si>
    <t>393ff44de334344ca46241dbe2c51438afba69835ea5d707f4bb2975b46f4f98b7cf20ce2a5b43712b074b0be1435411</t>
  </si>
  <si>
    <t>1615287</t>
  </si>
  <si>
    <t>29-10-2025 16:10:26</t>
  </si>
  <si>
    <t>67732c9fdff2dedd6e88aa574b5e4b28632cb077a8612e094bda746edd525a4ecd2a9dc8fab9dd52c064d73b9d33ee35</t>
  </si>
  <si>
    <t>1615221</t>
  </si>
  <si>
    <t>29-10-2025 13:20:09</t>
  </si>
  <si>
    <t>4c466feb972463b9e484a0377dec3fef2bc5186575d2487019d7fc67a25f6372fb8abe3736d3b0ce80e207bec9ecf293</t>
  </si>
  <si>
    <t>6153</t>
  </si>
  <si>
    <t>16-10-2025 08:18:47</t>
  </si>
  <si>
    <t>425b2f9c8272937004061f6ea84e561d755570fc6ac43ff6077a5303a38f3b4e98b013423211dd94802f7643f4638d46</t>
  </si>
  <si>
    <t>18433</t>
  </si>
  <si>
    <t>01-10-2025 11:34:47</t>
  </si>
  <si>
    <t>e335a76cad7d669e4e37d02e941b75e9571f5c04c9893b33569c8a5b4c2add777da1d09138724028c1eb5f32f97c3208</t>
  </si>
  <si>
    <t>150609</t>
  </si>
  <si>
    <t>01-10-2025 11:23:53</t>
  </si>
  <si>
    <t>a321880f912e37489c5205587a4dfe98dab887472936291add326c12d8709cc0fc9304cf8df52b094c22d87eb0b5b1ab</t>
  </si>
  <si>
    <t>1915336</t>
  </si>
  <si>
    <t>29-10-2025 10:32:32</t>
  </si>
  <si>
    <t>fae74bfa4b6e8bba35be360a8920bf38f378ac5af9923e04a684022a29ffa019828652f91ff63b69cc1a57af5f5912ec</t>
  </si>
  <si>
    <t>01-10-2025 10:19:03</t>
  </si>
  <si>
    <t>84ce4f781035e7b1400ecf48259bebe7051017324f76775ebe850a63415d684cce1ec56984912b692f45915702b0b9fa</t>
  </si>
  <si>
    <t>11136</t>
  </si>
  <si>
    <t>23-09-2025</t>
  </si>
  <si>
    <t>23-09-2025 13:39:41</t>
  </si>
  <si>
    <t>5ea8ec4ffb5fa95dcab09a9695821dec642170413dcdc16dd478bd11c55f87b5d8ed0500bc75011bc425683a3a935971</t>
  </si>
  <si>
    <t>5896</t>
  </si>
  <si>
    <t>15-09-2025 11:12:15</t>
  </si>
  <si>
    <t>71850b78bb39bbe26e0abe3c401b223b24a07660c2aea8f94bdad69e464a3119a8743f2910572c73370a5c6dd3417193</t>
  </si>
  <si>
    <t>11079</t>
  </si>
  <si>
    <t>11-09-2025 08:12:16</t>
  </si>
  <si>
    <t>21ceb3adb7395f14c751270298165164a6ccb71f4d078b38fce7ef5cfecf438c06bd3c4f5ec333653366e175df48becc</t>
  </si>
  <si>
    <t>150114</t>
  </si>
  <si>
    <t>19-08-2025 13:37:29</t>
  </si>
  <si>
    <t>6689f0bf5743b70472868680e5bdbe2dda28ecdce54dae83d13c23bc981bc9acd36fc17ec626d3c98b7589698249e2be</t>
  </si>
  <si>
    <t>1915233</t>
  </si>
  <si>
    <t>29-10-2025 08:45:51</t>
  </si>
  <si>
    <t>b2b66554977ba8648682eed9e273b2e4a7ac5d9e2cdad58efa8724504aa5b6e7d6c16f8c08789d92d91bc78ecd09b67d</t>
  </si>
  <si>
    <t>150876</t>
  </si>
  <si>
    <t>29-10-2025 08:02:18</t>
  </si>
  <si>
    <t>668fd8bf2363bcaa648500a2a18bb7debddb3c6381c40262f4d5f364f89277edf2848dcbf55ec6b660ad94391c11f0a7</t>
  </si>
  <si>
    <t>5997</t>
  </si>
  <si>
    <t>09-09-2025 13:00:07</t>
  </si>
  <si>
    <t>e41c3b2886fa77265a93c4d811d432c39215f6162dfd5c068290dd22db8e7aa71491b7f4f999f9be0486011c78a84ec5</t>
  </si>
  <si>
    <t>6685</t>
  </si>
  <si>
    <t>09-09-2025 07:45:36</t>
  </si>
  <si>
    <t>1d16dfe413a41b859c2b6c296c02b1e62c4ada9d5473a96e5cd4de424ee81430e71a8780618a61c6382b313915fcafd8</t>
  </si>
  <si>
    <t>150170</t>
  </si>
  <si>
    <t>22-08-2025</t>
  </si>
  <si>
    <t>22-08-2025 09:28:59</t>
  </si>
  <si>
    <t>a185f47a6d7cf8fafca02ad99686642c67f9721413bbf4a5b97929ce5e9f330fedf954c2fbd236ffe17a1b176031ceb8</t>
  </si>
  <si>
    <t>18081</t>
  </si>
  <si>
    <t>01-09-2025 08:40:04</t>
  </si>
  <si>
    <t>ec8af20f55a8cb65f72ef029a482430b6092db6cd59d5928d5712b3b6d9b0179bf79683a5f007a24b311eae323ff7845</t>
  </si>
  <si>
    <t>10997</t>
  </si>
  <si>
    <t>22-08-2025 08:21:21</t>
  </si>
  <si>
    <t>dbea657efc8767d59284e49730ae5f09778ab71b0af7b3875735b9b46e15f57ff4b66d4d0673af6d40de1cde7540ef6e</t>
  </si>
  <si>
    <t>6531</t>
  </si>
  <si>
    <t>23-07-2025 13:19:43</t>
  </si>
  <si>
    <t>227b9d860f28b032ebd30042d4f0b161c56ff66f650f0b078a8ec030e5e370937022e672453359fd19f99b965bf02b17</t>
  </si>
  <si>
    <t>9465</t>
  </si>
  <si>
    <t>BAR</t>
  </si>
  <si>
    <t>14-08-2025 11:36:29</t>
  </si>
  <si>
    <t>bbb05a5da9872a7b3b89457a246eecf421669c335820be156ec1d7cde6d84cc5262d207978aede0aabb6173fd049e963</t>
  </si>
  <si>
    <t>5864</t>
  </si>
  <si>
    <t>13-08-2025</t>
  </si>
  <si>
    <t>13-08-2025 11:00:40</t>
  </si>
  <si>
    <t>31b493e96d7b3e5cfaaf50f7317fdbb30e6b33649e6b07b586c2c01ad01e3a4b1a9856b4fe91f0c3fb07235e5618dc78</t>
  </si>
  <si>
    <t>10960</t>
  </si>
  <si>
    <t>12-08-2025</t>
  </si>
  <si>
    <t>12-08-2025 13:59:57</t>
  </si>
  <si>
    <t>80188083fa01cf9ca6b5925e750069b55a69ce0ae73676533b398e1d76135c9107bd4378acdb5b33d30dc4fb2b66b098</t>
  </si>
  <si>
    <t>145886</t>
  </si>
  <si>
    <t>31-07-2025 12:03:29</t>
  </si>
  <si>
    <t>af6a7715f1e965b966775498a2a0d9024d91ddccc987f586ae25ffea2f9b451fb642cea8f0fee6254eb50fd08f44440b</t>
  </si>
  <si>
    <t>17748</t>
  </si>
  <si>
    <t>01-08-2025</t>
  </si>
  <si>
    <t>01-08-2025 08:00:15</t>
  </si>
  <si>
    <t>74f3a85c3d59be03df0d412ffbd54370dd766c46d33986d733d70e51016031e1fc52e6749370d5de1a0f0e122113f593</t>
  </si>
  <si>
    <t>145843</t>
  </si>
  <si>
    <t>25-07-2025</t>
  </si>
  <si>
    <t>25-07-2025 10:22:33</t>
  </si>
  <si>
    <t>fef6b4db7b5f37715b6650df68b5ec4a8ed5daf1ffa82afffd50ef8facfcf4585d6d60ac574d14e3757494e1fe2ae830</t>
  </si>
  <si>
    <t>18741</t>
  </si>
  <si>
    <t>B</t>
  </si>
  <si>
    <t>24-07-2025</t>
  </si>
  <si>
    <t>24-07-2025 08:25:53</t>
  </si>
  <si>
    <t>0944e99401b50b199e68fbd109d856fa8705b1785286571f5b6b602ff8b10c5ae6eca401e70a2ce8c23725b641ca3dc1</t>
  </si>
  <si>
    <t>9299</t>
  </si>
  <si>
    <t>11-07-2025</t>
  </si>
  <si>
    <t>11-07-2025 09:19:25</t>
  </si>
  <si>
    <t>7544b33584799fce12df87ebb028614d1cbbc76de6b39b667242978eab75dca48ee021604d6f6f32cc10941e210aa9d4</t>
  </si>
  <si>
    <t>10818</t>
  </si>
  <si>
    <t>11-07-2025 09:07:21</t>
  </si>
  <si>
    <t>14a5b8a8989ca534bb870f6203974b8776e219674ca664b8a1def595fe83ddf8559eca07a0e5480b54a9c325678efa19</t>
  </si>
  <si>
    <t>10804</t>
  </si>
  <si>
    <t>08-07-2025 13:50:02</t>
  </si>
  <si>
    <t>666014a0154fed04f7e0cc937e84337f7e046e8db3bc665a07a63150fb8b76eab6db33c5b4f22477cedcd70a664c04a9</t>
  </si>
  <si>
    <t>145641</t>
  </si>
  <si>
    <t>07-07-2025</t>
  </si>
  <si>
    <t>07-07-2025 11:34:05</t>
  </si>
  <si>
    <t>1b6e994fa44bc54ae5cedfcc6347a0cf9cc7455336c7ea1a90b24fd9a2b7427051cf78192a47ea0accd18b4aee53609c</t>
  </si>
  <si>
    <t>6438</t>
  </si>
  <si>
    <t>04-07-2025</t>
  </si>
  <si>
    <t>04-07-2025 10:22:01</t>
  </si>
  <si>
    <t>a5a350781725d11a1e4b763727552103309240153e3ea5f11d00ab70afcdbbce93754a7240337f1c065723984c0343b2</t>
  </si>
  <si>
    <t>5658</t>
  </si>
  <si>
    <t>03-07-2025</t>
  </si>
  <si>
    <t>03-07-2025 13:19:20</t>
  </si>
  <si>
    <t>51980d666166026428af86749382fa52befd9bcfcfcb062806984a3cd7e7d8b9d7193a2c682af73f08ffd12c0051f8e8</t>
  </si>
  <si>
    <t>10783</t>
  </si>
  <si>
    <t>03-07-2025 11:09:57</t>
  </si>
  <si>
    <t>0ab2458d5eb77625592b69eb2c5efee474f585411a538ae3b51efce745079dc48d4e75a1a0cd0a9d8b9ec5ffab442264</t>
  </si>
  <si>
    <t>9255</t>
  </si>
  <si>
    <t>03-07-2025 10:20:14</t>
  </si>
  <si>
    <t>0a26fe7cc93099db833233eff2f47de9ccde8489152ac5cd8a8bc1fa32ea46b9aa4abe9e6880eadaea74836c0cde2a2e</t>
  </si>
  <si>
    <t>17398</t>
  </si>
  <si>
    <t>01-07-2025 14:39:34</t>
  </si>
  <si>
    <t>696c15203868c2ed4fdffa4af28301ae5ae52035d125066aef4ac6f48635510d74556bef71766f3dbd5aeff010b3c2c6</t>
  </si>
  <si>
    <t>9187</t>
  </si>
  <si>
    <t>24-06-2025</t>
  </si>
  <si>
    <t>24-06-2025 08:42:57</t>
  </si>
  <si>
    <t>838969a37bc407383775d45d1baa3e4dcd8fc2626ad901fcda41736d5afc0129a4864c9bd9dab15a81414fb84b964ff3</t>
  </si>
  <si>
    <t>10731</t>
  </si>
  <si>
    <t>18-06-2025</t>
  </si>
  <si>
    <t>18-06-2025 08:17:02</t>
  </si>
  <si>
    <t>f0a3db522e8eb6d0826c2def0f7650539949747a706a825ada1dc6fa06bdd94126d77d560b124c11b901bf6027c86d5d</t>
  </si>
  <si>
    <t>6367</t>
  </si>
  <si>
    <t>17-06-2025 11:26:15</t>
  </si>
  <si>
    <t>936d91dd65e8f122c596fe95fc7ee19d51e57dfaeb75b392c41fb52b7a32167ba77e57a267e3883e1b3332130f4416af</t>
  </si>
  <si>
    <t>12070</t>
  </si>
  <si>
    <t>13-06-2025 14:04:34</t>
  </si>
  <si>
    <t>ce45aaf1cf38485c22874a1f282065217a1edac5f8c5e2e2c56e8b51b84336d83f761ee5d330ce1351c52eb74b3c7c58</t>
  </si>
  <si>
    <t>3141</t>
  </si>
  <si>
    <t>13-06-2025 13:55:20</t>
  </si>
  <si>
    <t>87d46a3e85d29c7786101cb68448502a35f05802d6a7cbf247c0a40644065cd3ace454794abf9bacc0a459d251c09adf</t>
  </si>
  <si>
    <t>3139</t>
  </si>
  <si>
    <t>13-06-2025 12:43:34</t>
  </si>
  <si>
    <t>6ff3f60c6a985b9110f2f4e8e9f81e80817ff00a17d365c297fcec049b6935c88b19ff1d89d74445e9556b8132864919</t>
  </si>
  <si>
    <t>145437</t>
  </si>
  <si>
    <t>13-06-2025 11:56:59</t>
  </si>
  <si>
    <t>edf669493d8fb7ecb0d8bcfe78012ad5b24d46042e08cc487ea81c458ab9bc4d329a4977fea3712ad8acd099f433b0c7</t>
  </si>
  <si>
    <t>10701</t>
  </si>
  <si>
    <t>12-06-2025</t>
  </si>
  <si>
    <t>12-06-2025 08:47:18</t>
  </si>
  <si>
    <t>a092685a24eaff491dc916566ba1c0443cf19ccb7491a484e5116f533a2244005399bda3c65dc37d1c7059e04b0e40cf</t>
  </si>
  <si>
    <t>145387</t>
  </si>
  <si>
    <t>10-06-2025</t>
  </si>
  <si>
    <t>10-06-2025 12:09:41</t>
  </si>
  <si>
    <t>f50f6f0e98d102ce370e181228d73abe19e5b46bdc9d643e151ff993ed53498e7658d4bcce1e9bcd542a0e54dfc5ed32</t>
  </si>
  <si>
    <t>6319</t>
  </si>
  <si>
    <t>06-06-2025</t>
  </si>
  <si>
    <t>06-06-2025 14:33:12</t>
  </si>
  <si>
    <t>9ff7947b69b45698a25bf26a507221dc581dcdba62b5f5638248484b2ebe1494d0a8c43b4e51655f290250fc1f234589</t>
  </si>
  <si>
    <t>6318</t>
  </si>
  <si>
    <t>06-06-2025 14:29:59</t>
  </si>
  <si>
    <t>3f09d89ee69c53877c5287169e89d7d5371da754f898105b339a1e6c95757f5dc67294c87819ce2fbd63c0becefd601e</t>
  </si>
  <si>
    <t>17078</t>
  </si>
  <si>
    <t>02-06-2025</t>
  </si>
  <si>
    <t>02-06-2025 18:35:47</t>
  </si>
  <si>
    <t>55aaf7c5cbc1a94fb77361ae1367956c82f0f951ba758d986ea4720f5a87aa8b2940e8a48d820548ea6e5696aed27ad0</t>
  </si>
  <si>
    <t>10650</t>
  </si>
  <si>
    <t>03-06-2025 08:57:09</t>
  </si>
  <si>
    <t>d8c6ac31c2c1dc336ecffcc59a5337bb54056ab8fa8b3398f8c1a3eee925981af37895ea99ca867ed970f2cd08d84dce</t>
  </si>
  <si>
    <t>145265</t>
  </si>
  <si>
    <t>29-05-2025</t>
  </si>
  <si>
    <t>29-05-2025 11:11:54</t>
  </si>
  <si>
    <t>21e20564d99c609d22bef94bca060ce50b55a0c2bf7b487d33622a7a9743c62c6db2238e60486f1520e7ed137ab86077</t>
  </si>
  <si>
    <t>11966</t>
  </si>
  <si>
    <t>23-05-2025 16:09:35</t>
  </si>
  <si>
    <t>9a844247bf87489f78cf97bac8b3d92848830b20d0734a4996104f481d24a23c22766afc1e1fc1d21a54ad6bbc0781e9</t>
  </si>
  <si>
    <t>11965</t>
  </si>
  <si>
    <t>23-05-2025 16:06:07</t>
  </si>
  <si>
    <t>dcb22a758c1db5c282d78a55513a790e64809e0a6f427b2cb0103ef582124e2287f188c307f55bc37f036eeac375f35a</t>
  </si>
  <si>
    <t>145212</t>
  </si>
  <si>
    <t>22-05-2025</t>
  </si>
  <si>
    <t>22-05-2025 08:28:49</t>
  </si>
  <si>
    <t>0651217e5150f4396dff157d4e773cdcbc552c014b7545963472b51e5e18087449a88a52024bd06f693581a0df6c8a4c</t>
  </si>
  <si>
    <t>10596</t>
  </si>
  <si>
    <t>20-05-2025</t>
  </si>
  <si>
    <t>20-05-2025 09:58:41</t>
  </si>
  <si>
    <t>2945eb26ed707cbb40d8b66a1d474ed8f66524db9f0dfe61dee7c0a507adf5b6c40071ecc245cf3dac61513664f628a3</t>
  </si>
  <si>
    <t>3100</t>
  </si>
  <si>
    <t>16-05-2025</t>
  </si>
  <si>
    <t>16-05-2025 14:17:25</t>
  </si>
  <si>
    <t>c4f03b47c6e87eedb73e2aa6dfbdca7ee8b45635417ba3210d7650bad7c8da32c2ff938ca63cae4f10fa608d51abdf6b</t>
  </si>
  <si>
    <t>5464</t>
  </si>
  <si>
    <t>16-05-2025 12:08:32</t>
  </si>
  <si>
    <t>58e0640c9fef3a354a50dab07f38156427e070f01818698b763b344dd8a7fd72334aef45215efd1e9bc930fcda27b310</t>
  </si>
  <si>
    <t>145032</t>
  </si>
  <si>
    <t>06-05-2025 12:01:31</t>
  </si>
  <si>
    <t>8d6a891f0bdddac30ca427e126490422c71a23a8efafa39c59587f89ffb3aeee099cccf83b805a0ed1a2f4e63b7e1cfb</t>
  </si>
  <si>
    <t>144969</t>
  </si>
  <si>
    <t>02-05-2025 11:59:38</t>
  </si>
  <si>
    <t>76ea7038e90dfa4eb5a3b594f4bc68e6211cf7125dfada7aef1501e3c8c454401c44d811b13f63725cf253f583461285</t>
  </si>
  <si>
    <t>144968</t>
  </si>
  <si>
    <t>02-05-2025 11:55:04</t>
  </si>
  <si>
    <t>a31f05aa4d080591598719cdadca9c81d0745687c1f2ebb443d76acddfacddc30cee7b10dd412cb1553025af7d8101db</t>
  </si>
  <si>
    <t>10507</t>
  </si>
  <si>
    <t>02-05-2025 09:09:26</t>
  </si>
  <si>
    <t>dd47fbe4a6d9c8c309e6594c17a030bc00c214757231449fbd0930b8a3b05ade246cb797c66e015c6d589ff29a4341cb</t>
  </si>
  <si>
    <t>16745</t>
  </si>
  <si>
    <t>01-05-2025</t>
  </si>
  <si>
    <t>01-05-2025 17:40:49</t>
  </si>
  <si>
    <t>f9d40239e79e92cb0d053dcc7776da9706a00548a8919e0ff62bc3ff0ba08c1a7c32d0cf4a9c3a500ffb404cc68ad2ca</t>
  </si>
  <si>
    <t>10488</t>
  </si>
  <si>
    <t>25-04-2025</t>
  </si>
  <si>
    <t>25-04-2025 11:51:09</t>
  </si>
  <si>
    <t>b303a8b72322a06fe038ad38f0e900e475a215ee0571620bf8b2ca0be1f9af7c161403e6732d8c8c3963139997eb7065</t>
  </si>
  <si>
    <t>10475</t>
  </si>
  <si>
    <t>23-04-2025</t>
  </si>
  <si>
    <t>23-04-2025 09:25:45</t>
  </si>
  <si>
    <t>2a1200dc864c0558b1d93572c737abd195282dd928af546d4925c77d595fcf39992885b5044374d5403934b071ae2706</t>
  </si>
  <si>
    <t>144845</t>
  </si>
  <si>
    <t>22-04-2025 08:45:55</t>
  </si>
  <si>
    <t>b1d1b613115a83190a3f20903b4f1b9d8dc6795a28d9771b0a31061f2be561295d9aa7b7f46bdc093df1283b7c0b077b</t>
  </si>
  <si>
    <t>6111</t>
  </si>
  <si>
    <t>22-04-2025 08:10:17</t>
  </si>
  <si>
    <t>030be2f3b0223846d51b87819ffe5a16bd458aa9956a92932a682a1bd6ac01f279f702f3c1a4e189ffb0835aba40eb2f</t>
  </si>
  <si>
    <t>6070</t>
  </si>
  <si>
    <t>08-04-2025 15:42:41</t>
  </si>
  <si>
    <t>aeece3053f9e339eebaf92264346a383248f9c96ddc52bbd2e1ed2d698845b69a05bd1270c3f08dae2c813e4a3bf9255</t>
  </si>
  <si>
    <t>105A</t>
  </si>
  <si>
    <t>27-10-2025</t>
  </si>
  <si>
    <t>27-10-2025 10:50:33</t>
  </si>
  <si>
    <t>802008192</t>
  </si>
  <si>
    <t>SOLUCIONES MAF SAS</t>
  </si>
  <si>
    <t>72f5d932d20d843346a4fe82728a89adaac89fe4b4e59722bb62a5d9cab60cf202852c4bbfbe1a7b9a96f0c29e22f0ea</t>
  </si>
  <si>
    <t>12481</t>
  </si>
  <si>
    <t>23-10-2025 09:48:56</t>
  </si>
  <si>
    <t>6f3b52bcf796c7127bbd7648096853d96efe13358150f77328857dbebbe5ee5263366e72794c69fec93b5861db051a25</t>
  </si>
  <si>
    <t>033DA913802020606</t>
  </si>
  <si>
    <t>22-10-2025 16:53:32</t>
  </si>
  <si>
    <t>424d5b9e3fbd9b12008e20dd15c65af05b20e9bba3ef86a911f9fd5baedd418364c45c7c98ec530fa19018834dadff84</t>
  </si>
  <si>
    <t>033DA910802020606</t>
  </si>
  <si>
    <t>22-10-2025 16:45:08</t>
  </si>
  <si>
    <t>17f77c7811864ec0888cc7874bfe74af166b15064826c7bc53efaa08013b573409651c7298132b5dca1e5bf821a2d0f2</t>
  </si>
  <si>
    <t>033DA912802020606</t>
  </si>
  <si>
    <t>22-10-2025 16:45:05</t>
  </si>
  <si>
    <t>82d67931ebd441f91ede1fbd453f30ae9254bc9c1bdcfec7ea701289231331c270e20068ffea5e370c3f44f228e0c3f6</t>
  </si>
  <si>
    <t>033DA911802020606</t>
  </si>
  <si>
    <t>22-10-2025 16:45:00</t>
  </si>
  <si>
    <t>b9205c88b0b27da3bec4f4873e49b46589654b40551b6fca5d2f37d6319dc93b5cea5a5eb08f56325d4b2ef2a894910c</t>
  </si>
  <si>
    <t>032DA913802020606</t>
  </si>
  <si>
    <t>22-10-2025 15:18:40</t>
  </si>
  <si>
    <t>f930fca99ed4a1b2b3a9dbb64d1aa8e9c193e7f4adea220dd1cf8628187de3f95404ab3a1fe1568be8f6d8f9e0ab0b0e</t>
  </si>
  <si>
    <t>032DA910802020606</t>
  </si>
  <si>
    <t>22-10-2025 15:10:42</t>
  </si>
  <si>
    <t>6c37ff3f1d1f4f4eeebca401db5f9932f26e6cf2945624a468569fc9d8d885cdbe3cd609b32f6adab46bc74d0c026280</t>
  </si>
  <si>
    <t>032DA912802020606</t>
  </si>
  <si>
    <t>22-10-2025 15:10:39</t>
  </si>
  <si>
    <t>80c7f79fc6bbf026dc91a5026285287eeb22a3f9841d0cfdb6a6c3a977cbf66625404aa108b543fede6a021dcb62022a</t>
  </si>
  <si>
    <t>032DA911802020606</t>
  </si>
  <si>
    <t>22-10-2025 15:10:36</t>
  </si>
  <si>
    <t>57ada97877f73ce48e17ac0d015aea3bf82c3fd45c6cac4b02538b3760845d4df1d29e90e711f032ecea3e378684b4d1</t>
  </si>
  <si>
    <t>12410</t>
  </si>
  <si>
    <t>22-10-2025 10:09:21</t>
  </si>
  <si>
    <t>2e04cdf040d5821b10ba99b19a5b11540ebc585383dbf84889a867ac8038bdaa111fc9ad229fc727dac4b524d0c30960</t>
  </si>
  <si>
    <t>030DA942802020606</t>
  </si>
  <si>
    <t>22-10-2025 09:32:16</t>
  </si>
  <si>
    <t>896c29e0151d0f11ff444e4de023944b91854f690b27fd1af15625448946a5ad4173b696935e5c213620efc7bf585602</t>
  </si>
  <si>
    <t>030DA941802020606</t>
  </si>
  <si>
    <t>22-10-2025 09:28:15</t>
  </si>
  <si>
    <t>ce778d2add94dafb6209c143755dbbaeecc09f874e6769a527bd6ff11d621e9a72c3f9184ec855048b74d8aef6a0f464</t>
  </si>
  <si>
    <t>23010</t>
  </si>
  <si>
    <t>16-10-2025 10:46:40</t>
  </si>
  <si>
    <t>900584684</t>
  </si>
  <si>
    <t>LUBRICENTRO FUSSION S.A.S</t>
  </si>
  <si>
    <t>435f2629955ef17b57666dda7b063d2e2d4c377a45432065f245697c5799935fe0a7905a9435d69c0530076d026743b9</t>
  </si>
  <si>
    <t>18716</t>
  </si>
  <si>
    <t>11-10-2025</t>
  </si>
  <si>
    <t>11-10-2025 22:48:15</t>
  </si>
  <si>
    <t>72439a7b3b6a561b010b77c4bbba17616b308d4ffbce9b38c948ca5565097457cd016a494f7ce0c59cc079f2622ebc91</t>
  </si>
  <si>
    <t>15148</t>
  </si>
  <si>
    <t>CRBE</t>
  </si>
  <si>
    <t>11-10-2025 09:16:37</t>
  </si>
  <si>
    <t>890101994</t>
  </si>
  <si>
    <t>CAJA DE COMPENSACION FAMILIAR COMFAMILIAR ATLANTICO</t>
  </si>
  <si>
    <t>0d36fd0df529cef41ddb7797455cf85522a8e8357b3b4e4a47d90e47121f46fe13eeb52c30dc9db61bf5ab940484a39f</t>
  </si>
  <si>
    <t>15137</t>
  </si>
  <si>
    <t>10-10-2025</t>
  </si>
  <si>
    <t>10-10-2025 15:59:35</t>
  </si>
  <si>
    <t>d9102da7dd4d50f37f600b32fda576d9172ad2e142b784013e0861d8ede17a984912f1d5936df17a4ceb94ee960ed59f</t>
  </si>
  <si>
    <t>30</t>
  </si>
  <si>
    <t>09-10-2025</t>
  </si>
  <si>
    <t>09-10-2025 16:38:30</t>
  </si>
  <si>
    <t>860065726</t>
  </si>
  <si>
    <t>SUMINISTROS INDUSTRIALES DE COLOMBIA SOCIEDAD POR ACCIONES SIMPLIFICADA SAS</t>
  </si>
  <si>
    <t>da83e7c192c689031e2099fc1a779c097198301dd8119eadeba1e6814295790fb918e252dbb144bf376ad5ec089c9878</t>
  </si>
  <si>
    <t>5059</t>
  </si>
  <si>
    <t>103A</t>
  </si>
  <si>
    <t>08-10-2025</t>
  </si>
  <si>
    <t>08-10-2025 15:27:12</t>
  </si>
  <si>
    <t>e9b19828d17942c61c9fabe99c976beefff8eb00f52225029429c27ea4fe4a0e9cf1776476b3d9e2fc00fc01f4576233</t>
  </si>
  <si>
    <t>6818</t>
  </si>
  <si>
    <t>102A</t>
  </si>
  <si>
    <t>08-10-2025 15:18:57</t>
  </si>
  <si>
    <t>ff978996979cbdda8aaa66e30cb175f6d55b683af0851e584d73a6a6be17a53751c275b69f0002269685753d2a273319</t>
  </si>
  <si>
    <t>030DA914802020606</t>
  </si>
  <si>
    <t>06-10-2025</t>
  </si>
  <si>
    <t>06-10-2025 12:18:16</t>
  </si>
  <si>
    <t>a9d2e11b4f85fc04951e9ab4887707337a4d9badc174e62e5175865a3268e01b7fd2e907d8d1e106d3cca837b1f12c1e</t>
  </si>
  <si>
    <t>423360</t>
  </si>
  <si>
    <t>03-10-2025</t>
  </si>
  <si>
    <t>03-10-2025 07:08:17</t>
  </si>
  <si>
    <t>ff77d7838d38ffeaff7a240e568e21eac954daf2095fc152eee279ab8d7b575efc8909605eb46d15bbc977b096551260</t>
  </si>
  <si>
    <t>5980255091</t>
  </si>
  <si>
    <t>30-09-2025 13:37:55</t>
  </si>
  <si>
    <t>d5623b1be2be732b9618dd53a763811ddad1042066c603281de9e69874b308117c28fdcaa572ad8c24447ffca153f734</t>
  </si>
  <si>
    <t>2967</t>
  </si>
  <si>
    <t>FESS</t>
  </si>
  <si>
    <t>31</t>
  </si>
  <si>
    <t>29-09-2025 12:56:38</t>
  </si>
  <si>
    <t>901705676</t>
  </si>
  <si>
    <t>S&amp;S JR S.A.S.</t>
  </si>
  <si>
    <t>c838febbdd4ee10e2c5706756948575f17d384ae5306f46ba533d3b60a8dacda763d6f9f40fe37ffe0fb8a7fd2628734</t>
  </si>
  <si>
    <t>2947</t>
  </si>
  <si>
    <t>26-09-2025</t>
  </si>
  <si>
    <t>26-09-2025 13:01:00</t>
  </si>
  <si>
    <t>7e9f0887dbc7dc35ae27344171bb7c842d42ce5de43fe648603d35578ff0af2fb7631306c07c9412c63d58c3cc04fe8e</t>
  </si>
  <si>
    <t>1305034</t>
  </si>
  <si>
    <t>26-09-2025 12:12:20</t>
  </si>
  <si>
    <t>59e7010b79ab6d8288565495230a85984da93a29156ba0894d3862563fb33a714a9990467fc4b7d0f3c22193071c1d6a</t>
  </si>
  <si>
    <t>1603088</t>
  </si>
  <si>
    <t>23-09-2025 15:50:23</t>
  </si>
  <si>
    <t>a4a60c9e48a4c1c3aad5f5b2bff0df877c2cb8d85a0180b23e06c2a659f05c893df7643c25d5e39c79795734361ecd71</t>
  </si>
  <si>
    <t>1889434</t>
  </si>
  <si>
    <t>23-09-2025 14:47:52</t>
  </si>
  <si>
    <t>b2672a74cf550751c455322acb37f3d0bcf414e07ddd5f91d64dd918bddf51a312b0f117e8472519816e19b796bdd7d4</t>
  </si>
  <si>
    <t>FVE</t>
  </si>
  <si>
    <t>23-09-2025 11:49:32</t>
  </si>
  <si>
    <t>901919065</t>
  </si>
  <si>
    <t>TORNI HERRAMIENTAS S.A.S</t>
  </si>
  <si>
    <t>95bbbe8fbcde35bf08faa5913e922e0fd54779ba9733953c649706cd9e5d2653ff3fedc87d3a70a6db53c2862dacd5ff</t>
  </si>
  <si>
    <t>155</t>
  </si>
  <si>
    <t>FV</t>
  </si>
  <si>
    <t>16-09-2025 14:59:59</t>
  </si>
  <si>
    <t>51734499</t>
  </si>
  <si>
    <t>GLORIA STELLA RUBIANO MURILLO 01 00</t>
  </si>
  <si>
    <t>bd07cf3b0adfed1ea5c574deb37bde057edcff5006dc55a2abea3511a02656f7c8b1c045e583fb32493cbb474bcd7591</t>
  </si>
  <si>
    <t>3906</t>
  </si>
  <si>
    <t>16-09-2025 13:40:52</t>
  </si>
  <si>
    <t>5fc66d18cae4da3ddfb00247028d1b152ab4a5d9f83a5be37f2c8396296fe21a96c6636929b7e38662102217ad6efe5b</t>
  </si>
  <si>
    <t>1598244</t>
  </si>
  <si>
    <t>10-09-2025 06:19:12</t>
  </si>
  <si>
    <t>76227938cd9666b5c4aa907a6a2a046aa42f5ad27965f1cb530abd159adb65e0bec6e16e2c2d2eb4962b640fba83a4d2</t>
  </si>
  <si>
    <t>1878892</t>
  </si>
  <si>
    <t>09-09-2025 17:20:49</t>
  </si>
  <si>
    <t>Documento equivalente POS</t>
  </si>
  <si>
    <t>7cc54d56a9723a6cb4d7904a11bbdfa8d63c8701c411fb9d12f91d4fd522eade1f16159957fa7e4eb298a57059be543a</t>
  </si>
  <si>
    <t>17642</t>
  </si>
  <si>
    <t>EPOS</t>
  </si>
  <si>
    <t>05-09-2025</t>
  </si>
  <si>
    <t>05-09-2025 14:17:46</t>
  </si>
  <si>
    <t>92031300</t>
  </si>
  <si>
    <t>ALVEIRO ENRIQUE MARTINEZ  AGUAS</t>
  </si>
  <si>
    <t>DIESEL CAT LTD</t>
  </si>
  <si>
    <t>edf8607b64a2849faf729a30e0c3d80cb75ddf050f6abfdd01ec20a8e3f7fbe0829ae14032982b63274dc1136de109a6</t>
  </si>
  <si>
    <t>32984</t>
  </si>
  <si>
    <t>CTG</t>
  </si>
  <si>
    <t>04-09-2025</t>
  </si>
  <si>
    <t>04-09-2025 11:04:52</t>
  </si>
  <si>
    <t>800191233</t>
  </si>
  <si>
    <t>MANGUERAS Y ACOPLES DE LA COSTA S.A.S.</t>
  </si>
  <si>
    <t>a5199135c0d44a38601a55f9cb3cd8b659de79cdde7fd4374f7dcf8bdb712f9825feb912fc48c88410cb031b151dcd82</t>
  </si>
  <si>
    <t>22865</t>
  </si>
  <si>
    <t>VC</t>
  </si>
  <si>
    <t>04-09-2025 10:28:32</t>
  </si>
  <si>
    <t>890113554</t>
  </si>
  <si>
    <t>VEHIDIESEL S.A.S</t>
  </si>
  <si>
    <t>be56925f757db8b431292abddfef30ab16a2b566aebe6c9085bd0a9922da4a1498b2ae3ef6688baa6b7b2348778ccd3e</t>
  </si>
  <si>
    <t>9475</t>
  </si>
  <si>
    <t>MCC</t>
  </si>
  <si>
    <t>04-09-2025 10:00:56</t>
  </si>
  <si>
    <t>900661340</t>
  </si>
  <si>
    <t>MANGUERAS CORREAS Y REPARACIONES S.A.S</t>
  </si>
  <si>
    <t>DIESEL CAT CAT  DIESEL CAT</t>
  </si>
  <si>
    <t>79bfe33c68e2dc3bc7554761ad0d047486f02ae91935d4ae55626bc94f630c437d98dc4db1270345039c63d6aa7c01d6</t>
  </si>
  <si>
    <t>03-09-2025 09:18:58</t>
  </si>
  <si>
    <t>1f60eed7436e8fbae2cad12c4c939b3d7d8b8c02d6b53630483170e3175e3ece24d02593bd84504e0813be32981c9e4e</t>
  </si>
  <si>
    <t>420466</t>
  </si>
  <si>
    <t>02-09-2025 18:03:35</t>
  </si>
  <si>
    <t>d3425fae65f4f1a214564251191d464cbde004abc8a7aabbb5aece35a94b36d70d5d7b8295b0bc9b7db558add8174837</t>
  </si>
  <si>
    <t>1595682</t>
  </si>
  <si>
    <t>02-09-2025 15:48:49</t>
  </si>
  <si>
    <t>9f6dbdffc87abcad909a9a41b5b04c15ef87edff7c61b2a88a5450c19bde7375a19fe0206d538496bb5ae788586f779e</t>
  </si>
  <si>
    <t>1872890</t>
  </si>
  <si>
    <t>02-09-2025 12:50:48</t>
  </si>
  <si>
    <t>04bbe20067ac74be8133ee72f4d5c3be512773c22b3fc88d4b4292a1501e39112de5b23f8600a0d2c585c9d8bd37ca3d</t>
  </si>
  <si>
    <t>2782</t>
  </si>
  <si>
    <t>02-09-2025 10:41:20</t>
  </si>
  <si>
    <t>9bb9ad01f4c6407463b868408de346394b206e915bc782b1363c672a567c53e8b5cd61d437ffb6a82ff0b2d050856ce7</t>
  </si>
  <si>
    <t>3093</t>
  </si>
  <si>
    <t>01-09-2025 11:40:03</t>
  </si>
  <si>
    <t>c4a9db38f9b6618ed43dc2d0e95e4fa345aa3b5b9578b3b0d4f17e3392c52ef2604ce5f669a299d3042eda3cda3c268f</t>
  </si>
  <si>
    <t>3092</t>
  </si>
  <si>
    <t>01-09-2025 11:38:07</t>
  </si>
  <si>
    <t>3c1e7692f52ecd1b3fc14f1263584e3cde736b0b051fd8281110f4bec91db06113b4c02b2ca2b75207cb189bffbfb958</t>
  </si>
  <si>
    <t>5969741925</t>
  </si>
  <si>
    <t>31-08-2025 04:09:11</t>
  </si>
  <si>
    <t>19c9985882d8e93e3ac84d56af8f3cfed9d5140a8bc2c0a045b2f2c4a05e1742b98526df40bf10147ac2c74d2e2d5fa6</t>
  </si>
  <si>
    <t>728</t>
  </si>
  <si>
    <t>29-08-2025</t>
  </si>
  <si>
    <t>29-08-2025 17:02:13</t>
  </si>
  <si>
    <t>4059eb76db187878dd0020096789f9cbd9ec87b32003b9fbacdfb9b7f7011660da09375ca2c38dbf2432d3cb8471a185</t>
  </si>
  <si>
    <t>1593756</t>
  </si>
  <si>
    <t>27-08-2025</t>
  </si>
  <si>
    <t>27-08-2025 15:54:34</t>
  </si>
  <si>
    <t>44cbae80c9786e6c105c5cadd685ebe4637baa8eb70bdbc3f62636ea7d66c26451a8f6024ca3ca0a2ff572ff4b9764b1</t>
  </si>
  <si>
    <t>1868150</t>
  </si>
  <si>
    <t>27-08-2025 12:19:31</t>
  </si>
  <si>
    <t>41db2bb00e55f7d3ebc752018dd2c953386fc3a105d6f752315bf4edf389395323ff69bde812380ee449ef01d19d5ed4</t>
  </si>
  <si>
    <t>1593401</t>
  </si>
  <si>
    <t>26-08-2025</t>
  </si>
  <si>
    <t>26-08-2025 15:21:17</t>
  </si>
  <si>
    <t>ca883338f6501166d1dcd1fea26d5a9b623df13d214eff1a6080f0e3a71ece7973d5357d34530e08b171e0fde8034464</t>
  </si>
  <si>
    <t>1593386</t>
  </si>
  <si>
    <t>26-08-2025 15:21:08</t>
  </si>
  <si>
    <t>d8535ff6af0c01eb7e9653c42cb9ced8ccef3bebd4eb1a077936fd47aa05b6d193d881a033e353e98381406a6bb33c15</t>
  </si>
  <si>
    <t>1867092</t>
  </si>
  <si>
    <t>26-08-2025 12:48:59</t>
  </si>
  <si>
    <t>7d81efd2ed9e8338fc960d2507fe7d87b8e254ceb2c54b95176cd2e47896860c180f6bf188a995409fd0f973f00078fd</t>
  </si>
  <si>
    <t>1866922</t>
  </si>
  <si>
    <t>26-08-2025 11:20:32</t>
  </si>
  <si>
    <t>abfa2165c0cb449c134f3c24e0a20a9472ff3aae6dff5c875feb9f454e5f9952d52a25944168b7692e94b26362093607</t>
  </si>
  <si>
    <t>1593320</t>
  </si>
  <si>
    <t>26-08-2025 10:38:29</t>
  </si>
  <si>
    <t>3fb36c9d777a4fd963dcd762907fc3cab37c09e5125ca4c0a1d08e47b53f4b0ca8cedff4e6a353017018b4a35776d755</t>
  </si>
  <si>
    <t>1866728</t>
  </si>
  <si>
    <t>26-08-2025 09:48:08</t>
  </si>
  <si>
    <t>ef8a197a7c87bb6a74c9324227ab0a1ad1c8eee3616a3021655400c5f8c5ba03e939df4a71a3c9c7a90f3f7f351d0f48</t>
  </si>
  <si>
    <t>1866544</t>
  </si>
  <si>
    <t>25-08-2025 22:19:40</t>
  </si>
  <si>
    <t>2767c32f0ddcc62395b83d6b4bb16b0e06c55941e3c0344468bec5d41b0dbb1c1200707ced850f747d67dd58364a2a5a</t>
  </si>
  <si>
    <t>1593177</t>
  </si>
  <si>
    <t>25-08-2025 22:19:25</t>
  </si>
  <si>
    <t>78efdbb5d3f30f5265fb32ad6a09ac0fa5fe96983e1c54049e20d965c762bb38481308a72aff5ace81b27e317d8dfe8a</t>
  </si>
  <si>
    <t>81794</t>
  </si>
  <si>
    <t>FEBT</t>
  </si>
  <si>
    <t>34</t>
  </si>
  <si>
    <t>22-08-2025 16:01:17</t>
  </si>
  <si>
    <t>900488151</t>
  </si>
  <si>
    <t>Liberty Colombia Compañía de Seguros S.A.</t>
  </si>
  <si>
    <t xml:space="preserve">DIESEL CAT LIMITADA  </t>
  </si>
  <si>
    <t>c4a7057a38d66db1d733f38d4e5011f551d9cd6b8333e379b37586c2506698a09925d1b9957b4db8b0630b6be9784fcc</t>
  </si>
  <si>
    <t>81793</t>
  </si>
  <si>
    <t>22-08-2025 16:01:05</t>
  </si>
  <si>
    <t>5d0938159d2ab6d3d5bbbb1d96abbe91b9fa1fac7437ccf3d5dc8b770ab8a5a21560e715ad9c71bdbb9619d7d203d8a7</t>
  </si>
  <si>
    <t>7278</t>
  </si>
  <si>
    <t>22-08-2025 15:16:33</t>
  </si>
  <si>
    <t>8b4f6e7ca87e136995cd89fa4f7f45fa2f5b79b28c1f56681e76a1975af53eb03d9ad3ab839b2a9dbdc50175ed045d2f</t>
  </si>
  <si>
    <t>22667</t>
  </si>
  <si>
    <t>19-08-2025 15:07:30</t>
  </si>
  <si>
    <t>89184c29d64c5fdf1f26778cb6a3df9a6bc312aea66a310305f69c1990627344af547cbb1320aed04cd9f4b8a8da4429</t>
  </si>
  <si>
    <t>6556</t>
  </si>
  <si>
    <t>14-08-2025 15:40:53</t>
  </si>
  <si>
    <t>55994a130d1351eda96b6c26e9bfe0158a07b1b913205b5ab1ce2ea2b902a2b6a0e1a75286d3b058c56fbba155941ca1</t>
  </si>
  <si>
    <t>601</t>
  </si>
  <si>
    <t>14-08-2025 13:44:22</t>
  </si>
  <si>
    <t>64ab080362ad4bd99a9ed83ae8d59e4b109b7a6ca179ce1456d85932b3baf4848780f8e7478946100677942bad02b20a</t>
  </si>
  <si>
    <t>2011</t>
  </si>
  <si>
    <t>12-08-2025 14:22:18</t>
  </si>
  <si>
    <t>b1572d8597716fddcb60f7ce4318ea984e477155835d9d8ba35382544306dee58981698e2cc374a45c28aff1e16ffac2</t>
  </si>
  <si>
    <t>1271896</t>
  </si>
  <si>
    <t>08-08-2025 12:01:40</t>
  </si>
  <si>
    <t>3fd6fbd7ff77525a2fba07f139457ba5bc0bb9c0236bcba125e98d70b069980a623bef3d36cf1bf9fbadb56cc4eee3ed</t>
  </si>
  <si>
    <t>1863</t>
  </si>
  <si>
    <t>08-08-2025 09:20:17</t>
  </si>
  <si>
    <t>542156c278b5892d397cb106a1d2b1ab6fbb1054b5d719b3e2f0d72498e622ca8d68100bff2cbfa9edccad4e0af6425a</t>
  </si>
  <si>
    <t>1587684</t>
  </si>
  <si>
    <t>06-08-2025</t>
  </si>
  <si>
    <t>06-08-2025 15:31:03</t>
  </si>
  <si>
    <t>6d4f5a38f327013f3240b5607ca208c85a14d680f2e2e2fa4f7bec04b24289eef294e8d24a58c4ace73e3cdf09b0c044</t>
  </si>
  <si>
    <t>1854102</t>
  </si>
  <si>
    <t>06-08-2025 11:50:53</t>
  </si>
  <si>
    <t>c32ea9a6140ec73cf5531b29ff51ca0a031f6275196d76b7a2c1c74a7b47237a180a5e5c432b686089d3d8756b9f4c1a</t>
  </si>
  <si>
    <t>16449</t>
  </si>
  <si>
    <t>06-08-2025 11:07:35</t>
  </si>
  <si>
    <t>8acf06d05cfa14e8b55626d09267f29e5f57bac0f016155135cfb96ef19778222a8199dbe09eccc75891d9a19d1fde6a</t>
  </si>
  <si>
    <t>17903</t>
  </si>
  <si>
    <t>04-08-2025 13:12:38</t>
  </si>
  <si>
    <t>3ab06e9a6fd7823c800d6fca45ca7516c23eff60f75b3a4d54ddde2de6eee431331ac59d747a6d3e3b7ddf37b8705c67</t>
  </si>
  <si>
    <t>415911</t>
  </si>
  <si>
    <t>01-08-2025 15:16:31</t>
  </si>
  <si>
    <t>35a9dcd72ee480a130a38353cb3cd397f71cd1969a8a28535fd7c64b887febb84031ad86a0509a0b5b34038e5b80eb5b</t>
  </si>
  <si>
    <t>TP</t>
  </si>
  <si>
    <t>31-07-2025 16:32:16</t>
  </si>
  <si>
    <t>901677715</t>
  </si>
  <si>
    <t>TRANSPORBAR S.A.S</t>
  </si>
  <si>
    <t>e00a234c9707a257d3dfa3ee53c304aec233130a9b801a8d272c73884940e017b5aaa4a52bbb3e2062cf2d8d3e1b84bf</t>
  </si>
  <si>
    <t>200</t>
  </si>
  <si>
    <t>31-07-2025 16:25:58</t>
  </si>
  <si>
    <t>d9ee965ff33d5769df43e279c8dfa25c870a6c2bd615c31837906cbfd4bbcb6c8206545d0a52914ed1ebfe8419831b50</t>
  </si>
  <si>
    <t>205</t>
  </si>
  <si>
    <t>FVEX</t>
  </si>
  <si>
    <t>31-07-2025 15:50:23</t>
  </si>
  <si>
    <t>900841359</t>
  </si>
  <si>
    <t>AGROINDUSTRIAS PITAL SAS</t>
  </si>
  <si>
    <t>ea54ad1d22ff954c6fa03184f69c90d5d28d0e0851bf5179ceac55c477679e14b84e603fd2b804fef9788c6cfafe7d14</t>
  </si>
  <si>
    <t>204</t>
  </si>
  <si>
    <t>31-07-2025 15:38:20</t>
  </si>
  <si>
    <t>bb4318b00b49ec98d03581b3b41706716bedc8790881680180b59bb9f61e288bcfe1b28a35f59fedcb40365c3995d70a</t>
  </si>
  <si>
    <t>203</t>
  </si>
  <si>
    <t>31-07-2025 15:35:59</t>
  </si>
  <si>
    <t>ebe60a6650df404802ccfac85de40d1eb5f42c6b3cd9a2691ee0548a45e584a1e0bfcddc3715c409750de508e1cbbb21</t>
  </si>
  <si>
    <t>202</t>
  </si>
  <si>
    <t>30-07-2025</t>
  </si>
  <si>
    <t>30-07-2025 17:30:14</t>
  </si>
  <si>
    <t>96a3bd0574da51d5e326b845b93fa3cbfca1a1246408b9c18bcfbb640fae4550557d1df0719339b38b5fa960213006e9</t>
  </si>
  <si>
    <t>199</t>
  </si>
  <si>
    <t>30-07-2025 17:21:23</t>
  </si>
  <si>
    <t>edcc3534dea475d556ec4d837e00d1bdfe2120e961fd4f57774dc5d13db1ba3a82e53d5fcb9f2074a22fc6d2016132f0</t>
  </si>
  <si>
    <t>417</t>
  </si>
  <si>
    <t>30-07-2025 12:50:19</t>
  </si>
  <si>
    <t>b8d20ca322cbb62e578c4ef9fa461e7fd132bd6a8942b1b2a1e76e3343b88490b40bb5ccd7335a56175cf0c21a089050</t>
  </si>
  <si>
    <t>237</t>
  </si>
  <si>
    <t>29-07-2025</t>
  </si>
  <si>
    <t>29-07-2025 18:59:58</t>
  </si>
  <si>
    <t>f1912a5f58abb8727e5cff4f5506866797f5e22b6b7e0baaabad66cfe68cf5b5862be790bc815502be79056c977665c3</t>
  </si>
  <si>
    <t>198</t>
  </si>
  <si>
    <t>29-07-2025 18:57:13</t>
  </si>
  <si>
    <t>2c35208bbbfcad58050dd056128b27a98c0c071df0a5230d91c0a9785ec580828d260c17521fdec549dbf5c20d5c17b6</t>
  </si>
  <si>
    <t>5959399112</t>
  </si>
  <si>
    <t>29-07-2025 14:28:43</t>
  </si>
  <si>
    <t>009f081c552a034e63745f5429e661bf25719a77947ec5803a6da5341122c5f63f9c75fb2f119d980ce403896de023d9</t>
  </si>
  <si>
    <t>197</t>
  </si>
  <si>
    <t>28-07-2025</t>
  </si>
  <si>
    <t>28-07-2025 23:30:58</t>
  </si>
  <si>
    <t>1fa43ceda6bce65c0fe1d21caf70e0d7071c3a03da090159c4400e62851747bc7fa564bf7df52d30a2f61921cfcf1072</t>
  </si>
  <si>
    <t>233</t>
  </si>
  <si>
    <t>28-07-2025 23:28:37</t>
  </si>
  <si>
    <t>72960498d5a7b3249a2f358d5dccc69074b479f7262e466d7002e48572d20373f8b1f535dd1aa59a96076507311b290f</t>
  </si>
  <si>
    <t>80722</t>
  </si>
  <si>
    <t>28-07-2025 12:58:35</t>
  </si>
  <si>
    <t>JMALUCELLI TRAVELERS SEGUROS S.A</t>
  </si>
  <si>
    <t>e06973ff0f218ec5d3a600de9844ff75eb3019dce92ea50666aa4eb9d512b75e1a9190efb0d8b82e34fe51755a827e5c</t>
  </si>
  <si>
    <t>80704</t>
  </si>
  <si>
    <t>28-07-2025 11:20:46</t>
  </si>
  <si>
    <t>d3729bd19d935de6512dbe5b5fbe7295418f620cba7cb81607a615078f23651050f480b5521d9328e3b763ed772a3d38</t>
  </si>
  <si>
    <t>217</t>
  </si>
  <si>
    <t>23-07-2025 14:15:52</t>
  </si>
  <si>
    <t>cd893535236b89e50949552633752b71fe797a43f611a7df8eaa528795844345089e96bc557fee1f6f8d5666fff62d40</t>
  </si>
  <si>
    <t>216</t>
  </si>
  <si>
    <t>23-07-2025 14:04:12</t>
  </si>
  <si>
    <t>802006865</t>
  </si>
  <si>
    <t>SUPER INYECCION DIESEL LTDA</t>
  </si>
  <si>
    <t>DIESEL  CAT LIMITADA</t>
  </si>
  <si>
    <t>0461d0032dbda98cdd313d89d3eb460ce26110256c3486ee7df0216e6b79513dc9153c41e9d3e50cfbf9e6b998c42e99</t>
  </si>
  <si>
    <t>1579248</t>
  </si>
  <si>
    <t>11-07-2025 15:32:56</t>
  </si>
  <si>
    <t>fea4fe528921b10e84dd531418310e30c0f0d3e90ddc6b9b5153f49a25d6b0ea62295ba1b4879750cc1678a9c38a2de3</t>
  </si>
  <si>
    <t>1835032</t>
  </si>
  <si>
    <t>11-07-2025 11:31:52</t>
  </si>
  <si>
    <t>229af291578165ecaff317cf2285bb332535e8dff13c1eed78af5847a55513a28cf0d1a9923b7e9e533760f943b3fedc</t>
  </si>
  <si>
    <t>33</t>
  </si>
  <si>
    <t>11-07-2025 10:32:29</t>
  </si>
  <si>
    <t>aae751b5fa8f5fdc8dbd538f0348907716317e883b380cf7396a411c3472ce52f0484d00b8aa64cf2ddfcdf8eb1b14f7</t>
  </si>
  <si>
    <t>3122</t>
  </si>
  <si>
    <t>08-07-2025 09:55:31</t>
  </si>
  <si>
    <t>c520bf4370efdfc0b800fcb0bb17c857f68e6c38d6791c24f0fd0387b3a12ff4128afc7d8b86b74301ca97a765eee96f</t>
  </si>
  <si>
    <t>3121</t>
  </si>
  <si>
    <t>08-07-2025 09:53:38</t>
  </si>
  <si>
    <t>f9d59d3a7c4a7e4b730a20cffc7465ff7919381616c1dc7c6964ec4da1f87cc25cc381190e83cb41796f5f6dee0ea96d</t>
  </si>
  <si>
    <t>47099</t>
  </si>
  <si>
    <t>ETKF</t>
  </si>
  <si>
    <t>07-07-2025 10:21:29</t>
  </si>
  <si>
    <t>1042444884</t>
  </si>
  <si>
    <t>RUIZ SUAREZ LEYDY JOHANA</t>
  </si>
  <si>
    <t>9dfdb069c22031cf7f64a45cf66cc10eb01ee4b3202625c59bb52cdd240bfde3e7fcfb55ae5b3ccd20d078e8cb494749</t>
  </si>
  <si>
    <t>412888</t>
  </si>
  <si>
    <t>02-07-2025</t>
  </si>
  <si>
    <t>02-07-2025 20:01:53</t>
  </si>
  <si>
    <t>abaa5a8bb5c2a9bbd0e1aa9b1285b41655393ecc34ae29011e1ab2b37b1bfffb1985466194108e3a8aef4c32ed09bbec</t>
  </si>
  <si>
    <t>79415</t>
  </si>
  <si>
    <t>01-07-2025 19:43:36</t>
  </si>
  <si>
    <t>e8bc498d173a8f762ce5bc6192f99d416aef42dca3b6b308208df1b6a0575e3c69f90e26bc1cf73c236d356a7b1c40a3</t>
  </si>
  <si>
    <t>79414</t>
  </si>
  <si>
    <t>01-07-2025 19:43:35</t>
  </si>
  <si>
    <t>1cdffdfa85d94fc653b11b743b7132c60b43f4d07c4af42595a2adb84676ccb8a3a87bd4f45ea245317d3eb9be8e91af</t>
  </si>
  <si>
    <t>5949141225</t>
  </si>
  <si>
    <t>29-06-2025</t>
  </si>
  <si>
    <t>29-06-2025 10:54:15</t>
  </si>
  <si>
    <t>3d21c574dc1b65b3e80ff2060368badf808443aa1372426731c02777fc4f250a132a592efac1a553013814440b52f2e5</t>
  </si>
  <si>
    <t>181</t>
  </si>
  <si>
    <t>26-06-2025</t>
  </si>
  <si>
    <t>26-06-2025 18:58:19</t>
  </si>
  <si>
    <t>3b036d98fe5bd542cca3653660c1ddf05271174fdfd789ce041962b6f94646cbd73937ed22fe59f785dcc6709dd547e7</t>
  </si>
  <si>
    <t>106</t>
  </si>
  <si>
    <t>26-06-2025 18:10:27</t>
  </si>
  <si>
    <t>e4887fa8720a1b89e947bac36a686e94769291b03c5614be2508c51c364b756e7d018e183333ddef5bf068751552322c</t>
  </si>
  <si>
    <t>2062</t>
  </si>
  <si>
    <t>26-06-2025 14:53:29</t>
  </si>
  <si>
    <t>583581d1b870c51eaa7cb2830321f3508a04e3a029c8078b5a33d6d657bdeccb807c6744ec626d080d812c3d42720768</t>
  </si>
  <si>
    <t>51255</t>
  </si>
  <si>
    <t>PE54</t>
  </si>
  <si>
    <t>25-06-2025</t>
  </si>
  <si>
    <t>25-06-2025 10:48:43</t>
  </si>
  <si>
    <t>DIESEL CAT</t>
  </si>
  <si>
    <t>e859a62297a535d80adcb919751bf6f8e4957c4af70cc34c70702aeed9ab77ea356360fa6028840f301f21524a005692</t>
  </si>
  <si>
    <t>178</t>
  </si>
  <si>
    <t>24-06-2025 17:22:11</t>
  </si>
  <si>
    <t>849e7908fec34b820625737fbb134da4c5dee4739c6f9f2e4a75eabd8586eae4fc28c57208475a65df8b4b454ee0cdc1</t>
  </si>
  <si>
    <t>177</t>
  </si>
  <si>
    <t>24-06-2025 17:14:27</t>
  </si>
  <si>
    <t>e659801a418c6e3f2b35fd8609ede23209976230dd239b17b488026cf7571f07801aef3eb91e6bc09b9c5197ab45250c</t>
  </si>
  <si>
    <t>17378</t>
  </si>
  <si>
    <t>24-06-2025 15:00:42</t>
  </si>
  <si>
    <t>20baa39f3543de7f92a781ea213d5a89afd1f9faee08b306fda8136b9ca336669c9bf216412f2083362d55bb54b99091</t>
  </si>
  <si>
    <t>176</t>
  </si>
  <si>
    <t>24-06-2025 13:52:19</t>
  </si>
  <si>
    <t>71ad7643abb145772e3a9a5a46e1de51a94b7cd5e797f572bcc6f1ceb6c0befe22e340fe6fd3b217416ccc1aa1d0e2c8</t>
  </si>
  <si>
    <t>175</t>
  </si>
  <si>
    <t>21-06-2025</t>
  </si>
  <si>
    <t>21-06-2025 20:21:05</t>
  </si>
  <si>
    <t>b2ff643239b0afef63f3aafb61ca92349e0407b462b475848e6314128614800352f7d1d25797a4bfbaf295021ddb9a8f</t>
  </si>
  <si>
    <t>174</t>
  </si>
  <si>
    <t>21-06-2025 20:16:30</t>
  </si>
  <si>
    <t>3195e62cd19a1263d3cb95ffef53666e3bd2f9f72c62b869f1b93ac6a5e14e10490b186a9142079caeb05ad6b5c8d49b</t>
  </si>
  <si>
    <t>172</t>
  </si>
  <si>
    <t>20-06-2025 20:44:55</t>
  </si>
  <si>
    <t>5d15d79afd6d41b3fb721c9d635037c9a8a7268d6c0682e7c42dc9c8f8f129115a77c6071e8d8b461ffcbfb1e14c0f64</t>
  </si>
  <si>
    <t>171</t>
  </si>
  <si>
    <t>20-06-2025 20:38:58</t>
  </si>
  <si>
    <t>8d58c4ce0bf3c9b2eccbea33b74ba0c0d47d36e77a3e3f6af0ce8fe92e125cdce952442d11cd4b391ebb839ab2403639</t>
  </si>
  <si>
    <t>170</t>
  </si>
  <si>
    <t>20-06-2025 20:28:53</t>
  </si>
  <si>
    <t>919b59b298775d7281c719271a987e40936e4b98224c82c7eb270fbfcff25fa009e4de68cf8b6b0dadd87c02ff4cc9a2</t>
  </si>
  <si>
    <t>169</t>
  </si>
  <si>
    <t>20-06-2025 18:20:27</t>
  </si>
  <si>
    <t>cf64e32441944b6c26670750c633d08a53b3cb2f645d2406fa2f1af7a8db4b593eb75084a617b1bb8d66432074e3ed9c</t>
  </si>
  <si>
    <t>19-06-2025</t>
  </si>
  <si>
    <t>19-06-2025 18:14:34</t>
  </si>
  <si>
    <t>b22140d7c1c40591730956968080a5443e2f8b9b631bb04996d75d43ac35f7f16d0c3b2cbefef80bbe1ddf74a4e4b428</t>
  </si>
  <si>
    <t>167</t>
  </si>
  <si>
    <t>19-06-2025 18:11:14</t>
  </si>
  <si>
    <t>10b0039155633b91b036bb795bf99a10b3e93f822849469444d44e106b26c10e873c2fc9432d92f2fe00e3de81b2bc4f</t>
  </si>
  <si>
    <t>166</t>
  </si>
  <si>
    <t>19-06-2025 18:07:30</t>
  </si>
  <si>
    <t>4ac1b0ac8cd5190458ac9ce6c38fc773c90edb86068f1e4bb6d9ccd00e8f49188f75ced514c5b2e73ee8a7752ec4d4db</t>
  </si>
  <si>
    <t>105</t>
  </si>
  <si>
    <t>18-06-2025 14:24:25</t>
  </si>
  <si>
    <t>122f6b4d2debe94565b22cc6c80714f5d3382386a2efdd4a0d50f7c42bad77d7d386df2c3148a84b99739439adf36c0f</t>
  </si>
  <si>
    <t>580081</t>
  </si>
  <si>
    <t>5705</t>
  </si>
  <si>
    <t>18-06-2025 14:11:47</t>
  </si>
  <si>
    <t>800239454</t>
  </si>
  <si>
    <t>ASSIST CARD DE COLOMBIA S.A.S.</t>
  </si>
  <si>
    <t>8754ead501c931f2acbd1a7e38b18fde71aeac3908a4e21cf3496aeed09da3b9a1c07b71a530d66a74f362d0159bd328</t>
  </si>
  <si>
    <t>12071</t>
  </si>
  <si>
    <t>13-06-2025 14:09:12</t>
  </si>
  <si>
    <t>d56a716d0fe98a13290ad66a909628161548970c148746b1c0e4e0a652ba602e8424522218367728d137787510502458</t>
  </si>
  <si>
    <t>20496</t>
  </si>
  <si>
    <t>12-06-2025 17:26:57</t>
  </si>
  <si>
    <t>880b7fad7e2b1aedac892f1a9d85bf2bf2f82e654c0e2149a420cfd1434b96fbef48ac9ffb324da8949d6c08fcf5de50</t>
  </si>
  <si>
    <t>21493</t>
  </si>
  <si>
    <t>12-06-2025 15:04:45</t>
  </si>
  <si>
    <t>802009158</t>
  </si>
  <si>
    <t>ABRASIVOS DE LA COSTA LTDA</t>
  </si>
  <si>
    <t>DIESEL CAT L.T.D.A</t>
  </si>
  <si>
    <t>d4917f8994ac16ff63bd0bc7b4db048059369db3b5ebbbeaa55bca6899e2efa31b6f83ac6343730d180ef4e95dfb22c8</t>
  </si>
  <si>
    <t>1076899</t>
  </si>
  <si>
    <t>F5K2</t>
  </si>
  <si>
    <t>12-06-2025 12:35:11</t>
  </si>
  <si>
    <t>900943243</t>
  </si>
  <si>
    <t>SURAMERICA COMERCIAL S.A.S</t>
  </si>
  <si>
    <t>370ff76d7a459179bae12503384fb48f4dbc563d5a5ee46453ca0fd58da3646cc9235adc154f48498c82851d4a045264</t>
  </si>
  <si>
    <t>78624</t>
  </si>
  <si>
    <t>12-06-2025 12:34:36</t>
  </si>
  <si>
    <t>61623654236d0de2f4143d90780f2307028c7160b6efb50474e1ad43af77aece3fe76afff7c351a7ee2c2a430d16d386</t>
  </si>
  <si>
    <t>78623</t>
  </si>
  <si>
    <t>12-06-2025 12:34:35</t>
  </si>
  <si>
    <t>5084ed848b5b0a7bb66f826d8b5f676ac976adcf5609effb7173b497c966904520a8de0fbcd0eba3049aaaa933d99672</t>
  </si>
  <si>
    <t>3082954</t>
  </si>
  <si>
    <t>15</t>
  </si>
  <si>
    <t>11-06-2025 10:57:33</t>
  </si>
  <si>
    <t>890100531</t>
  </si>
  <si>
    <t>EXPRESO BRASILIA S.A.</t>
  </si>
  <si>
    <t>c2b601d25dbce56925b3da4871a48d6b1a4d6ba35ab6ef8433a10961f9c99c845693b5e851d7b7fd3a67a04247476747</t>
  </si>
  <si>
    <t>23634</t>
  </si>
  <si>
    <t>11-06-2025 09:10:47</t>
  </si>
  <si>
    <t>900771063</t>
  </si>
  <si>
    <t>RACORES Y MANGUERAS DE LA COSTA S.A.S.</t>
  </si>
  <si>
    <t>01f46c5e46d40ef66f8833209933d266477928f3e55d04f274472bd887bd690590c9675b28bc2d4b3dc124b92657c020</t>
  </si>
  <si>
    <t>17287</t>
  </si>
  <si>
    <t>06-06-2025 15:21:02</t>
  </si>
  <si>
    <t>ad6f5f1593d3f81448b0e74c668ac2ce298ae9bde1a2112ae2af21293966acd597a14400ee402013fd4525128bfd40ca</t>
  </si>
  <si>
    <t>17402</t>
  </si>
  <si>
    <t>SM</t>
  </si>
  <si>
    <t>06-06-2025 14:28:25</t>
  </si>
  <si>
    <t>900882468</t>
  </si>
  <si>
    <t>SURTI MANGUERAS DE LA COSTA LB SAS</t>
  </si>
  <si>
    <t>63da932167f5cd6e9f31a9bb9c5e9432c3a33d001b6d211a073d90f3ae0e673496def8d7e6e17e467d841adee45d71e1</t>
  </si>
  <si>
    <t>90570</t>
  </si>
  <si>
    <t>G4</t>
  </si>
  <si>
    <t>05-06-2025</t>
  </si>
  <si>
    <t>05-06-2025 12:57:49</t>
  </si>
  <si>
    <t>900261231</t>
  </si>
  <si>
    <t>G SPATH S.A.S.</t>
  </si>
  <si>
    <t>b830cc92b345ef639fd04d975f7bd76e0c857a598ef45cfd8ef3c9a07c5c645c210b55a4608b75f379e6774e32c86216</t>
  </si>
  <si>
    <t>50112</t>
  </si>
  <si>
    <t>CCE</t>
  </si>
  <si>
    <t>04-06-2025</t>
  </si>
  <si>
    <t>04-06-2025 15:04:53</t>
  </si>
  <si>
    <t>802005113</t>
  </si>
  <si>
    <t>80e23f9b03b489ee3b50eb89238cda2608137ee89cf3a6faac62398897e8c45161519a808f1b2367af5ed8cd0948ce4d</t>
  </si>
  <si>
    <t>409764</t>
  </si>
  <si>
    <t>03-06-2025 17:02:46</t>
  </si>
  <si>
    <t>e1cca414196d9f80cd6ee5f631230b7c09ed2c0f777bef5ea84f6f0b45a5e805a87004e26b3b2bed50ae54c81e7bf033</t>
  </si>
  <si>
    <t>83549</t>
  </si>
  <si>
    <t>BQUI</t>
  </si>
  <si>
    <t>03-06-2025 14:22:33</t>
  </si>
  <si>
    <t>800062591</t>
  </si>
  <si>
    <t>NEUMATICA DEL CARIBE S A</t>
  </si>
  <si>
    <t>e038d0c89451a885612fd56c3feefeeb53cdde8236bc1c4ae88388b862079028a2605f198931084bf4af709fa1ad5265</t>
  </si>
  <si>
    <t>20340</t>
  </si>
  <si>
    <t>29-05-2025 17:30:32</t>
  </si>
  <si>
    <t>72da1c9ee4d5b82bad707f659f4568e1cb3f11320220c0ad693d940f7d7b50a3a66de0bb122a0e2bf0ae2c8135faea8b</t>
  </si>
  <si>
    <t>5938962969</t>
  </si>
  <si>
    <t>29-05-2025 14:29:31</t>
  </si>
  <si>
    <t>c8a6ee1d7b4987a14b8b8c5a063a9830252a74d8e842f4f224556eee817b60fd9b279e71bd68ced4d471f6d6b91a81ff</t>
  </si>
  <si>
    <t>1564332</t>
  </si>
  <si>
    <t>26-05-2025 11:00:28</t>
  </si>
  <si>
    <t>26ace0aba6594f350f4a537e7bc2f4c4f18a248c5db191a80cf7a82943c0c8a99e1ab47c95990b7fbef49fbce1356853</t>
  </si>
  <si>
    <t>1802944</t>
  </si>
  <si>
    <t>26-05-2025 10:45:20</t>
  </si>
  <si>
    <t>ece85aded9f370459816c236cc567bcbe7bb2f8223b928769622c70ffd5d018ea1cc41ccdb19db471461b8cdeb49c29b</t>
  </si>
  <si>
    <t>100295089</t>
  </si>
  <si>
    <t>22-05-2025 09:20:53</t>
  </si>
  <si>
    <t>800242106</t>
  </si>
  <si>
    <t>SODIMAC COLOMBIA S.A.</t>
  </si>
  <si>
    <t>diesel cat ltda .</t>
  </si>
  <si>
    <t>014d7aa1a2abfb28296f630ee6feee64468d0ea3429f6d0e5c53d70ab494e7b145349b72b6c109b062c7d12ac9ce7a64</t>
  </si>
  <si>
    <t>3108</t>
  </si>
  <si>
    <t>21-05-2025 13:45:39</t>
  </si>
  <si>
    <t>43ffea5194fa2a4c6e5459b7a5e92181a9471b7efa9886206e65cf6e0ed3b06383084c7c4d0a13f3cd494cd87d442b59</t>
  </si>
  <si>
    <t>5456</t>
  </si>
  <si>
    <t>20-05-2025 11:49:30</t>
  </si>
  <si>
    <t>e3bcb30d8ce2c19b493ab43d924c789a286810f1468f4bc4cc440400a588121b2555836b2b798faaf5b07d6ff0410eae</t>
  </si>
  <si>
    <t>62378</t>
  </si>
  <si>
    <t>SUS</t>
  </si>
  <si>
    <t>19-05-2025 17:56:20</t>
  </si>
  <si>
    <t>900465789</t>
  </si>
  <si>
    <t>SUMINISTROS Y SERVICIOS INDUSTRIALES DE COLOMBIA SAS</t>
  </si>
  <si>
    <t>0acfe9c2a30f53c65876915dc450801eb5de3485c0fd156700072c0e6ac41ab9e07a655560d7e22270da7dc9c4c2c308</t>
  </si>
  <si>
    <t>17040</t>
  </si>
  <si>
    <t>19-05-2025 10:07:22</t>
  </si>
  <si>
    <t>a7ec73caee04519172b64df53ac1222bb5d08a24b5ffb0c4e4a33ada8b5c5aea19c7573e07afaf4c113ea655275ccbd7</t>
  </si>
  <si>
    <t>41226</t>
  </si>
  <si>
    <t>ME</t>
  </si>
  <si>
    <t>16-05-2025 09:21:42</t>
  </si>
  <si>
    <t>SEDE MULTIMATERIALES</t>
  </si>
  <si>
    <t>3cbb89e7f1bbde9abfce9330d07f17ab42d27ee139f854076b6b1bcfb0362390b16131fae1c4ce2bcbb6a635599f2984</t>
  </si>
  <si>
    <t>1560765</t>
  </si>
  <si>
    <t>14-05-2025</t>
  </si>
  <si>
    <t>14-05-2025 19:17:58</t>
  </si>
  <si>
    <t>9a88cd736228041ff89a5842f2b01f7846800adc2899bd1c3c4a6beb645cb88e99a215eb23a5040c5d125d625c637eaa</t>
  </si>
  <si>
    <t>1795226</t>
  </si>
  <si>
    <t>14-05-2025 19:02:56</t>
  </si>
  <si>
    <t>92ec34496845482dfa57c761a3fc2f3f1b4e955b4622f1f409407f968ce36c34cf9de3be587c6395fd65769e767d136c</t>
  </si>
  <si>
    <t>10763</t>
  </si>
  <si>
    <t>5406</t>
  </si>
  <si>
    <t>09-05-2025 09:39:13</t>
  </si>
  <si>
    <t>d1e6411a2ca6607393037c97c9649c91c61a54a848e0f8ad4681d7d5ba9aa681b7941cd8df0bd96f1fed5e5f52ca4e85</t>
  </si>
  <si>
    <t>1208415</t>
  </si>
  <si>
    <t>09-05-2025 08:39:11</t>
  </si>
  <si>
    <t>70356eec64b6846efd584c1161f0c436e99fc4c80ab8026d278052a61edf1be23392bf7dc11041490f2a0ade047b72c7</t>
  </si>
  <si>
    <t>76907</t>
  </si>
  <si>
    <t>05-05-2025</t>
  </si>
  <si>
    <t>05-05-2025 13:15:37</t>
  </si>
  <si>
    <t>960a888f1e69d81805b2878483a2c5aa70868a2851a9137f84b7e92ef155554a392e259f106ca665596378c681d38f2c</t>
  </si>
  <si>
    <t>76906</t>
  </si>
  <si>
    <t>528bdfe93672bfc7b81ac6950a8f42f9caec5c49ae06e3deda5b50e83f1764315c2ccfed9374dc0e0907cedbe2d8331d</t>
  </si>
  <si>
    <t>13269570</t>
  </si>
  <si>
    <t>POL</t>
  </si>
  <si>
    <t>05-05-2025 09:06:24</t>
  </si>
  <si>
    <t>860002180</t>
  </si>
  <si>
    <t>SEGUROS COMERCIALES BOLIVAR SA</t>
  </si>
  <si>
    <t>01a483d95d38042d8a9f8d67636ec264e130146d86a8ad306bf2fa99148c53dac28b3b0a1468fe74903e4d8e7ea7fb56</t>
  </si>
  <si>
    <t>1556795</t>
  </si>
  <si>
    <t>02-05-2025 10:19:06</t>
  </si>
  <si>
    <t>465c52e3c52a07eb7c5680a324046d685e6bf0baf291adae59f77fb7595ab45f18e5198e97e72007dee39a156eab85a4</t>
  </si>
  <si>
    <t>1786833</t>
  </si>
  <si>
    <t>02-05-2025 09:33:46</t>
  </si>
  <si>
    <t>a092c11aeb4ff20c5b760a1b4c77ef4a67ed151d2b15bb5d0877cc8c3041876ee92ff08b9bc109855a34257f7fa6ca99</t>
  </si>
  <si>
    <t>404906</t>
  </si>
  <si>
    <t>30-04-2025 17:13:11</t>
  </si>
  <si>
    <t>c862bdce39f673f2106d054b100e463f154ad451727bc507a5d4117571abe7880e4ce7c8c788cd75c05ae56763adb3c2</t>
  </si>
  <si>
    <t>296672</t>
  </si>
  <si>
    <t>GFV</t>
  </si>
  <si>
    <t>30-04-2025 15:44:20</t>
  </si>
  <si>
    <t>GENERAL DE EQUIPOS DE COLOMBIA S A GECOLSA</t>
  </si>
  <si>
    <t>9a99dda3bdafed302dd632e34e9a151260ff2486d607d034863c4a19e69a932a3c2a4708399bda556ebb59769c841e03</t>
  </si>
  <si>
    <t>140</t>
  </si>
  <si>
    <t>29-04-2025</t>
  </si>
  <si>
    <t>29-04-2025 18:39:25</t>
  </si>
  <si>
    <t>9b4960065b06513b2ea6cd5aa30774fe65d787000b3cfc6a03388acbef7355dcba2b6955d36557fde62fd704a95c2d87</t>
  </si>
  <si>
    <t>139</t>
  </si>
  <si>
    <t>29-04-2025 18:19:31</t>
  </si>
  <si>
    <t>d057e2dcd102d8511eb81c86c877c584bc5fff8be585a1156a1bf2db724adf0651ccc2077f2928bf9ae8f6ab20f1ee6d</t>
  </si>
  <si>
    <t>138</t>
  </si>
  <si>
    <t>29-04-2025 18:05:57</t>
  </si>
  <si>
    <t>82fd8b22dd8f6fa5a3afd5837b68ae1c889d1af09f01b690d42d5d4b800dad08f3d169e2e0175468c3b2190389d21184</t>
  </si>
  <si>
    <t>137</t>
  </si>
  <si>
    <t>29-04-2025 17:52:55</t>
  </si>
  <si>
    <t>a78573341bb05c8ff6dcc86073476be063e7ae8e545a60fcaa1583d18c5db0a79ec9fb24020765e311e48b39cbc0bc7f</t>
  </si>
  <si>
    <t>136</t>
  </si>
  <si>
    <t>29-04-2025 17:33:10</t>
  </si>
  <si>
    <t>cfaf0a5343f302a3ea42fb8971eef4e55ef08c47ab445f35ab9fcc0185eb333dac0f85154fdb36826a6ee338f1824dd5</t>
  </si>
  <si>
    <t>135</t>
  </si>
  <si>
    <t>29-04-2025 17:18:33</t>
  </si>
  <si>
    <t>76318c7ecdf892c8c6eff009c9c9ca9c36b52d60ca790e08b543d26324ae14d82f10193fd06c1e2c02ce68486f43d48e</t>
  </si>
  <si>
    <t>5928896610</t>
  </si>
  <si>
    <t>29-04-2025 14:07:14</t>
  </si>
  <si>
    <t>7dd3fdbe71a6b41f9a698dcc5b5f80f3fd4fddfe8a0fad02d310a14eaee216a7d47415a151a22bc26adb05b33116894b</t>
  </si>
  <si>
    <t>20418</t>
  </si>
  <si>
    <t>29-04-2025 13:45:43</t>
  </si>
  <si>
    <t>8591bfb33feb1f2b521a04da9510039e689149e07cbcab135567e6b40c662780697665b315b42d8d5810e231f832658d</t>
  </si>
  <si>
    <t>192</t>
  </si>
  <si>
    <t>28-04-2025</t>
  </si>
  <si>
    <t>28-04-2025 19:31:34</t>
  </si>
  <si>
    <t>ff40cb719a8118667ce3051c985d670952c318f47daa6aab075666d8863a794e146ea718fc6e8c916ad13812134fd066</t>
  </si>
  <si>
    <t>25-04-2025 18:38:22</t>
  </si>
  <si>
    <t>3fc0d102c2074d2a9a6748f27002e6c36b05059e46afea531c9a867ce0a54e0a45ed5f160dc15f54ffd9be6457a7c84d</t>
  </si>
  <si>
    <t>61585</t>
  </si>
  <si>
    <t>SN1</t>
  </si>
  <si>
    <t>25-04-2025 17:14:13</t>
  </si>
  <si>
    <t>830514859</t>
  </si>
  <si>
    <t>PAPELERIA LA CORAZA SAS</t>
  </si>
  <si>
    <t>be13dfd83dc83aeb6654f614111da12f4990a3982e083a22dfe6692b4cfac80f43e069cd925eea8721e8cac3d2c18301</t>
  </si>
  <si>
    <t>1782173</t>
  </si>
  <si>
    <t>25-04-2025 10:46:20</t>
  </si>
  <si>
    <t>a2a1ae78b7a00972a0971736892387ed0678a1012ae7817f7b99c2e46e385cb2e473a3e8548207fa3c6d695a6c5ba5e6</t>
  </si>
  <si>
    <t>189</t>
  </si>
  <si>
    <t>24-04-2025</t>
  </si>
  <si>
    <t>24-04-2025 20:21:13</t>
  </si>
  <si>
    <t>06bdf9595515e39080febc689f134cd29c091a2136872e9aeb4894b183e270893a0d057442d58458787fed336f65d064</t>
  </si>
  <si>
    <t>1554634</t>
  </si>
  <si>
    <t>24-04-2025 11:16:34</t>
  </si>
  <si>
    <t>8d8c88f36fd3e283cff093e62e5d7e2f4d40e72735a89c5df12d3e603534ce6e3d256c6686a035049dc28073f34d177c</t>
  </si>
  <si>
    <t>1781130</t>
  </si>
  <si>
    <t>24-04-2025 11:16:29</t>
  </si>
  <si>
    <t>74f0418c5007d931e27b66db3deb474ddd5feb4f91f177b2cfe66edf4653cd022ece2f28fe9e15608a5d8740c79ae38a</t>
  </si>
  <si>
    <t>1780558</t>
  </si>
  <si>
    <t>23-04-2025 16:16:48</t>
  </si>
  <si>
    <t>e6eb9d55255e4e02ce24be6c9b76393deb9af6abb34bb6b88723d24aeff74ae8d501f8f7bffd48b67e2b4e1b182cfea3</t>
  </si>
  <si>
    <t>1554340</t>
  </si>
  <si>
    <t>23-04-2025 16:16:44</t>
  </si>
  <si>
    <t>3893fd71c2dd2333e65c54749738b4bdde082f1853ac4aa8f5d864d2da9089433160936b14024dd1cee9b1cb6f8e682f</t>
  </si>
  <si>
    <t>188</t>
  </si>
  <si>
    <t>23-04-2025 12:35:08</t>
  </si>
  <si>
    <t>fdbd53e1442377021cb884b603b9cebfa2fb9c88b7fe78faa3fea2131d155d3f33377b9044ac36fbd8a4eddff270683d</t>
  </si>
  <si>
    <t>18104</t>
  </si>
  <si>
    <t>23-04-2025 11:09:01</t>
  </si>
  <si>
    <t>7c19d14cffea5987642b63f6d6129b9b3574cd156a48b424da8023cf3d19e2651bdef3e332d6ea0b0fa921b6a0a439be</t>
  </si>
  <si>
    <t>1777520</t>
  </si>
  <si>
    <t>16-04-2025</t>
  </si>
  <si>
    <t>16-04-2025 11:02:41</t>
  </si>
  <si>
    <t>cb67968967e698cfc8bde3ef3d6bd2ef25056b57b2e2f5c253deb8fb5eb99f70cdf397cad252b660f6de7a6daee6f2fe</t>
  </si>
  <si>
    <t>1777513</t>
  </si>
  <si>
    <t>16-04-2025 11:02:27</t>
  </si>
  <si>
    <t>5ce61cb1136c84ffa1ad33e02c605e74c7326f9d8e5edd41f0bacb540daef460ac95d03fcc7d532bcc1e0e3cece4affd</t>
  </si>
  <si>
    <t>1552770</t>
  </si>
  <si>
    <t>16-04-2025 11:02:16</t>
  </si>
  <si>
    <t>3c0cadfca420509d655a29df8c8e6e61192254b1798e7da963df57cff47e210892184b9edc8d7789e3daa065ddbfc69d</t>
  </si>
  <si>
    <t>1552775</t>
  </si>
  <si>
    <t>16-04-2025 11:02:15</t>
  </si>
  <si>
    <t>866c1f57c7ea40953bf24a6c582dfbda6e7eb3761c79c9ef220dce599515c43ec17285305fdcf7d879bf8053d902fcf8</t>
  </si>
  <si>
    <t>1777527</t>
  </si>
  <si>
    <t>16-04-2025 11:02:11</t>
  </si>
  <si>
    <t>46e6fdd8620e651994bc2489ce03b5ce25f453e5b9acaaf0bbddaa8ed46a4a1fc3e48fdb2963b92609587f2d9e89abe4</t>
  </si>
  <si>
    <t>1777505</t>
  </si>
  <si>
    <t>16-04-2025 10:49:08</t>
  </si>
  <si>
    <t>17da3c31133b29ff478d84a0d5c0159448dd2d7f7013a938b884830a9b571a22f6a1e257045378eca494d95ddbaba60e</t>
  </si>
  <si>
    <t>1552767</t>
  </si>
  <si>
    <t>f8dbfa3ffd1fdbebd8cdb1205b73de12b0e40438e20d78e6733521e058967f60adc5920933a55bc038b81a6064aa179b</t>
  </si>
  <si>
    <t>75723</t>
  </si>
  <si>
    <t>EHA</t>
  </si>
  <si>
    <t>43</t>
  </si>
  <si>
    <t>11-04-2025 12:44:45</t>
  </si>
  <si>
    <t>8674041</t>
  </si>
  <si>
    <t>ENRIQUE HENRIQUEZ ARAZO</t>
  </si>
  <si>
    <t>bceeffaa752ec8811563eb0cf23a2002b634b38c38bd1494a3fa3481c513190c7e2244b6352e3874aac5cddc523d1f1d</t>
  </si>
  <si>
    <t>1189619</t>
  </si>
  <si>
    <t>10-04-2025 17:34:12</t>
  </si>
  <si>
    <t>24ac8370b34684ce7824ec05a161867bf3473518615cc2833f3cbaad6e5570a140a2030d839b99a31b546fb3e445582d</t>
  </si>
  <si>
    <t>1772389</t>
  </si>
  <si>
    <t>09-04-2025 16:30:59</t>
  </si>
  <si>
    <t>b2bef102ebfd2e65f6fbdaa822284314a7fb2b1a898caef30f51c9b9bf9a29b8bbb960b2c34ca16de8f4e54159a29d00</t>
  </si>
  <si>
    <t>1550494</t>
  </si>
  <si>
    <t>09-04-2025 16:30:57</t>
  </si>
  <si>
    <t>d2e1cbf3f08c7925d5dc4951aecb781b6b2bcf3c2d21cbc1aa642d9d7e91b17f971a66b83c5e72332e2afee4ff9a1bdc</t>
  </si>
  <si>
    <t>1772271</t>
  </si>
  <si>
    <t>09-04-2025 15:20:34</t>
  </si>
  <si>
    <t>08fc4d69329e6c1c809f80920492856f406dac541161601368bd2e5d6ade1da09d02878445b12ca2c5fca094f60fcabf</t>
  </si>
  <si>
    <t>1550454</t>
  </si>
  <si>
    <t>09-04-2025 15:20:27</t>
  </si>
  <si>
    <t>9c3650cd1fa136172161b8698d6f5cb300aa8c71540fd7278cec4bc867974312d38ddd25f3d208ba0223830119cd0883</t>
  </si>
  <si>
    <t>20397</t>
  </si>
  <si>
    <t>05-04-2025</t>
  </si>
  <si>
    <t>05-04-2025 15:45:05</t>
  </si>
  <si>
    <t>bb3b27e89e37e35a4a7c9192c2e5dfa6465d4445b66d31510b68a48ff88a9edb8dc8977db518ac30200e04b053e86108</t>
  </si>
  <si>
    <t>144716</t>
  </si>
  <si>
    <t>04-04-2025 16:48:54</t>
  </si>
  <si>
    <t>17103fc6ea6e787696255c457650d18efcc4b69ffa6adf00fdd3e6ba64022f7fe30ada1c99784e33454aa07bc8ff8e4f</t>
  </si>
  <si>
    <t>402108</t>
  </si>
  <si>
    <t>03-04-2025</t>
  </si>
  <si>
    <t>03-04-2025 14:40:05</t>
  </si>
  <si>
    <t>02-04-2025</t>
  </si>
  <si>
    <t>71becf1d6e864c99039fdc3708ce6114840c9c6b469d75b0fc6d5755da41f50eb510db44967b78a958163ec473ef9eb3</t>
  </si>
  <si>
    <t>8670</t>
  </si>
  <si>
    <t>02-04-2025 18:39:42</t>
  </si>
  <si>
    <t>d9893e3c5410e53115786e56bacdff5096784eb4d02d93fd62bd6c1c4c004c0c935785ded5575c00222e910d0a51b2b2</t>
  </si>
  <si>
    <t>75577</t>
  </si>
  <si>
    <t>02-04-2025 18:31:47</t>
  </si>
  <si>
    <t>8be8c1c5ede33af677312fcc89ad61baef4fe1f28a19439342f7f44aea30d4f51d834833d6dd2b9badbb3c1123a53aad</t>
  </si>
  <si>
    <t>75576</t>
  </si>
  <si>
    <t>02-04-2025 18:31:46</t>
  </si>
  <si>
    <t>45bf9640f4c1827655571a2e6b9ea16df410a8cd58af86247de2f9e2e5897860a102d16677623a7950c3794b2699dd3a</t>
  </si>
  <si>
    <t>1179635</t>
  </si>
  <si>
    <t>02-04-2025 16:04:32</t>
  </si>
  <si>
    <t>e96e1ec2c6f5837ec6d001468d43f488085972ad381b1c6837001be27fe961918e6b52a2b9f7e08bc780f8df4ae8bd9a</t>
  </si>
  <si>
    <t>12985226</t>
  </si>
  <si>
    <t>02-04-2025 15:46:09</t>
  </si>
  <si>
    <t>43d05502594e3fe59fb4fe5948fa0962c95a5a24e2beb6c1ff3a2afc970c3293a3e2abd61332557dd83ee6296496763c</t>
  </si>
  <si>
    <t>02-04-2025 00:10:13</t>
  </si>
  <si>
    <t>3b0b184d9aac40b1267ee43f36870baf525efc7ff303e799d5ac8942a50dedcd1cef811fcb54a2c7803f9c767045e8b8</t>
  </si>
  <si>
    <t>16435</t>
  </si>
  <si>
    <t>01-04-2025 16:16:17</t>
  </si>
  <si>
    <t>76d8794c736b8ebeecdb671c4e889d3699583ce97549791fc1a0b8875c8b504a55d9015409726bb67d6c790d624a4129</t>
  </si>
  <si>
    <t>7106</t>
  </si>
  <si>
    <t>QE</t>
  </si>
  <si>
    <t>01-04-2025 15:57:35</t>
  </si>
  <si>
    <t>900159184</t>
  </si>
  <si>
    <t>IMPORTACIONES Y EXPORTACIONES MUNDO INDUSTRIAL SAS</t>
  </si>
  <si>
    <t>1c9fd78fa4a423976512010ebf026db87e8800a73ff17785066c670a5ee67343baeaa0bc9c021cdd9fbbd003da3632c6</t>
  </si>
  <si>
    <t>5634</t>
  </si>
  <si>
    <t>01-04-2025 13:57:32</t>
  </si>
  <si>
    <t>BYOMEDIC INTEGRAL IPS S.A.S.</t>
  </si>
  <si>
    <t>4cfc39c925a916462b1d9132c118cba7a232f47b3818e5045cab493a704e86f31b4270e2dabba15b822c9361ed9e79ff</t>
  </si>
  <si>
    <t>5918531309</t>
  </si>
  <si>
    <t>29-03-2025</t>
  </si>
  <si>
    <t>29-03-2025 23:32:38</t>
  </si>
  <si>
    <t>1a248229a98eac98a183e6249d6ef9b4bbee62b21da31b4e0cae7e577e8efca224a7963321a43f19ca68f84dcc32351e</t>
  </si>
  <si>
    <t>40036995</t>
  </si>
  <si>
    <t>CO04</t>
  </si>
  <si>
    <t>26-03-2025</t>
  </si>
  <si>
    <t>26-03-2025 20:18:31</t>
  </si>
  <si>
    <t>860012336</t>
  </si>
  <si>
    <t>INSTITUTO COLOMBIANO DE NORMAS TECNICAS Y CERTIFICACION ICONTEC</t>
  </si>
  <si>
    <t>a27dc551796e2642348660377c368c84d2c75c62118e6db97a944f9a32e5f74a039cbbdc42047eb316e5f3f996172331</t>
  </si>
  <si>
    <t>564263</t>
  </si>
  <si>
    <t>21-03-2025</t>
  </si>
  <si>
    <t>21-03-2025 16:48:47</t>
  </si>
  <si>
    <t>92fdef2cf8070b95d704e04cb70f72df5df8ff0e4663d1ddf87de0076eada1010311357e16fa387c892ab6201e2faad6</t>
  </si>
  <si>
    <t>6014</t>
  </si>
  <si>
    <t>20-03-2025 21:19:33</t>
  </si>
  <si>
    <t>7d7e7174954d0de40c2939d0f0355f6d6085d92c2a0f7ea88d2a69ece19007accc4bd08d7b962a3df2388eae37b840e8</t>
  </si>
  <si>
    <t>14545</t>
  </si>
  <si>
    <t>FE01</t>
  </si>
  <si>
    <t>19-03-2025 14:27:09</t>
  </si>
  <si>
    <t>800149760</t>
  </si>
  <si>
    <t>RESINAPLAST PINTUMAX LIMITADA</t>
  </si>
  <si>
    <t>41ee142eeee30c52222cda12caf89211a39f70b74729b798cbc393408c8eadc4ae741b802feb98e13bb8430abe6609d4</t>
  </si>
  <si>
    <t>14544</t>
  </si>
  <si>
    <t>19-03-2025 14:24:09</t>
  </si>
  <si>
    <t>23f179595f171eca5c957c5ff19e725810927d03e655262e9b2f6df496cd276c295ef7df6b4792ed83bafc3e06d915e9</t>
  </si>
  <si>
    <t>10305</t>
  </si>
  <si>
    <t>17-03-2025</t>
  </si>
  <si>
    <t>17-03-2025 18:39:20</t>
  </si>
  <si>
    <t>fa81cb4be63762783db05ea88be61b7cc0f065ea44f73d3c4d577aefe27af01bdb09d0004bde1a807610ffcc3692724e</t>
  </si>
  <si>
    <t>11604</t>
  </si>
  <si>
    <t>14-03-2025 16:48:28</t>
  </si>
  <si>
    <t>d3b94732c7b067e88f076ffeec2edd09eb7c6c60544edafd13e15f6b66a68177c908ad7b9d02a6b3ebd13838cb29bf53</t>
  </si>
  <si>
    <t>10289</t>
  </si>
  <si>
    <t>14-03-2025 15:12:42</t>
  </si>
  <si>
    <t>5a884d74d859d2afe76f8047f9fa2531e35d661da04c01e85c6247249ff99d0a0399945b64ba0b7f8e90a66002305f02</t>
  </si>
  <si>
    <t>144508</t>
  </si>
  <si>
    <t>13-03-2025</t>
  </si>
  <si>
    <t>13-03-2025 14:06:34</t>
  </si>
  <si>
    <t>f3cef8853edf2669ae8e27118356402ffede8ef70357e8830a2627f3d5b5f9b79b5bed6fbac902eaa378ef2fdaf4a6bc</t>
  </si>
  <si>
    <t>10280</t>
  </si>
  <si>
    <t>13-03-2025 13:28:29</t>
  </si>
  <si>
    <t>599e8c1185517cd49126900998547201a018517e33902224719c424686e1075eb1e3fb06f6a4715f822051f8e7c06aec</t>
  </si>
  <si>
    <t>2976</t>
  </si>
  <si>
    <t>12-03-2025 19:05:54</t>
  </si>
  <si>
    <t>cec6f0cd4178b5f0f7c2a7bdd78dab5218cc80eb2cdd3244c4657f51e8468391d4705d91f92c6f8a505baf7b3a5fd453</t>
  </si>
  <si>
    <t>26184</t>
  </si>
  <si>
    <t>5407</t>
  </si>
  <si>
    <t>11-03-2025</t>
  </si>
  <si>
    <t>11-03-2025 19:30:25</t>
  </si>
  <si>
    <t>1b7596fb5332dee4d987c77098223d4ca23aff93b6a53fd48830da9cf2c240d0200f77a64a584d91cef952e74bd22fae</t>
  </si>
  <si>
    <t>26132</t>
  </si>
  <si>
    <t>11-03-2025 14:59:07</t>
  </si>
  <si>
    <t>851b27156245b761152029f95428bc80b101a190dc1112a8899d54c056ae46e52a225f7cca2d6a11b6de96473106e03c</t>
  </si>
  <si>
    <t>8507</t>
  </si>
  <si>
    <t>11-03-2025 12:38:28</t>
  </si>
  <si>
    <t>55bc203863294ef37c44e33abcc3325a6b17ce5f256d4f7547177bbfa551d381f5f2e98b75b7887698c3fd228100e13c</t>
  </si>
  <si>
    <t>8471</t>
  </si>
  <si>
    <t>06-03-2025 20:50:17</t>
  </si>
  <si>
    <t>11b4ad3b65c4ee182105458417f1a1239f2fc25c2905531e0d21569c7070c826addf32e8cc8573f272f045b6087f26de</t>
  </si>
  <si>
    <t>162337</t>
  </si>
  <si>
    <t>05-03-2025</t>
  </si>
  <si>
    <t>05-03-2025 21:27:28</t>
  </si>
  <si>
    <t>e1b8755cdf3781024714525defa0c16f14a7ec4be5225059cf98c2590fef44611427aa9df2d0770bd13c6d127877de12</t>
  </si>
  <si>
    <t>399101</t>
  </si>
  <si>
    <t>03-03-2025</t>
  </si>
  <si>
    <t>03-03-2025 12:38:58</t>
  </si>
  <si>
    <t>89386723522eda410b496051dfd676d7fa3ebcac2ca73608912d80b053496dfd93d6e85ae45103a701497aa0d30dc7f5</t>
  </si>
  <si>
    <t>16130</t>
  </si>
  <si>
    <t>01-03-2025</t>
  </si>
  <si>
    <t>02-03-2025 00:26:45</t>
  </si>
  <si>
    <t>4f41f57e830ecb88eeb513bba4e888015dd622832a442d69fe981092b651fe6899e0b20fa8a9c2b9b2734ec96c6cfe8e</t>
  </si>
  <si>
    <t>5908568794</t>
  </si>
  <si>
    <t>01-03-2025 11:19:29</t>
  </si>
  <si>
    <t>0dbf12990c486c1d2ab060059d29c2af9c8d64bce7e60bfc6499cf61ed4a1d68afb445736dad1651e987f93445a557b9</t>
  </si>
  <si>
    <t>144393</t>
  </si>
  <si>
    <t>28-02-2025</t>
  </si>
  <si>
    <t>28-02-2025 17:54:28</t>
  </si>
  <si>
    <t>dd90015c05902441ba9cba910961ee814ccdae6fe4551e5fe75b7d7d513bb9103edbe8f4b7c19d7b9f0172ad15f81a24</t>
  </si>
  <si>
    <t>16115</t>
  </si>
  <si>
    <t>28-02-2025 14:29:24</t>
  </si>
  <si>
    <t>d97242ecffc6c907dd5a06ed7edbee1651959811e5899a060d6dd76c073011e07fee1021fcff34fcea52b74a10df845c</t>
  </si>
  <si>
    <t>36457</t>
  </si>
  <si>
    <t>27-02-2025</t>
  </si>
  <si>
    <t>27-02-2025 19:57:30</t>
  </si>
  <si>
    <t>a6e724e93473b78be71d906331290d70afb8a4ada85b66ef399f34fa5bd53ab7c62bdb74029c563b415d7f3281440b6f</t>
  </si>
  <si>
    <t>5598</t>
  </si>
  <si>
    <t>27-02-2025 15:58:15</t>
  </si>
  <si>
    <t>4d61e1438b9d21c026b5b18b0fabbfaaba922fcef7b89f12e2c4a510245cfee6fff0413d7ff2a40bac78ef7fb81172c9</t>
  </si>
  <si>
    <t>5971</t>
  </si>
  <si>
    <t>26-02-2025</t>
  </si>
  <si>
    <t>26-02-2025 16:07:23</t>
  </si>
  <si>
    <t>62338ac07afaaebdbbc7984c33bc93985be6b180aa767a80efccc1c2dbd75ec18c22f29ef46b19d3613e786b3941c2f5</t>
  </si>
  <si>
    <t>210</t>
  </si>
  <si>
    <t>26-02-2025 14:34:11</t>
  </si>
  <si>
    <t>a4a729a1121aa1aa0a9739e2f024024e46e7d6234abb981a42a5fbb6796a483b7b8aa0cde179119359687da8e46fb83f</t>
  </si>
  <si>
    <t>211</t>
  </si>
  <si>
    <t>26-02-2025 14:39:51</t>
  </si>
  <si>
    <t>9b0d3145f80b0d5f6b3134f908bc6b931a2774a77d2f7867cb9c9b1602ff4c8d647fc4a5bb99b7bb8cf50790381f6149</t>
  </si>
  <si>
    <t>26-02-2025 14:09:59</t>
  </si>
  <si>
    <t>0007066e119016633820a95be661f22be7bd6c65b243844db4bf866e277800d37069234a65201d0a159e4047c7c07a4a</t>
  </si>
  <si>
    <t>26-02-2025 14:05:45</t>
  </si>
  <si>
    <t>30f1bdfa061fe1a0ac9c57b3af58981a7e213199b92cee562458a96ba89ee4d4624d7fe626264152c8996f20064fcfee</t>
  </si>
  <si>
    <t>19263</t>
  </si>
  <si>
    <t>25-02-2025</t>
  </si>
  <si>
    <t>25-02-2025 22:22:38</t>
  </si>
  <si>
    <t>DIESELCAT  LTDA</t>
  </si>
  <si>
    <t>03da08cdc9a942986076b2506a9739d3c9519e70fbc5ea0eb6b28505cc4add126de6743da371e8391aa2121d57ed258b</t>
  </si>
  <si>
    <t>209</t>
  </si>
  <si>
    <t>25-02-2025 19:30:34</t>
  </si>
  <si>
    <t>0365fd868d7096d0c96594ecf6c2227f4b4bb0fe7c8c85a4f6a567f7e73387ec5ac01870e207cd4e88ad0d5a51eee945</t>
  </si>
  <si>
    <t>25-02-2025 18:01:00</t>
  </si>
  <si>
    <t>367aab2b46d4c7be4e856cfdd532e112de52df14d2f96f069e0625adb325860039dc0e7ead80b5fc9eae942f3a735231</t>
  </si>
  <si>
    <t>25-02-2025 16:53:39</t>
  </si>
  <si>
    <t>479808bce54508017defc920f7c3ce210feb155a2ee6643f2b797922840ff0a07c949a4fbde22cf3cd5b21ea83a69f1c</t>
  </si>
  <si>
    <t>11501</t>
  </si>
  <si>
    <t>24-02-2025</t>
  </si>
  <si>
    <t>24-02-2025 19:05:50</t>
  </si>
  <si>
    <t>844fed5358b12460f1dd657f82cb5deb9768d275cf44deeb594e274f911dbe8d51b994992cba50c8f116afd5d87dd5d6</t>
  </si>
  <si>
    <t>5950</t>
  </si>
  <si>
    <t>24-02-2025 18:34:19</t>
  </si>
  <si>
    <t>afa61ebe5ade50a31499c3f00ca122e3ed107f7e166c6fa053db47161506727dbd3111c4670c898db923baf770f1b5e0</t>
  </si>
  <si>
    <t>6913</t>
  </si>
  <si>
    <t>22-02-2025</t>
  </si>
  <si>
    <t>22-02-2025 15:12:59</t>
  </si>
  <si>
    <t>43cab36f1a3287cdadaf650895700e30d1e4cdb2024948451e92d569e284336a18adf28ba3ec6a6f925c8b2289131dbb</t>
  </si>
  <si>
    <t>6885</t>
  </si>
  <si>
    <t>19-02-2025</t>
  </si>
  <si>
    <t>19-02-2025 15:22:16</t>
  </si>
  <si>
    <t>4df5d786f558fd3752c345c58ad02140f2eb0c11245c097527221f734c0d039da2304279614044cdfd1a35c16f63456b</t>
  </si>
  <si>
    <t>10167</t>
  </si>
  <si>
    <t>18-02-2025</t>
  </si>
  <si>
    <t>18-02-2025 16:03:55</t>
  </si>
  <si>
    <t>2b32b18c9ef3dbe30b11d3fbdc25401008a6574fd0698eb6f015a02c4b950d814f7eae2c811fc36c2e52aff844b9a0ab</t>
  </si>
  <si>
    <t>144306</t>
  </si>
  <si>
    <t>17-02-2025</t>
  </si>
  <si>
    <t>17-02-2025 21:12:21</t>
  </si>
  <si>
    <t>047ee6083a274d6483da08488326f06fcc4d079f02c5242f657251818a68ab8e4559a4cbc578c1585af1df756e3e283a</t>
  </si>
  <si>
    <t>5092</t>
  </si>
  <si>
    <t>17-02-2025 16:45:45</t>
  </si>
  <si>
    <t>f3245dc5509effd823b6817593b96320cd1a51f3dce1e2e6bfd6887753f55d0c7e524c00aed1e39effa8a180461daf52</t>
  </si>
  <si>
    <t>1147102</t>
  </si>
  <si>
    <t>YUB1</t>
  </si>
  <si>
    <t>13-02-2025 16:17:56</t>
  </si>
  <si>
    <t>800099903</t>
  </si>
  <si>
    <t>CARVAJAL EDUCACION S.A.S.</t>
  </si>
  <si>
    <t>DIESEL CAT LTDA CAT LTDA</t>
  </si>
  <si>
    <t>3f53073367339c1a801009c7cd14713006b2cf12f8eec3bcaeda5b74655099999c2a785006ec001671a0c068e124c2e0</t>
  </si>
  <si>
    <t>1123932</t>
  </si>
  <si>
    <t>13-02-2025 15:33:17</t>
  </si>
  <si>
    <t>20fc309e3f99ddfef7af2075eaac3acabc43f73e4d560a4194f1792840598a51795c509cfe5cfd7d0c5d2e303812470f</t>
  </si>
  <si>
    <t>5915</t>
  </si>
  <si>
    <t>11-02-2025 21:16:51</t>
  </si>
  <si>
    <t>d72bbb7910e0c66dcb595dcd164bc6969d2bf59d9a414add63d848419f1fd65fb710eab7e0749846a6b560212d6823f2</t>
  </si>
  <si>
    <t>34368</t>
  </si>
  <si>
    <t>10-02-2025</t>
  </si>
  <si>
    <t>10-02-2025 19:36:45</t>
  </si>
  <si>
    <t>890704196</t>
  </si>
  <si>
    <t>AEROVIAS DE INTEGRACIÓN REGIONAL S.A.</t>
  </si>
  <si>
    <t>Documento equivalente - Transporte aéreo de pasajeros</t>
  </si>
  <si>
    <t>35511aba8f49ad1130f8f365af3cb7ed3c9b2f970a55d70bfdfe66cf000504faef656bae5586b8384c371456cecace7f</t>
  </si>
  <si>
    <t>EFCC1090925</t>
  </si>
  <si>
    <t>07-02-2025 18:36:05</t>
  </si>
  <si>
    <t>fce18f53bb6867b2e5e66a48b9fe00977944319883b822b3b01e10926518e082a30b92c40871001ded9c96c464702cd2</t>
  </si>
  <si>
    <t>EFCC1090826</t>
  </si>
  <si>
    <t>07-02-2025 18:18:58</t>
  </si>
  <si>
    <t>95f1d9b07fe5bf20124dd3761164e0ad294decac205fe5a8adadf77519526c7a6c6c481a3ce5e6899967f78f09c90364</t>
  </si>
  <si>
    <t>9</t>
  </si>
  <si>
    <t>COOP</t>
  </si>
  <si>
    <t>07-02-2025 17:01:17</t>
  </si>
  <si>
    <t>900139984</t>
  </si>
  <si>
    <t>CENAP CTA</t>
  </si>
  <si>
    <t>Diesel Cat Limitada</t>
  </si>
  <si>
    <t>d50aa2ff75d31e5e258828272a9c4c860f0886f1abf761eb17c16a37730e80308d2ff028c8e2a5379e338ea5a5ce66ba</t>
  </si>
  <si>
    <t>6489</t>
  </si>
  <si>
    <t>5405</t>
  </si>
  <si>
    <t>06-02-2025</t>
  </si>
  <si>
    <t>06-02-2025 14:46:19</t>
  </si>
  <si>
    <t>4f74e0fcf034c6af63af7469160210d1cfc16b14b3e1b1d97892c1f07d64f8542a8b0aedc95bad1ec25e4f3396785878</t>
  </si>
  <si>
    <t>43129</t>
  </si>
  <si>
    <t>05-02-2025</t>
  </si>
  <si>
    <t>05-02-2025 21:22:15</t>
  </si>
  <si>
    <t>5b12ba5dfb66e3e037355edb7e69c996241be3c26de584d60ba058b62c71ecf574cbc2b4b9c66233fa174e12d62709c2</t>
  </si>
  <si>
    <t>33615</t>
  </si>
  <si>
    <t>05-02-2025 15:27:02</t>
  </si>
  <si>
    <t>6745804c8e94a23419c8716b532b9893a65acd79277a174fd87cad726715d726b37c296a71bcd2e810689e464987302f</t>
  </si>
  <si>
    <t>33591</t>
  </si>
  <si>
    <t>05-02-2025 14:42:52</t>
  </si>
  <si>
    <t>cfad2d821bd64e7fd007e3a363db6b9a7a3b0930a84e6287e20a5b5f4bcbf07fd8f43501e7cbc9d12f61d68b5b394aa4</t>
  </si>
  <si>
    <t>394833</t>
  </si>
  <si>
    <t>03-02-2025 21:00:23</t>
  </si>
  <si>
    <t>01c3fb3f5bc7784e230af4b186c34d876d0c27459f78c5c4d3050534696f741338c5db5bec1fdeaa143ec869a9657505</t>
  </si>
  <si>
    <t>74603</t>
  </si>
  <si>
    <t>03-02-2025 14:30:19</t>
  </si>
  <si>
    <t>c9ed24c6ede1498bb21ba62aff707c0db66047460474b608d4c33064f6bc1b981ff772dd090e7b09f05a9a63e3357c9e</t>
  </si>
  <si>
    <t>15803</t>
  </si>
  <si>
    <t>01-02-2025</t>
  </si>
  <si>
    <t>01-02-2025 22:03:47</t>
  </si>
  <si>
    <t>e641520089a019f733fed35985809480346273b9cb7e665197b9323120b38646d373233ed0998063f29cfcebcad20f8b</t>
  </si>
  <si>
    <t>173</t>
  </si>
  <si>
    <t>31-01-2025</t>
  </si>
  <si>
    <t>01-02-2025 00:01:40</t>
  </si>
  <si>
    <t>60be51e8e9ceb36d03c5f908a089adfc56f7b66538e3d9c6149541953895d95b6ec3290f698f40c6bcbfa7f10264c93a</t>
  </si>
  <si>
    <t>30-01-2025</t>
  </si>
  <si>
    <t>31-01-2025 02:31:08</t>
  </si>
  <si>
    <t>ac2cf3368a6153f76a140796c1863a7ae1b47b3a89fb02eac99b9eb7e1d2cc7f14692e90198d372979ef5229ae8517a3</t>
  </si>
  <si>
    <t>5898636832</t>
  </si>
  <si>
    <t>29-01-2025</t>
  </si>
  <si>
    <t>30-01-2025 04:12:18</t>
  </si>
  <si>
    <t>a90a806f1f9ce931986f1cf736148aadadd53924b8225d4647270050012077b1272d3c224cf6d74fc4a09abb4b51c316</t>
  </si>
  <si>
    <t>74523</t>
  </si>
  <si>
    <t>29-01-2025 17:08:01</t>
  </si>
  <si>
    <t>6d8d2beb4205de9b9788219200bec8b71b7024d1235095ac010824ae38118bf0ff1581153a85271534ea12ef0bac0209</t>
  </si>
  <si>
    <t>27-01-2025</t>
  </si>
  <si>
    <t>27-01-2025 17:44:43</t>
  </si>
  <si>
    <t>c340dcdc1d5c844cc14e1a9805d7885b45946ad572d31c6c8effd33c59727ab0d920f2e90f635ed20b69f5daf68f569c</t>
  </si>
  <si>
    <t>161046</t>
  </si>
  <si>
    <t>24-01-2025 16:33:13</t>
  </si>
  <si>
    <t>f1bb566cc93d0e9feb5926cde33eb98f78987a9eb9f9af95d1b31a1aefaeae442fb2d4ac33ad02b83e87e4372e3bb926</t>
  </si>
  <si>
    <t>42363</t>
  </si>
  <si>
    <t>23-01-2025</t>
  </si>
  <si>
    <t>23-01-2025 21:52:56</t>
  </si>
  <si>
    <t>PAPELERIA LA CORAZA</t>
  </si>
  <si>
    <t>e1f1af6a0726adec5a1e64735a3abbde51773d18806df8b49c80b5d8b303b683c53edccd9c49735b2099197dbc668456</t>
  </si>
  <si>
    <t>31279</t>
  </si>
  <si>
    <t>23-01-2025 17:13:37</t>
  </si>
  <si>
    <t>dfb13508ab63ea8c259f53cee50d9b9fc115aa3b17e8467f1452017c423d42e7c89353812cafa045bbf52fae5ff91c97</t>
  </si>
  <si>
    <t>10023</t>
  </si>
  <si>
    <t>23-01-2025 14:36:43</t>
  </si>
  <si>
    <t>47382b84442039922891aa608008e436f117c6b272e2ff8e2311df66784910f2dce04b764da8d7e99b821ab209cabbe7</t>
  </si>
  <si>
    <t>144021</t>
  </si>
  <si>
    <t>21-01-2025 17:27:26</t>
  </si>
  <si>
    <t>7d6501b02852f90e02e0d99a82c921823c77a7dda83f8456710d5ad5844d73dd8418ef8a2eb8a80d06227a64f0ea0da1</t>
  </si>
  <si>
    <t>4917</t>
  </si>
  <si>
    <t>17-01-2025 21:14:50</t>
  </si>
  <si>
    <t>1c33b0605d5ace39010f5de81730bd8724f7d8f17475df4f51d06b75ef0bb6e42435228f1057a8d6d2d5e4d6b823cb9e</t>
  </si>
  <si>
    <t>11281</t>
  </si>
  <si>
    <t>17-01-2025 16:54:46</t>
  </si>
  <si>
    <t>a268d1d38a498b29eca40c88636f00e43f9fa731f59b778f2bb931b37f69b9900697939fe7239780e8b72a6e6baf0465</t>
  </si>
  <si>
    <t>1712140</t>
  </si>
  <si>
    <t>17-01-2025 16:45:55</t>
  </si>
  <si>
    <t>126d6162aabf97f3b8cb16d1b9833f4f4a83a0127bdf978aa611cca9c0284703b854f51b2fbb0acef8f7174df617e871</t>
  </si>
  <si>
    <t>11276</t>
  </si>
  <si>
    <t>17-01-2025 15:55:28</t>
  </si>
  <si>
    <t>2ca5164e922cfd8dee02c4286f535bda518dc2de50e76574e804103ade765570a713e4ae582321bb139422966d06b2ec</t>
  </si>
  <si>
    <t>EFCC944019</t>
  </si>
  <si>
    <t>15-01-2025</t>
  </si>
  <si>
    <t>15-01-2025 20:08:31</t>
  </si>
  <si>
    <t>b4f3a62246ecc40f960344083b09e2ad81ef72dca85099a44b37bee779f5544db90b755c76c1a5cd34ef6a621a279f83</t>
  </si>
  <si>
    <t>2873</t>
  </si>
  <si>
    <t>14-01-2025 18:24:56</t>
  </si>
  <si>
    <t>bd7b8094f59194f5569c2777caf1923a9a50b0fb3a3377f7c7fd4ac678af6b0bd7185ed107cb67af76787ee1f1a44dba</t>
  </si>
  <si>
    <t>2180</t>
  </si>
  <si>
    <t>BQ</t>
  </si>
  <si>
    <t>13-01-2025 18:59:26</t>
  </si>
  <si>
    <t>901219877</t>
  </si>
  <si>
    <t>Machine Shop Colombia S.a.s.</t>
  </si>
  <si>
    <t>052029ba9944d3e45b0ca9b54bd04568fb30bdc0cd2c521b500debdde067709a8fe4e4db0352f0c4caa52f53a7e605af</t>
  </si>
  <si>
    <t>9943</t>
  </si>
  <si>
    <t>13-01-2025 14:59:12</t>
  </si>
  <si>
    <t>cb72d23ff6d5b754c96c1d77ac9daf1929d19904384e47684d88402af6b18354e55886e2142b7ebc9b280cb431d49826</t>
  </si>
  <si>
    <t>81314</t>
  </si>
  <si>
    <t>M021</t>
  </si>
  <si>
    <t>08-01-2025 20:56:27</t>
  </si>
  <si>
    <t>860001307</t>
  </si>
  <si>
    <t>DISTRIBUIDORA NISSAN S.A</t>
  </si>
  <si>
    <t>DIESEL CAT LIMITADA  S.A.S</t>
  </si>
  <si>
    <t>c80c5ee1ae73dea8fd83fb924aa18775c91b81915050735dab664ca76596c82eae2ff42ff759733701530b018e0d5c74</t>
  </si>
  <si>
    <t>1095713</t>
  </si>
  <si>
    <t>07-01-2025 20:02:01</t>
  </si>
  <si>
    <t>781b52cefc6c3bebdbdad2cfef60c3dd36f3388d941158c09178c27708d3b48baf1eccefba69f16b14150b97e5362339</t>
  </si>
  <si>
    <t>71485</t>
  </si>
  <si>
    <t>07-01-2025 16:46:38</t>
  </si>
  <si>
    <t>9cf05e2ba83bcd79ac783276a6d361ddb2efb78ed53ae6c45abe005cb996bace92775fe46cefe5cf4e7f18c598c0641a</t>
  </si>
  <si>
    <t>71484</t>
  </si>
  <si>
    <t>07-01-2025 16:46:35</t>
  </si>
  <si>
    <t>2ff73f78fd451e3a97a7a6d05d3159ba36f0969fd8053aad0aa2de84cce3423fe2e64caef4984da4bb89c1d1b4831a56</t>
  </si>
  <si>
    <t>391912</t>
  </si>
  <si>
    <t>04-01-2025</t>
  </si>
  <si>
    <t>05-01-2025 00:39:14</t>
  </si>
  <si>
    <t>68fc3a8aac508d125ba991cea6096dbf2c19d646f0802c03374dbeedc58b4ab34a3f50cbba297da349e0139d8af46e8a</t>
  </si>
  <si>
    <t>15400</t>
  </si>
  <si>
    <t>02-01-2025</t>
  </si>
  <si>
    <t>02-01-2025 19:23:25</t>
  </si>
  <si>
    <t>nit_emisor</t>
  </si>
  <si>
    <t>nombre_emisor</t>
  </si>
  <si>
    <t>nit_recep</t>
  </si>
  <si>
    <t>nomb_recep</t>
  </si>
  <si>
    <t>total</t>
  </si>
  <si>
    <t>iva</t>
  </si>
  <si>
    <t>gravada</t>
  </si>
  <si>
    <t>exenta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</si>
</sst>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name val="Calibri"/>
    </font>
    <font>
      <sz val="10"/>
      <name val="Calibri"/>
    </font>
    <font>
      <b/>
      <sz val="10"/>
      <color rgb="FFFFFFFF"/>
      <name val="Calibri"/>
    </font>
    <font>
      <sz val="11"/>
      <name val="Calibri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43" fontId="2" fillId="2" borderId="0" xfId="1" applyFont="1" applyFill="1" applyAlignment="1">
      <alignment horizontal="center" vertical="center"/>
    </xf>
    <xf numFmtId="43" fontId="1" fillId="3" borderId="0" xfId="1" applyFont="1" applyFill="1"/>
    <xf numFmtId="43" fontId="1" fillId="0" borderId="0" xfId="1" applyFont="1"/>
    <xf numFmtId="43" fontId="1" fillId="4" borderId="0" xfId="1" applyFont="1" applyFill="1"/>
    <xf numFmtId="43" fontId="1" fillId="5" borderId="0" xfId="1" applyFont="1" applyFill="1"/>
    <xf numFmtId="43" fontId="1" fillId="3" borderId="0" xfId="0" applyNumberFormat="1" applyFont="1" applyFill="1"/>
    <xf numFmtId="0" fontId="4" fillId="3" borderId="0" xfId="0" applyFont="1" applyFill="1"/>
    <xf numFmtId="43" fontId="4" fillId="3" borderId="0" xfId="1" applyFont="1" applyFill="1"/>
    <xf numFmtId="43" fontId="1" fillId="4" borderId="0" xfId="0" applyNumberFormat="1" applyFont="1" applyFill="1"/>
    <xf numFmtId="43" fontId="0" fillId="0" borderId="0" xfId="1" applyFont="1"/>
    <xf numFmtId="43" fontId="0" fillId="0" borderId="0" xfId="0" applyNumberFormat="1"/>
    <xf numFmtId="0" fontId="5" fillId="0" borderId="1" xfId="0" applyFont="1" applyBorder="1"/>
    <xf numFmtId="0" fontId="6" fillId="4" borderId="0" xfId="0" applyFont="1" applyFill="1"/>
    <xf numFmtId="0" fontId="5" fillId="7" borderId="1" xfId="0" applyFont="1" applyFill="1" applyBorder="1"/>
    <xf numFmtId="43" fontId="5" fillId="7" borderId="1" xfId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9"/>
  <sheetViews>
    <sheetView topLeftCell="C265" workbookViewId="0">
      <selection activeCell="K287" sqref="K287"/>
    </sheetView>
  </sheetViews>
  <sheetFormatPr baseColWidth="10" defaultColWidth="9.140625" defaultRowHeight="12.75"/>
  <cols>
    <col min="1" max="1" width="50.85546875" style="1" customWidth="1"/>
    <col min="2" max="2" width="106.42578125" style="1" customWidth="1"/>
    <col min="3" max="3" width="7.7109375" style="1" customWidth="1"/>
    <col min="4" max="5" width="9.140625" style="1" customWidth="1"/>
    <col min="6" max="7" width="14.5703125" style="1" customWidth="1"/>
    <col min="8" max="8" width="13.85546875" style="1" customWidth="1"/>
    <col min="9" max="9" width="19.7109375" style="1" customWidth="1"/>
    <col min="10" max="10" width="12.28515625" style="1" customWidth="1"/>
    <col min="11" max="11" width="79.7109375" style="1" customWidth="1"/>
    <col min="12" max="12" width="14.5703125" style="1" customWidth="1"/>
    <col min="13" max="13" width="57.28515625" style="1" customWidth="1"/>
    <col min="14" max="14" width="15.85546875" style="9" customWidth="1"/>
    <col min="15" max="15" width="15.85546875" style="1" bestFit="1" customWidth="1"/>
    <col min="16" max="16" width="17" style="9" bestFit="1" customWidth="1"/>
    <col min="17" max="18" width="4.7109375" style="9" bestFit="1" customWidth="1"/>
    <col min="19" max="19" width="10" style="9" bestFit="1" customWidth="1"/>
    <col min="20" max="20" width="7.7109375" style="9" bestFit="1" customWidth="1"/>
    <col min="21" max="21" width="10.28515625" style="9" bestFit="1" customWidth="1"/>
    <col min="22" max="22" width="10.85546875" style="9" bestFit="1" customWidth="1"/>
    <col min="23" max="23" width="15" style="9" bestFit="1" customWidth="1"/>
    <col min="24" max="24" width="8.7109375" style="9" bestFit="1" customWidth="1"/>
    <col min="25" max="25" width="4.7109375" style="9" bestFit="1" customWidth="1"/>
    <col min="26" max="26" width="5.85546875" style="9" bestFit="1" customWidth="1"/>
    <col min="27" max="27" width="6.140625" style="9" bestFit="1" customWidth="1"/>
    <col min="28" max="28" width="5.42578125" style="9" bestFit="1" customWidth="1"/>
    <col min="29" max="29" width="9.140625" style="9" customWidth="1"/>
    <col min="30" max="30" width="11" style="9" bestFit="1" customWidth="1"/>
    <col min="31" max="31" width="9" style="9" bestFit="1" customWidth="1"/>
    <col min="32" max="32" width="17" style="9" bestFit="1" customWidth="1"/>
    <col min="33" max="33" width="24.5703125" style="1" customWidth="1"/>
    <col min="34" max="35" width="9.140625" style="1" customWidth="1"/>
    <col min="36" max="16384" width="9.140625" style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7"/>
      <c r="O1" s="2"/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2" t="s">
        <v>30</v>
      </c>
      <c r="AH1" s="2" t="s">
        <v>31</v>
      </c>
    </row>
    <row r="2" spans="1: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7"/>
      <c r="O2" s="2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"/>
      <c r="AH2" s="2"/>
    </row>
    <row r="3" spans="1: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7"/>
      <c r="O3" s="2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2"/>
      <c r="AH3" s="2"/>
    </row>
    <row r="4" spans="1:35" s="3" customFormat="1">
      <c r="A4" s="3" t="s">
        <v>32</v>
      </c>
      <c r="B4" s="3" t="s">
        <v>1752</v>
      </c>
      <c r="C4" s="3" t="s">
        <v>1753</v>
      </c>
      <c r="D4" s="3" t="s">
        <v>35</v>
      </c>
      <c r="E4" s="3" t="s">
        <v>36</v>
      </c>
      <c r="H4" s="3" t="s">
        <v>1754</v>
      </c>
      <c r="I4" s="3" t="s">
        <v>1755</v>
      </c>
      <c r="J4" s="3" t="s">
        <v>41</v>
      </c>
      <c r="K4" s="3" t="s">
        <v>42</v>
      </c>
      <c r="L4" s="3" t="s">
        <v>365</v>
      </c>
      <c r="M4" s="3" t="s">
        <v>366</v>
      </c>
      <c r="N4" s="8">
        <f t="shared" ref="N4:N35" si="0">+P4/19*100</f>
        <v>0</v>
      </c>
      <c r="O4" s="12">
        <f t="shared" ref="O4:O35" si="1">+AF4-N4-P4</f>
        <v>898192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898192</v>
      </c>
      <c r="AG4" s="3" t="s">
        <v>45</v>
      </c>
      <c r="AH4" s="3" t="s">
        <v>46</v>
      </c>
    </row>
    <row r="5" spans="1:35" s="3" customFormat="1">
      <c r="A5" s="3" t="s">
        <v>32</v>
      </c>
      <c r="B5" s="3" t="s">
        <v>1582</v>
      </c>
      <c r="C5" s="3" t="s">
        <v>1583</v>
      </c>
      <c r="D5" s="3" t="s">
        <v>35</v>
      </c>
      <c r="E5" s="3" t="s">
        <v>36</v>
      </c>
      <c r="H5" s="3" t="s">
        <v>1584</v>
      </c>
      <c r="I5" s="3" t="s">
        <v>1585</v>
      </c>
      <c r="J5" s="3" t="s">
        <v>41</v>
      </c>
      <c r="K5" s="3" t="s">
        <v>42</v>
      </c>
      <c r="L5" s="3" t="s">
        <v>372</v>
      </c>
      <c r="M5" s="3" t="s">
        <v>373</v>
      </c>
      <c r="N5" s="8">
        <f t="shared" si="0"/>
        <v>0</v>
      </c>
      <c r="O5" s="12">
        <f t="shared" si="1"/>
        <v>1340000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1340000</v>
      </c>
      <c r="AG5" s="3" t="s">
        <v>45</v>
      </c>
      <c r="AH5" s="3" t="s">
        <v>46</v>
      </c>
      <c r="AI5" s="13"/>
    </row>
    <row r="6" spans="1:35" s="3" customFormat="1">
      <c r="A6" s="3" t="s">
        <v>32</v>
      </c>
      <c r="B6" s="3" t="s">
        <v>1738</v>
      </c>
      <c r="C6" s="3" t="s">
        <v>1739</v>
      </c>
      <c r="D6" s="3" t="s">
        <v>35</v>
      </c>
      <c r="E6" s="3" t="s">
        <v>36</v>
      </c>
      <c r="H6" s="3" t="s">
        <v>1740</v>
      </c>
      <c r="I6" s="3" t="s">
        <v>1741</v>
      </c>
      <c r="J6" s="3" t="s">
        <v>41</v>
      </c>
      <c r="K6" s="3" t="s">
        <v>42</v>
      </c>
      <c r="L6" s="3" t="s">
        <v>43</v>
      </c>
      <c r="M6" s="3" t="s">
        <v>44</v>
      </c>
      <c r="N6" s="8">
        <f t="shared" si="0"/>
        <v>949564</v>
      </c>
      <c r="O6" s="12">
        <f t="shared" si="1"/>
        <v>0</v>
      </c>
      <c r="P6" s="8">
        <v>180417.16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1129981.1599999999</v>
      </c>
      <c r="AG6" s="3" t="s">
        <v>45</v>
      </c>
      <c r="AH6" s="3" t="s">
        <v>46</v>
      </c>
    </row>
    <row r="7" spans="1:35" s="3" customFormat="1">
      <c r="A7" s="3" t="s">
        <v>32</v>
      </c>
      <c r="B7" s="3" t="s">
        <v>1735</v>
      </c>
      <c r="C7" s="3" t="s">
        <v>1736</v>
      </c>
      <c r="D7" s="3" t="s">
        <v>35</v>
      </c>
      <c r="E7" s="3" t="s">
        <v>36</v>
      </c>
      <c r="H7" s="3" t="s">
        <v>1733</v>
      </c>
      <c r="I7" s="3" t="s">
        <v>1737</v>
      </c>
      <c r="J7" s="3" t="s">
        <v>41</v>
      </c>
      <c r="K7" s="3" t="s">
        <v>42</v>
      </c>
      <c r="L7" s="3" t="s">
        <v>43</v>
      </c>
      <c r="M7" s="3" t="s">
        <v>44</v>
      </c>
      <c r="N7" s="8">
        <f t="shared" si="0"/>
        <v>24651907</v>
      </c>
      <c r="O7" s="12">
        <f t="shared" si="1"/>
        <v>0</v>
      </c>
      <c r="P7" s="8">
        <v>4683862.33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29335769.329999998</v>
      </c>
      <c r="AG7" s="3" t="s">
        <v>45</v>
      </c>
      <c r="AH7" s="3" t="s">
        <v>46</v>
      </c>
    </row>
    <row r="8" spans="1:35" s="3" customFormat="1">
      <c r="A8" s="3" t="s">
        <v>32</v>
      </c>
      <c r="B8" s="3" t="s">
        <v>1731</v>
      </c>
      <c r="C8" s="3" t="s">
        <v>1732</v>
      </c>
      <c r="D8" s="3" t="s">
        <v>35</v>
      </c>
      <c r="E8" s="3" t="s">
        <v>36</v>
      </c>
      <c r="H8" s="3" t="s">
        <v>1733</v>
      </c>
      <c r="I8" s="3" t="s">
        <v>1734</v>
      </c>
      <c r="J8" s="3" t="s">
        <v>41</v>
      </c>
      <c r="K8" s="3" t="s">
        <v>42</v>
      </c>
      <c r="L8" s="3" t="s">
        <v>43</v>
      </c>
      <c r="M8" s="3" t="s">
        <v>44</v>
      </c>
      <c r="N8" s="8">
        <f t="shared" si="0"/>
        <v>41674572</v>
      </c>
      <c r="O8" s="12">
        <f t="shared" si="1"/>
        <v>0</v>
      </c>
      <c r="P8" s="8">
        <v>7918168.6799999997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49592740.68</v>
      </c>
      <c r="AG8" s="3" t="s">
        <v>45</v>
      </c>
      <c r="AH8" s="3" t="s">
        <v>46</v>
      </c>
    </row>
    <row r="9" spans="1:35" s="3" customFormat="1">
      <c r="A9" s="3" t="s">
        <v>32</v>
      </c>
      <c r="B9" s="3" t="s">
        <v>1756</v>
      </c>
      <c r="C9" s="3" t="s">
        <v>1757</v>
      </c>
      <c r="D9" s="3" t="s">
        <v>35</v>
      </c>
      <c r="E9" s="3" t="s">
        <v>36</v>
      </c>
      <c r="H9" s="3" t="s">
        <v>1758</v>
      </c>
      <c r="I9" s="3" t="s">
        <v>1759</v>
      </c>
      <c r="J9" s="3" t="s">
        <v>41</v>
      </c>
      <c r="K9" s="3" t="s">
        <v>42</v>
      </c>
      <c r="L9" s="3" t="s">
        <v>192</v>
      </c>
      <c r="M9" s="3" t="s">
        <v>193</v>
      </c>
      <c r="N9" s="8">
        <f t="shared" si="0"/>
        <v>12315000</v>
      </c>
      <c r="O9" s="12">
        <f t="shared" si="1"/>
        <v>0</v>
      </c>
      <c r="P9" s="8">
        <v>2339850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14654850</v>
      </c>
      <c r="AG9" s="3" t="s">
        <v>45</v>
      </c>
      <c r="AH9" s="3" t="s">
        <v>46</v>
      </c>
    </row>
    <row r="10" spans="1:35" s="3" customFormat="1">
      <c r="A10" s="3" t="s">
        <v>32</v>
      </c>
      <c r="B10" s="3" t="s">
        <v>1628</v>
      </c>
      <c r="C10" s="3" t="s">
        <v>1629</v>
      </c>
      <c r="D10" s="3" t="s">
        <v>35</v>
      </c>
      <c r="E10" s="3" t="s">
        <v>36</v>
      </c>
      <c r="H10" s="3" t="s">
        <v>1620</v>
      </c>
      <c r="I10" s="3" t="s">
        <v>1630</v>
      </c>
      <c r="J10" s="3" t="s">
        <v>41</v>
      </c>
      <c r="K10" s="3" t="s">
        <v>42</v>
      </c>
      <c r="L10" s="3" t="s">
        <v>205</v>
      </c>
      <c r="M10" s="3" t="s">
        <v>206</v>
      </c>
      <c r="N10" s="8">
        <f t="shared" si="0"/>
        <v>738198</v>
      </c>
      <c r="O10" s="12">
        <f t="shared" si="1"/>
        <v>0</v>
      </c>
      <c r="P10" s="8">
        <v>140257.62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878455.62</v>
      </c>
      <c r="AG10" s="3" t="s">
        <v>45</v>
      </c>
      <c r="AH10" s="3" t="s">
        <v>46</v>
      </c>
    </row>
    <row r="11" spans="1:35" s="3" customFormat="1">
      <c r="A11" s="3" t="s">
        <v>32</v>
      </c>
      <c r="B11" s="3" t="s">
        <v>1622</v>
      </c>
      <c r="C11" s="3" t="s">
        <v>1623</v>
      </c>
      <c r="D11" s="3" t="s">
        <v>35</v>
      </c>
      <c r="E11" s="3" t="s">
        <v>36</v>
      </c>
      <c r="H11" s="3" t="s">
        <v>1620</v>
      </c>
      <c r="I11" s="3" t="s">
        <v>1624</v>
      </c>
      <c r="J11" s="3" t="s">
        <v>41</v>
      </c>
      <c r="K11" s="3" t="s">
        <v>42</v>
      </c>
      <c r="L11" s="3" t="s">
        <v>205</v>
      </c>
      <c r="M11" s="3" t="s">
        <v>206</v>
      </c>
      <c r="N11" s="8">
        <f t="shared" si="0"/>
        <v>13797319.999999998</v>
      </c>
      <c r="O11" s="12">
        <f t="shared" si="1"/>
        <v>0</v>
      </c>
      <c r="P11" s="8">
        <v>2621490.7999999998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16418810.800000001</v>
      </c>
      <c r="AG11" s="3" t="s">
        <v>45</v>
      </c>
      <c r="AH11" s="3" t="s">
        <v>46</v>
      </c>
    </row>
    <row r="12" spans="1:35" s="3" customFormat="1">
      <c r="A12" s="3" t="s">
        <v>32</v>
      </c>
      <c r="B12" s="3" t="s">
        <v>1618</v>
      </c>
      <c r="C12" s="3" t="s">
        <v>1619</v>
      </c>
      <c r="D12" s="3" t="s">
        <v>35</v>
      </c>
      <c r="E12" s="3" t="s">
        <v>36</v>
      </c>
      <c r="H12" s="3" t="s">
        <v>1620</v>
      </c>
      <c r="I12" s="3" t="s">
        <v>1621</v>
      </c>
      <c r="J12" s="3" t="s">
        <v>41</v>
      </c>
      <c r="K12" s="3" t="s">
        <v>42</v>
      </c>
      <c r="L12" s="3" t="s">
        <v>205</v>
      </c>
      <c r="M12" s="3" t="s">
        <v>206</v>
      </c>
      <c r="N12" s="8">
        <f t="shared" si="0"/>
        <v>461370</v>
      </c>
      <c r="O12" s="12">
        <f t="shared" si="1"/>
        <v>0</v>
      </c>
      <c r="P12" s="8">
        <v>87660.3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549030.30000000005</v>
      </c>
      <c r="AG12" s="3" t="s">
        <v>45</v>
      </c>
      <c r="AH12" s="3" t="s">
        <v>46</v>
      </c>
    </row>
    <row r="13" spans="1:35" s="3" customFormat="1">
      <c r="A13" s="3" t="s">
        <v>32</v>
      </c>
      <c r="B13" s="3" t="s">
        <v>1625</v>
      </c>
      <c r="C13" s="3" t="s">
        <v>1626</v>
      </c>
      <c r="D13" s="3" t="s">
        <v>35</v>
      </c>
      <c r="E13" s="3" t="s">
        <v>36</v>
      </c>
      <c r="H13" s="3" t="s">
        <v>1620</v>
      </c>
      <c r="I13" s="3" t="s">
        <v>1627</v>
      </c>
      <c r="J13" s="3" t="s">
        <v>41</v>
      </c>
      <c r="K13" s="3" t="s">
        <v>42</v>
      </c>
      <c r="L13" s="3" t="s">
        <v>205</v>
      </c>
      <c r="M13" s="3" t="s">
        <v>206</v>
      </c>
      <c r="N13" s="8">
        <f t="shared" si="0"/>
        <v>461370</v>
      </c>
      <c r="O13" s="12">
        <f t="shared" si="1"/>
        <v>0</v>
      </c>
      <c r="P13" s="8">
        <v>87660.3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549030.30000000005</v>
      </c>
      <c r="AG13" s="3" t="s">
        <v>45</v>
      </c>
      <c r="AH13" s="3" t="s">
        <v>46</v>
      </c>
    </row>
    <row r="14" spans="1:35" s="3" customFormat="1">
      <c r="A14" s="3" t="s">
        <v>32</v>
      </c>
      <c r="B14" s="3" t="s">
        <v>1615</v>
      </c>
      <c r="C14" s="3" t="s">
        <v>1616</v>
      </c>
      <c r="D14" s="3" t="s">
        <v>35</v>
      </c>
      <c r="E14" s="3" t="s">
        <v>36</v>
      </c>
      <c r="H14" s="3" t="s">
        <v>1604</v>
      </c>
      <c r="I14" s="3" t="s">
        <v>1617</v>
      </c>
      <c r="J14" s="3" t="s">
        <v>41</v>
      </c>
      <c r="K14" s="3" t="s">
        <v>42</v>
      </c>
      <c r="L14" s="3" t="s">
        <v>205</v>
      </c>
      <c r="M14" s="3" t="s">
        <v>206</v>
      </c>
      <c r="N14" s="8">
        <f t="shared" si="0"/>
        <v>5084883</v>
      </c>
      <c r="O14" s="12">
        <f t="shared" si="1"/>
        <v>0</v>
      </c>
      <c r="P14" s="8">
        <v>966127.77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6051010.7699999996</v>
      </c>
      <c r="AG14" s="3" t="s">
        <v>45</v>
      </c>
      <c r="AH14" s="3" t="s">
        <v>46</v>
      </c>
    </row>
    <row r="15" spans="1:35" s="3" customFormat="1">
      <c r="A15" s="3" t="s">
        <v>32</v>
      </c>
      <c r="B15" s="3" t="s">
        <v>1612</v>
      </c>
      <c r="C15" s="3" t="s">
        <v>1613</v>
      </c>
      <c r="D15" s="3" t="s">
        <v>35</v>
      </c>
      <c r="E15" s="3" t="s">
        <v>36</v>
      </c>
      <c r="H15" s="3" t="s">
        <v>1604</v>
      </c>
      <c r="I15" s="3" t="s">
        <v>1614</v>
      </c>
      <c r="J15" s="3" t="s">
        <v>41</v>
      </c>
      <c r="K15" s="3" t="s">
        <v>42</v>
      </c>
      <c r="L15" s="3" t="s">
        <v>205</v>
      </c>
      <c r="M15" s="3" t="s">
        <v>206</v>
      </c>
      <c r="N15" s="8">
        <f t="shared" si="0"/>
        <v>3219000</v>
      </c>
      <c r="O15" s="12">
        <f t="shared" si="1"/>
        <v>0</v>
      </c>
      <c r="P15" s="8">
        <v>611610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3830610</v>
      </c>
      <c r="AG15" s="3" t="s">
        <v>45</v>
      </c>
      <c r="AH15" s="3" t="s">
        <v>46</v>
      </c>
    </row>
    <row r="16" spans="1:35" s="3" customFormat="1">
      <c r="A16" s="3" t="s">
        <v>32</v>
      </c>
      <c r="B16" s="3" t="s">
        <v>1609</v>
      </c>
      <c r="C16" s="3" t="s">
        <v>1610</v>
      </c>
      <c r="D16" s="3" t="s">
        <v>35</v>
      </c>
      <c r="E16" s="3" t="s">
        <v>36</v>
      </c>
      <c r="H16" s="3" t="s">
        <v>1604</v>
      </c>
      <c r="I16" s="3" t="s">
        <v>1611</v>
      </c>
      <c r="J16" s="3" t="s">
        <v>41</v>
      </c>
      <c r="K16" s="3" t="s">
        <v>42</v>
      </c>
      <c r="L16" s="3" t="s">
        <v>205</v>
      </c>
      <c r="M16" s="3" t="s">
        <v>206</v>
      </c>
      <c r="N16" s="8">
        <f t="shared" si="0"/>
        <v>5765125</v>
      </c>
      <c r="O16" s="12">
        <f t="shared" si="1"/>
        <v>0</v>
      </c>
      <c r="P16" s="8">
        <v>1095373.75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6860498.75</v>
      </c>
      <c r="AG16" s="3" t="s">
        <v>45</v>
      </c>
      <c r="AH16" s="3" t="s">
        <v>46</v>
      </c>
    </row>
    <row r="17" spans="1:35" s="3" customFormat="1">
      <c r="A17" s="3" t="s">
        <v>32</v>
      </c>
      <c r="B17" s="3" t="s">
        <v>1606</v>
      </c>
      <c r="C17" s="3" t="s">
        <v>1607</v>
      </c>
      <c r="D17" s="3" t="s">
        <v>35</v>
      </c>
      <c r="E17" s="3" t="s">
        <v>36</v>
      </c>
      <c r="H17" s="3" t="s">
        <v>1604</v>
      </c>
      <c r="I17" s="3" t="s">
        <v>1608</v>
      </c>
      <c r="J17" s="3" t="s">
        <v>41</v>
      </c>
      <c r="K17" s="3" t="s">
        <v>42</v>
      </c>
      <c r="L17" s="3" t="s">
        <v>205</v>
      </c>
      <c r="M17" s="3" t="s">
        <v>206</v>
      </c>
      <c r="N17" s="8">
        <f t="shared" si="0"/>
        <v>5765125</v>
      </c>
      <c r="O17" s="12">
        <f t="shared" si="1"/>
        <v>0</v>
      </c>
      <c r="P17" s="8">
        <v>1095373.75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6860498.75</v>
      </c>
      <c r="AG17" s="3" t="s">
        <v>45</v>
      </c>
      <c r="AH17" s="3" t="s">
        <v>46</v>
      </c>
    </row>
    <row r="18" spans="1:35" s="3" customFormat="1">
      <c r="A18" s="3" t="s">
        <v>32</v>
      </c>
      <c r="B18" s="3" t="s">
        <v>1602</v>
      </c>
      <c r="C18" s="3" t="s">
        <v>1603</v>
      </c>
      <c r="D18" s="3" t="s">
        <v>35</v>
      </c>
      <c r="E18" s="3" t="s">
        <v>36</v>
      </c>
      <c r="H18" s="3" t="s">
        <v>1604</v>
      </c>
      <c r="I18" s="3" t="s">
        <v>1605</v>
      </c>
      <c r="J18" s="3" t="s">
        <v>41</v>
      </c>
      <c r="K18" s="3" t="s">
        <v>42</v>
      </c>
      <c r="L18" s="3" t="s">
        <v>205</v>
      </c>
      <c r="M18" s="3" t="s">
        <v>206</v>
      </c>
      <c r="N18" s="8">
        <f t="shared" si="0"/>
        <v>5765125</v>
      </c>
      <c r="O18" s="12">
        <f t="shared" si="1"/>
        <v>0</v>
      </c>
      <c r="P18" s="8">
        <v>1095373.75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6860498.75</v>
      </c>
      <c r="AG18" s="3" t="s">
        <v>45</v>
      </c>
      <c r="AH18" s="3" t="s">
        <v>46</v>
      </c>
    </row>
    <row r="19" spans="1:35" s="3" customFormat="1">
      <c r="A19" s="3" t="s">
        <v>32</v>
      </c>
      <c r="B19" s="3" t="s">
        <v>1728</v>
      </c>
      <c r="C19" s="3" t="s">
        <v>1729</v>
      </c>
      <c r="D19" s="3" t="s">
        <v>35</v>
      </c>
      <c r="E19" s="3" t="s">
        <v>36</v>
      </c>
      <c r="H19" s="3" t="s">
        <v>1604</v>
      </c>
      <c r="I19" s="3" t="s">
        <v>1730</v>
      </c>
      <c r="J19" s="3" t="s">
        <v>41</v>
      </c>
      <c r="K19" s="3" t="s">
        <v>42</v>
      </c>
      <c r="L19" s="3" t="s">
        <v>43</v>
      </c>
      <c r="M19" s="3" t="s">
        <v>44</v>
      </c>
      <c r="N19" s="8">
        <f t="shared" si="0"/>
        <v>5767925.9999999991</v>
      </c>
      <c r="O19" s="12">
        <f t="shared" si="1"/>
        <v>0</v>
      </c>
      <c r="P19" s="8">
        <v>1095905.94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6863831.9400000004</v>
      </c>
      <c r="AG19" s="3" t="s">
        <v>45</v>
      </c>
      <c r="AH19" s="3" t="s">
        <v>46</v>
      </c>
    </row>
    <row r="20" spans="1:35" s="3" customFormat="1">
      <c r="A20" s="3" t="s">
        <v>32</v>
      </c>
      <c r="B20" s="3" t="s">
        <v>1725</v>
      </c>
      <c r="C20" s="3" t="s">
        <v>1726</v>
      </c>
      <c r="D20" s="3" t="s">
        <v>35</v>
      </c>
      <c r="E20" s="3" t="s">
        <v>36</v>
      </c>
      <c r="H20" s="3" t="s">
        <v>1604</v>
      </c>
      <c r="I20" s="3" t="s">
        <v>1727</v>
      </c>
      <c r="J20" s="3" t="s">
        <v>41</v>
      </c>
      <c r="K20" s="3" t="s">
        <v>42</v>
      </c>
      <c r="L20" s="3" t="s">
        <v>43</v>
      </c>
      <c r="M20" s="3" t="s">
        <v>44</v>
      </c>
      <c r="N20" s="8">
        <f t="shared" si="0"/>
        <v>5767925.9999999991</v>
      </c>
      <c r="O20" s="12">
        <f t="shared" si="1"/>
        <v>0</v>
      </c>
      <c r="P20" s="8">
        <v>1095905.94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6863831.9400000004</v>
      </c>
      <c r="AG20" s="3" t="s">
        <v>45</v>
      </c>
      <c r="AH20" s="3" t="s">
        <v>46</v>
      </c>
    </row>
    <row r="21" spans="1:35" s="3" customFormat="1">
      <c r="A21" s="3" t="s">
        <v>32</v>
      </c>
      <c r="B21" s="3" t="s">
        <v>1722</v>
      </c>
      <c r="C21" s="3" t="s">
        <v>1723</v>
      </c>
      <c r="D21" s="3" t="s">
        <v>35</v>
      </c>
      <c r="E21" s="3" t="s">
        <v>36</v>
      </c>
      <c r="H21" s="3" t="s">
        <v>1604</v>
      </c>
      <c r="I21" s="3" t="s">
        <v>1724</v>
      </c>
      <c r="J21" s="3" t="s">
        <v>41</v>
      </c>
      <c r="K21" s="3" t="s">
        <v>42</v>
      </c>
      <c r="L21" s="3" t="s">
        <v>43</v>
      </c>
      <c r="M21" s="3" t="s">
        <v>44</v>
      </c>
      <c r="N21" s="8">
        <f t="shared" si="0"/>
        <v>5767925.9999999991</v>
      </c>
      <c r="O21" s="12">
        <f t="shared" si="1"/>
        <v>0</v>
      </c>
      <c r="P21" s="8">
        <v>1095905.94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6863831.9400000004</v>
      </c>
      <c r="AG21" s="3" t="s">
        <v>45</v>
      </c>
      <c r="AH21" s="3" t="s">
        <v>46</v>
      </c>
    </row>
    <row r="22" spans="1:35" s="3" customFormat="1">
      <c r="A22" s="3" t="s">
        <v>32</v>
      </c>
      <c r="B22" s="3" t="s">
        <v>1719</v>
      </c>
      <c r="C22" s="3" t="s">
        <v>1720</v>
      </c>
      <c r="D22" s="3" t="s">
        <v>35</v>
      </c>
      <c r="E22" s="3" t="s">
        <v>36</v>
      </c>
      <c r="H22" s="3" t="s">
        <v>1604</v>
      </c>
      <c r="I22" s="3" t="s">
        <v>1721</v>
      </c>
      <c r="J22" s="3" t="s">
        <v>41</v>
      </c>
      <c r="K22" s="3" t="s">
        <v>42</v>
      </c>
      <c r="L22" s="3" t="s">
        <v>43</v>
      </c>
      <c r="M22" s="3" t="s">
        <v>44</v>
      </c>
      <c r="N22" s="8">
        <f t="shared" si="0"/>
        <v>5767925.9999999991</v>
      </c>
      <c r="O22" s="12">
        <f t="shared" si="1"/>
        <v>0</v>
      </c>
      <c r="P22" s="8">
        <v>1095905.94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6863831.9400000004</v>
      </c>
      <c r="AG22" s="3" t="s">
        <v>45</v>
      </c>
      <c r="AH22" s="3" t="s">
        <v>46</v>
      </c>
    </row>
    <row r="23" spans="1:35" s="3" customFormat="1">
      <c r="A23" s="3" t="s">
        <v>32</v>
      </c>
      <c r="B23" s="3" t="s">
        <v>1716</v>
      </c>
      <c r="C23" s="3" t="s">
        <v>1717</v>
      </c>
      <c r="D23" s="3" t="s">
        <v>35</v>
      </c>
      <c r="E23" s="3" t="s">
        <v>36</v>
      </c>
      <c r="H23" s="3" t="s">
        <v>1604</v>
      </c>
      <c r="I23" s="3" t="s">
        <v>1718</v>
      </c>
      <c r="J23" s="3" t="s">
        <v>41</v>
      </c>
      <c r="K23" s="3" t="s">
        <v>42</v>
      </c>
      <c r="L23" s="3" t="s">
        <v>43</v>
      </c>
      <c r="M23" s="3" t="s">
        <v>44</v>
      </c>
      <c r="N23" s="8">
        <f t="shared" si="0"/>
        <v>5767925.9999999991</v>
      </c>
      <c r="O23" s="12">
        <f t="shared" si="1"/>
        <v>0</v>
      </c>
      <c r="P23" s="8">
        <v>1095905.94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6863831.9400000004</v>
      </c>
      <c r="AG23" s="3" t="s">
        <v>45</v>
      </c>
      <c r="AH23" s="3" t="s">
        <v>46</v>
      </c>
    </row>
    <row r="24" spans="1:35" s="3" customFormat="1">
      <c r="A24" s="3" t="s">
        <v>32</v>
      </c>
      <c r="B24" s="3" t="s">
        <v>1713</v>
      </c>
      <c r="C24" s="3" t="s">
        <v>1714</v>
      </c>
      <c r="D24" s="3" t="s">
        <v>35</v>
      </c>
      <c r="E24" s="3" t="s">
        <v>36</v>
      </c>
      <c r="H24" s="3" t="s">
        <v>1711</v>
      </c>
      <c r="I24" s="3" t="s">
        <v>1715</v>
      </c>
      <c r="J24" s="3" t="s">
        <v>41</v>
      </c>
      <c r="K24" s="3" t="s">
        <v>42</v>
      </c>
      <c r="L24" s="3" t="s">
        <v>43</v>
      </c>
      <c r="M24" s="3" t="s">
        <v>44</v>
      </c>
      <c r="N24" s="8">
        <f t="shared" si="0"/>
        <v>11314633</v>
      </c>
      <c r="O24" s="12">
        <f t="shared" si="1"/>
        <v>0</v>
      </c>
      <c r="P24" s="8">
        <v>2149780.27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13464413.27</v>
      </c>
      <c r="AG24" s="3" t="s">
        <v>45</v>
      </c>
      <c r="AH24" s="3" t="s">
        <v>46</v>
      </c>
    </row>
    <row r="25" spans="1:35" s="3" customFormat="1">
      <c r="A25" s="3" t="s">
        <v>32</v>
      </c>
      <c r="B25" s="3" t="s">
        <v>1709</v>
      </c>
      <c r="C25" s="3" t="s">
        <v>1710</v>
      </c>
      <c r="D25" s="3" t="s">
        <v>35</v>
      </c>
      <c r="E25" s="3" t="s">
        <v>36</v>
      </c>
      <c r="H25" s="3" t="s">
        <v>1711</v>
      </c>
      <c r="I25" s="3" t="s">
        <v>1712</v>
      </c>
      <c r="J25" s="3" t="s">
        <v>41</v>
      </c>
      <c r="K25" s="3" t="s">
        <v>42</v>
      </c>
      <c r="L25" s="3" t="s">
        <v>43</v>
      </c>
      <c r="M25" s="3" t="s">
        <v>44</v>
      </c>
      <c r="N25" s="8">
        <f t="shared" si="0"/>
        <v>13797776.999999998</v>
      </c>
      <c r="O25" s="12">
        <f t="shared" si="1"/>
        <v>0</v>
      </c>
      <c r="P25" s="8">
        <v>2621577.63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16419354.630000001</v>
      </c>
      <c r="AG25" s="3" t="s">
        <v>45</v>
      </c>
      <c r="AH25" s="3" t="s">
        <v>46</v>
      </c>
    </row>
    <row r="26" spans="1:35" s="3" customFormat="1">
      <c r="A26" s="3" t="s">
        <v>32</v>
      </c>
      <c r="B26" s="3" t="s">
        <v>1749</v>
      </c>
      <c r="C26" s="3" t="s">
        <v>1750</v>
      </c>
      <c r="D26" s="3" t="s">
        <v>35</v>
      </c>
      <c r="E26" s="3" t="s">
        <v>36</v>
      </c>
      <c r="H26" s="3" t="s">
        <v>1703</v>
      </c>
      <c r="I26" s="3" t="s">
        <v>1751</v>
      </c>
      <c r="J26" s="3" t="s">
        <v>41</v>
      </c>
      <c r="K26" s="3" t="s">
        <v>42</v>
      </c>
      <c r="L26" s="3" t="s">
        <v>192</v>
      </c>
      <c r="M26" s="3" t="s">
        <v>193</v>
      </c>
      <c r="N26" s="8">
        <f t="shared" si="0"/>
        <v>0</v>
      </c>
      <c r="O26" s="12">
        <f t="shared" si="1"/>
        <v>6117662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6117662</v>
      </c>
      <c r="AG26" s="3" t="s">
        <v>45</v>
      </c>
      <c r="AH26" s="3" t="s">
        <v>46</v>
      </c>
    </row>
    <row r="27" spans="1:35" s="3" customFormat="1">
      <c r="A27" s="3" t="s">
        <v>32</v>
      </c>
      <c r="B27" s="3" t="s">
        <v>1701</v>
      </c>
      <c r="C27" s="3" t="s">
        <v>1702</v>
      </c>
      <c r="D27" s="3" t="s">
        <v>35</v>
      </c>
      <c r="E27" s="3" t="s">
        <v>36</v>
      </c>
      <c r="H27" s="3" t="s">
        <v>1703</v>
      </c>
      <c r="I27" s="3" t="s">
        <v>1704</v>
      </c>
      <c r="J27" s="3" t="s">
        <v>41</v>
      </c>
      <c r="K27" s="3" t="s">
        <v>42</v>
      </c>
      <c r="L27" s="3" t="s">
        <v>43</v>
      </c>
      <c r="M27" s="3" t="s">
        <v>44</v>
      </c>
      <c r="N27" s="8">
        <f t="shared" si="0"/>
        <v>1218174</v>
      </c>
      <c r="O27" s="12">
        <f t="shared" si="1"/>
        <v>0</v>
      </c>
      <c r="P27" s="8">
        <v>231453.06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1449627.06</v>
      </c>
      <c r="AG27" s="3" t="s">
        <v>45</v>
      </c>
      <c r="AH27" s="3" t="s">
        <v>46</v>
      </c>
    </row>
    <row r="28" spans="1:35" s="3" customFormat="1">
      <c r="A28" s="3" t="s">
        <v>32</v>
      </c>
      <c r="B28" s="3" t="s">
        <v>1745</v>
      </c>
      <c r="C28" s="3" t="s">
        <v>1746</v>
      </c>
      <c r="D28" s="3" t="s">
        <v>35</v>
      </c>
      <c r="E28" s="3" t="s">
        <v>36</v>
      </c>
      <c r="H28" s="3" t="s">
        <v>1747</v>
      </c>
      <c r="I28" s="3" t="s">
        <v>1748</v>
      </c>
      <c r="J28" s="3" t="s">
        <v>41</v>
      </c>
      <c r="K28" s="3" t="s">
        <v>42</v>
      </c>
      <c r="L28" s="3" t="s">
        <v>192</v>
      </c>
      <c r="M28" s="3" t="s">
        <v>193</v>
      </c>
      <c r="N28" s="8">
        <f t="shared" si="0"/>
        <v>0</v>
      </c>
      <c r="O28" s="12">
        <f t="shared" si="1"/>
        <v>5100000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5100000</v>
      </c>
      <c r="AG28" s="3" t="s">
        <v>45</v>
      </c>
      <c r="AH28" s="3" t="s">
        <v>46</v>
      </c>
    </row>
    <row r="29" spans="1:35" s="3" customFormat="1">
      <c r="A29" s="3" t="s">
        <v>32</v>
      </c>
      <c r="B29" s="3" t="s">
        <v>1578</v>
      </c>
      <c r="C29" s="3" t="s">
        <v>1579</v>
      </c>
      <c r="D29" s="3" t="s">
        <v>35</v>
      </c>
      <c r="E29" s="3" t="s">
        <v>36</v>
      </c>
      <c r="H29" s="3" t="s">
        <v>1580</v>
      </c>
      <c r="I29" s="3" t="s">
        <v>1581</v>
      </c>
      <c r="J29" s="3" t="s">
        <v>41</v>
      </c>
      <c r="K29" s="3" t="s">
        <v>42</v>
      </c>
      <c r="L29" s="3" t="s">
        <v>372</v>
      </c>
      <c r="M29" s="3" t="s">
        <v>373</v>
      </c>
      <c r="N29" s="8">
        <f t="shared" si="0"/>
        <v>0</v>
      </c>
      <c r="O29" s="12">
        <f t="shared" si="1"/>
        <v>7896440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7896440</v>
      </c>
      <c r="AG29" s="3" t="s">
        <v>45</v>
      </c>
      <c r="AH29" s="3" t="s">
        <v>46</v>
      </c>
      <c r="AI29" s="13"/>
    </row>
    <row r="30" spans="1:35" s="3" customFormat="1">
      <c r="A30" s="3" t="s">
        <v>32</v>
      </c>
      <c r="B30" s="3" t="s">
        <v>1697</v>
      </c>
      <c r="C30" s="3" t="s">
        <v>1698</v>
      </c>
      <c r="D30" s="3" t="s">
        <v>35</v>
      </c>
      <c r="E30" s="3" t="s">
        <v>36</v>
      </c>
      <c r="H30" s="3" t="s">
        <v>1699</v>
      </c>
      <c r="I30" s="3" t="s">
        <v>1700</v>
      </c>
      <c r="J30" s="3" t="s">
        <v>41</v>
      </c>
      <c r="K30" s="3" t="s">
        <v>42</v>
      </c>
      <c r="L30" s="3" t="s">
        <v>43</v>
      </c>
      <c r="M30" s="3" t="s">
        <v>44</v>
      </c>
      <c r="N30" s="8">
        <f t="shared" si="0"/>
        <v>539986</v>
      </c>
      <c r="O30" s="12">
        <f t="shared" si="1"/>
        <v>0</v>
      </c>
      <c r="P30" s="8">
        <v>102597.34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642583.34</v>
      </c>
      <c r="AG30" s="3" t="s">
        <v>45</v>
      </c>
      <c r="AH30" s="3" t="s">
        <v>46</v>
      </c>
    </row>
    <row r="31" spans="1:35" s="3" customFormat="1">
      <c r="A31" s="3" t="s">
        <v>32</v>
      </c>
      <c r="B31" s="3" t="s">
        <v>1742</v>
      </c>
      <c r="C31" s="3" t="s">
        <v>1743</v>
      </c>
      <c r="D31" s="3" t="s">
        <v>35</v>
      </c>
      <c r="E31" s="3" t="s">
        <v>36</v>
      </c>
      <c r="H31" s="3" t="s">
        <v>1695</v>
      </c>
      <c r="I31" s="3" t="s">
        <v>1744</v>
      </c>
      <c r="J31" s="3" t="s">
        <v>41</v>
      </c>
      <c r="K31" s="3" t="s">
        <v>42</v>
      </c>
      <c r="L31" s="3" t="s">
        <v>850</v>
      </c>
      <c r="M31" s="3" t="s">
        <v>851</v>
      </c>
      <c r="N31" s="8">
        <f t="shared" si="0"/>
        <v>0</v>
      </c>
      <c r="O31" s="12">
        <f t="shared" si="1"/>
        <v>115760724.22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115760724.22</v>
      </c>
      <c r="AG31" s="3" t="s">
        <v>45</v>
      </c>
      <c r="AH31" s="3" t="s">
        <v>46</v>
      </c>
    </row>
    <row r="32" spans="1:35" s="3" customFormat="1">
      <c r="A32" s="3" t="s">
        <v>32</v>
      </c>
      <c r="B32" s="3" t="s">
        <v>1693</v>
      </c>
      <c r="C32" s="3" t="s">
        <v>1694</v>
      </c>
      <c r="D32" s="3" t="s">
        <v>35</v>
      </c>
      <c r="E32" s="3" t="s">
        <v>36</v>
      </c>
      <c r="H32" s="3" t="s">
        <v>1695</v>
      </c>
      <c r="I32" s="3" t="s">
        <v>1696</v>
      </c>
      <c r="J32" s="3" t="s">
        <v>41</v>
      </c>
      <c r="K32" s="3" t="s">
        <v>42</v>
      </c>
      <c r="L32" s="3" t="s">
        <v>43</v>
      </c>
      <c r="M32" s="3" t="s">
        <v>44</v>
      </c>
      <c r="N32" s="8">
        <f t="shared" si="0"/>
        <v>5579911.0000000009</v>
      </c>
      <c r="O32" s="12">
        <f t="shared" si="1"/>
        <v>0</v>
      </c>
      <c r="P32" s="8">
        <v>1060183.0900000001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6640094.0899999999</v>
      </c>
      <c r="AG32" s="3" t="s">
        <v>45</v>
      </c>
      <c r="AH32" s="3" t="s">
        <v>46</v>
      </c>
    </row>
    <row r="33" spans="1:34" s="3" customFormat="1">
      <c r="A33" s="3" t="s">
        <v>32</v>
      </c>
      <c r="B33" s="3" t="s">
        <v>1599</v>
      </c>
      <c r="C33" s="3" t="s">
        <v>1600</v>
      </c>
      <c r="D33" s="3" t="s">
        <v>35</v>
      </c>
      <c r="E33" s="3" t="s">
        <v>36</v>
      </c>
      <c r="H33" s="3" t="s">
        <v>1588</v>
      </c>
      <c r="I33" s="3" t="s">
        <v>1601</v>
      </c>
      <c r="J33" s="3" t="s">
        <v>41</v>
      </c>
      <c r="K33" s="3" t="s">
        <v>42</v>
      </c>
      <c r="L33" s="3" t="s">
        <v>205</v>
      </c>
      <c r="M33" s="3" t="s">
        <v>206</v>
      </c>
      <c r="N33" s="8">
        <f t="shared" si="0"/>
        <v>3148029</v>
      </c>
      <c r="O33" s="12">
        <f t="shared" si="1"/>
        <v>0</v>
      </c>
      <c r="P33" s="8">
        <v>598125.51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3746154.51</v>
      </c>
      <c r="AG33" s="3" t="s">
        <v>45</v>
      </c>
      <c r="AH33" s="3" t="s">
        <v>46</v>
      </c>
    </row>
    <row r="34" spans="1:34" s="3" customFormat="1">
      <c r="A34" s="3" t="s">
        <v>32</v>
      </c>
      <c r="B34" s="3" t="s">
        <v>1596</v>
      </c>
      <c r="C34" s="3" t="s">
        <v>1597</v>
      </c>
      <c r="D34" s="3" t="s">
        <v>35</v>
      </c>
      <c r="E34" s="3" t="s">
        <v>36</v>
      </c>
      <c r="H34" s="3" t="s">
        <v>1588</v>
      </c>
      <c r="I34" s="3" t="s">
        <v>1598</v>
      </c>
      <c r="J34" s="3" t="s">
        <v>41</v>
      </c>
      <c r="K34" s="3" t="s">
        <v>42</v>
      </c>
      <c r="L34" s="3" t="s">
        <v>205</v>
      </c>
      <c r="M34" s="3" t="s">
        <v>206</v>
      </c>
      <c r="N34" s="8">
        <f t="shared" si="0"/>
        <v>3219000</v>
      </c>
      <c r="O34" s="12">
        <f t="shared" si="1"/>
        <v>0</v>
      </c>
      <c r="P34" s="8">
        <v>611610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3830610</v>
      </c>
      <c r="AG34" s="3" t="s">
        <v>45</v>
      </c>
      <c r="AH34" s="3" t="s">
        <v>46</v>
      </c>
    </row>
    <row r="35" spans="1:34" s="3" customFormat="1">
      <c r="A35" s="3" t="s">
        <v>32</v>
      </c>
      <c r="B35" s="3" t="s">
        <v>1593</v>
      </c>
      <c r="C35" s="3" t="s">
        <v>1594</v>
      </c>
      <c r="D35" s="3" t="s">
        <v>35</v>
      </c>
      <c r="E35" s="3" t="s">
        <v>36</v>
      </c>
      <c r="H35" s="3" t="s">
        <v>1588</v>
      </c>
      <c r="I35" s="3" t="s">
        <v>1595</v>
      </c>
      <c r="J35" s="3" t="s">
        <v>41</v>
      </c>
      <c r="K35" s="3" t="s">
        <v>42</v>
      </c>
      <c r="L35" s="3" t="s">
        <v>205</v>
      </c>
      <c r="M35" s="3" t="s">
        <v>206</v>
      </c>
      <c r="N35" s="8">
        <f t="shared" si="0"/>
        <v>13656550</v>
      </c>
      <c r="O35" s="12">
        <f t="shared" si="1"/>
        <v>0</v>
      </c>
      <c r="P35" s="8">
        <v>2594744.5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16251294.5</v>
      </c>
      <c r="AG35" s="3" t="s">
        <v>45</v>
      </c>
      <c r="AH35" s="3" t="s">
        <v>46</v>
      </c>
    </row>
    <row r="36" spans="1:34" s="3" customFormat="1">
      <c r="A36" s="3" t="s">
        <v>32</v>
      </c>
      <c r="B36" s="3" t="s">
        <v>1590</v>
      </c>
      <c r="C36" s="3" t="s">
        <v>1591</v>
      </c>
      <c r="D36" s="3" t="s">
        <v>35</v>
      </c>
      <c r="E36" s="3" t="s">
        <v>36</v>
      </c>
      <c r="H36" s="3" t="s">
        <v>1588</v>
      </c>
      <c r="I36" s="3" t="s">
        <v>1592</v>
      </c>
      <c r="J36" s="3" t="s">
        <v>41</v>
      </c>
      <c r="K36" s="3" t="s">
        <v>42</v>
      </c>
      <c r="L36" s="3" t="s">
        <v>205</v>
      </c>
      <c r="M36" s="3" t="s">
        <v>206</v>
      </c>
      <c r="N36" s="8">
        <f t="shared" ref="N36:N67" si="2">+P36/19*100</f>
        <v>5084883</v>
      </c>
      <c r="O36" s="12">
        <f t="shared" ref="O36:O67" si="3">+AF36-N36-P36</f>
        <v>0</v>
      </c>
      <c r="P36" s="8">
        <v>966127.77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6051010.7699999996</v>
      </c>
      <c r="AG36" s="3" t="s">
        <v>45</v>
      </c>
      <c r="AH36" s="3" t="s">
        <v>46</v>
      </c>
    </row>
    <row r="37" spans="1:34" s="3" customFormat="1">
      <c r="A37" s="3" t="s">
        <v>32</v>
      </c>
      <c r="B37" s="3" t="s">
        <v>1586</v>
      </c>
      <c r="C37" s="3" t="s">
        <v>1587</v>
      </c>
      <c r="D37" s="3" t="s">
        <v>35</v>
      </c>
      <c r="E37" s="3" t="s">
        <v>36</v>
      </c>
      <c r="H37" s="3" t="s">
        <v>1588</v>
      </c>
      <c r="I37" s="3" t="s">
        <v>1589</v>
      </c>
      <c r="J37" s="3" t="s">
        <v>41</v>
      </c>
      <c r="K37" s="3" t="s">
        <v>42</v>
      </c>
      <c r="L37" s="3" t="s">
        <v>205</v>
      </c>
      <c r="M37" s="3" t="s">
        <v>206</v>
      </c>
      <c r="N37" s="8">
        <f t="shared" si="2"/>
        <v>13797319.999999998</v>
      </c>
      <c r="O37" s="12">
        <f t="shared" si="3"/>
        <v>0</v>
      </c>
      <c r="P37" s="8">
        <v>2621490.7999999998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16418810.800000001</v>
      </c>
      <c r="AG37" s="3" t="s">
        <v>45</v>
      </c>
      <c r="AH37" s="3" t="s">
        <v>46</v>
      </c>
    </row>
    <row r="38" spans="1:34" s="3" customFormat="1">
      <c r="A38" s="3" t="s">
        <v>32</v>
      </c>
      <c r="B38" s="3" t="s">
        <v>1705</v>
      </c>
      <c r="C38" s="3" t="s">
        <v>1706</v>
      </c>
      <c r="D38" s="3" t="s">
        <v>35</v>
      </c>
      <c r="E38" s="3" t="s">
        <v>36</v>
      </c>
      <c r="H38" s="3" t="s">
        <v>1707</v>
      </c>
      <c r="I38" s="3" t="s">
        <v>1708</v>
      </c>
      <c r="J38" s="3" t="s">
        <v>41</v>
      </c>
      <c r="K38" s="3" t="s">
        <v>42</v>
      </c>
      <c r="L38" s="3" t="s">
        <v>192</v>
      </c>
      <c r="M38" s="3" t="s">
        <v>193</v>
      </c>
      <c r="N38" s="8">
        <f t="shared" si="2"/>
        <v>0</v>
      </c>
      <c r="O38" s="12">
        <f t="shared" si="3"/>
        <v>1200000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1200000</v>
      </c>
      <c r="AG38" s="3" t="s">
        <v>45</v>
      </c>
      <c r="AH38" s="3" t="s">
        <v>46</v>
      </c>
    </row>
    <row r="39" spans="1:34" s="3" customFormat="1">
      <c r="A39" s="3" t="s">
        <v>32</v>
      </c>
      <c r="B39" s="3" t="s">
        <v>1689</v>
      </c>
      <c r="C39" s="3" t="s">
        <v>1690</v>
      </c>
      <c r="D39" s="3" t="s">
        <v>35</v>
      </c>
      <c r="E39" s="3" t="s">
        <v>36</v>
      </c>
      <c r="H39" s="3" t="s">
        <v>1691</v>
      </c>
      <c r="I39" s="3" t="s">
        <v>1692</v>
      </c>
      <c r="J39" s="3" t="s">
        <v>41</v>
      </c>
      <c r="K39" s="3" t="s">
        <v>42</v>
      </c>
      <c r="L39" s="3" t="s">
        <v>43</v>
      </c>
      <c r="M39" s="3" t="s">
        <v>44</v>
      </c>
      <c r="N39" s="8">
        <f t="shared" si="2"/>
        <v>4090475</v>
      </c>
      <c r="O39" s="12">
        <f t="shared" si="3"/>
        <v>0</v>
      </c>
      <c r="P39" s="8">
        <v>777190.25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4867665.25</v>
      </c>
      <c r="AG39" s="3" t="s">
        <v>45</v>
      </c>
      <c r="AH39" s="3" t="s">
        <v>46</v>
      </c>
    </row>
    <row r="40" spans="1:34" s="3" customFormat="1">
      <c r="A40" s="3" t="s">
        <v>32</v>
      </c>
      <c r="B40" s="3" t="s">
        <v>1685</v>
      </c>
      <c r="C40" s="3" t="s">
        <v>1686</v>
      </c>
      <c r="D40" s="3" t="s">
        <v>35</v>
      </c>
      <c r="E40" s="3" t="s">
        <v>36</v>
      </c>
      <c r="H40" s="3" t="s">
        <v>1687</v>
      </c>
      <c r="I40" s="3" t="s">
        <v>1688</v>
      </c>
      <c r="J40" s="3" t="s">
        <v>41</v>
      </c>
      <c r="K40" s="3" t="s">
        <v>42</v>
      </c>
      <c r="L40" s="3" t="s">
        <v>43</v>
      </c>
      <c r="M40" s="3" t="s">
        <v>44</v>
      </c>
      <c r="N40" s="8">
        <f t="shared" si="2"/>
        <v>6391855</v>
      </c>
      <c r="O40" s="12">
        <f t="shared" si="3"/>
        <v>0</v>
      </c>
      <c r="P40" s="8">
        <v>1214452.45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7606307.4500000002</v>
      </c>
      <c r="AG40" s="3" t="s">
        <v>45</v>
      </c>
      <c r="AH40" s="3" t="s">
        <v>46</v>
      </c>
    </row>
    <row r="41" spans="1:34" s="3" customFormat="1">
      <c r="A41" s="3" t="s">
        <v>32</v>
      </c>
      <c r="B41" s="3" t="s">
        <v>1462</v>
      </c>
      <c r="C41" s="3" t="s">
        <v>1463</v>
      </c>
      <c r="D41" s="3" t="s">
        <v>35</v>
      </c>
      <c r="E41" s="3" t="s">
        <v>36</v>
      </c>
      <c r="H41" s="3" t="s">
        <v>1460</v>
      </c>
      <c r="I41" s="3" t="s">
        <v>1464</v>
      </c>
      <c r="J41" s="3" t="s">
        <v>41</v>
      </c>
      <c r="K41" s="3" t="s">
        <v>42</v>
      </c>
      <c r="L41" s="3" t="s">
        <v>43</v>
      </c>
      <c r="M41" s="3" t="s">
        <v>44</v>
      </c>
      <c r="N41" s="8">
        <f t="shared" si="2"/>
        <v>1492675</v>
      </c>
      <c r="O41" s="12">
        <f t="shared" si="3"/>
        <v>0</v>
      </c>
      <c r="P41" s="8">
        <v>283608.25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1776283.25</v>
      </c>
      <c r="AG41" s="3" t="s">
        <v>45</v>
      </c>
      <c r="AH41" s="3" t="s">
        <v>46</v>
      </c>
    </row>
    <row r="42" spans="1:34" s="3" customFormat="1">
      <c r="A42" s="3" t="s">
        <v>32</v>
      </c>
      <c r="B42" s="3" t="s">
        <v>1458</v>
      </c>
      <c r="C42" s="3" t="s">
        <v>1459</v>
      </c>
      <c r="D42" s="3" t="s">
        <v>35</v>
      </c>
      <c r="E42" s="3" t="s">
        <v>36</v>
      </c>
      <c r="H42" s="3" t="s">
        <v>1460</v>
      </c>
      <c r="I42" s="3" t="s">
        <v>1461</v>
      </c>
      <c r="J42" s="3" t="s">
        <v>41</v>
      </c>
      <c r="K42" s="3" t="s">
        <v>42</v>
      </c>
      <c r="L42" s="3" t="s">
        <v>43</v>
      </c>
      <c r="M42" s="3" t="s">
        <v>44</v>
      </c>
      <c r="N42" s="8">
        <f t="shared" si="2"/>
        <v>1860818</v>
      </c>
      <c r="O42" s="12">
        <f t="shared" si="3"/>
        <v>0</v>
      </c>
      <c r="P42" s="8">
        <v>353555.42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2214373.42</v>
      </c>
      <c r="AG42" s="3" t="s">
        <v>45</v>
      </c>
      <c r="AH42" s="3" t="s">
        <v>46</v>
      </c>
    </row>
    <row r="43" spans="1:34" s="3" customFormat="1">
      <c r="A43" s="3" t="s">
        <v>32</v>
      </c>
      <c r="B43" s="3" t="s">
        <v>1371</v>
      </c>
      <c r="C43" s="3" t="s">
        <v>1372</v>
      </c>
      <c r="D43" s="3" t="s">
        <v>35</v>
      </c>
      <c r="E43" s="3" t="s">
        <v>36</v>
      </c>
      <c r="H43" s="3" t="s">
        <v>1369</v>
      </c>
      <c r="I43" s="3" t="s">
        <v>1373</v>
      </c>
      <c r="J43" s="3" t="s">
        <v>41</v>
      </c>
      <c r="K43" s="3" t="s">
        <v>42</v>
      </c>
      <c r="L43" s="3" t="s">
        <v>205</v>
      </c>
      <c r="M43" s="3" t="s">
        <v>206</v>
      </c>
      <c r="N43" s="8">
        <f t="shared" si="2"/>
        <v>3219000</v>
      </c>
      <c r="O43" s="12">
        <f t="shared" si="3"/>
        <v>0</v>
      </c>
      <c r="P43" s="8">
        <v>611610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3830610</v>
      </c>
      <c r="AG43" s="3" t="s">
        <v>45</v>
      </c>
      <c r="AH43" s="3" t="s">
        <v>46</v>
      </c>
    </row>
    <row r="44" spans="1:34" s="3" customFormat="1">
      <c r="A44" s="3" t="s">
        <v>32</v>
      </c>
      <c r="B44" s="3" t="s">
        <v>1367</v>
      </c>
      <c r="C44" s="3" t="s">
        <v>1368</v>
      </c>
      <c r="D44" s="3" t="s">
        <v>35</v>
      </c>
      <c r="E44" s="3" t="s">
        <v>36</v>
      </c>
      <c r="H44" s="3" t="s">
        <v>1369</v>
      </c>
      <c r="I44" s="3" t="s">
        <v>1370</v>
      </c>
      <c r="J44" s="3" t="s">
        <v>41</v>
      </c>
      <c r="K44" s="3" t="s">
        <v>42</v>
      </c>
      <c r="L44" s="3" t="s">
        <v>205</v>
      </c>
      <c r="M44" s="3" t="s">
        <v>206</v>
      </c>
      <c r="N44" s="8">
        <f t="shared" si="2"/>
        <v>461370</v>
      </c>
      <c r="O44" s="12">
        <f t="shared" si="3"/>
        <v>0</v>
      </c>
      <c r="P44" s="8">
        <v>87660.3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549030.30000000005</v>
      </c>
      <c r="AG44" s="3" t="s">
        <v>45</v>
      </c>
      <c r="AH44" s="3" t="s">
        <v>46</v>
      </c>
    </row>
    <row r="45" spans="1:34" s="3" customFormat="1">
      <c r="A45" s="3" t="s">
        <v>32</v>
      </c>
      <c r="B45" s="3" t="s">
        <v>1634</v>
      </c>
      <c r="C45" s="3" t="s">
        <v>1635</v>
      </c>
      <c r="D45" s="3" t="s">
        <v>35</v>
      </c>
      <c r="E45" s="3" t="s">
        <v>36</v>
      </c>
      <c r="H45" s="3" t="s">
        <v>1378</v>
      </c>
      <c r="I45" s="3" t="s">
        <v>1636</v>
      </c>
      <c r="J45" s="3" t="s">
        <v>41</v>
      </c>
      <c r="K45" s="3" t="s">
        <v>42</v>
      </c>
      <c r="L45" s="3" t="s">
        <v>365</v>
      </c>
      <c r="M45" s="3" t="s">
        <v>366</v>
      </c>
      <c r="N45" s="8">
        <f t="shared" si="2"/>
        <v>0</v>
      </c>
      <c r="O45" s="12">
        <f t="shared" si="3"/>
        <v>4050240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4050240</v>
      </c>
      <c r="AG45" s="3" t="s">
        <v>45</v>
      </c>
      <c r="AH45" s="3" t="s">
        <v>46</v>
      </c>
    </row>
    <row r="46" spans="1:34" s="3" customFormat="1">
      <c r="A46" s="3" t="s">
        <v>32</v>
      </c>
      <c r="B46" s="3" t="s">
        <v>1637</v>
      </c>
      <c r="C46" s="3" t="s">
        <v>1638</v>
      </c>
      <c r="D46" s="3" t="s">
        <v>35</v>
      </c>
      <c r="E46" s="3" t="s">
        <v>36</v>
      </c>
      <c r="H46" s="3" t="s">
        <v>1378</v>
      </c>
      <c r="I46" s="3" t="s">
        <v>1639</v>
      </c>
      <c r="J46" s="3" t="s">
        <v>41</v>
      </c>
      <c r="K46" s="3" t="s">
        <v>42</v>
      </c>
      <c r="L46" s="3" t="s">
        <v>850</v>
      </c>
      <c r="M46" s="3" t="s">
        <v>851</v>
      </c>
      <c r="N46" s="8">
        <f t="shared" si="2"/>
        <v>0</v>
      </c>
      <c r="O46" s="12">
        <f t="shared" si="3"/>
        <v>120948335.78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120948335.78</v>
      </c>
      <c r="AG46" s="3" t="s">
        <v>45</v>
      </c>
      <c r="AH46" s="3" t="s">
        <v>46</v>
      </c>
    </row>
    <row r="47" spans="1:34" s="3" customFormat="1">
      <c r="A47" s="3" t="s">
        <v>32</v>
      </c>
      <c r="B47" s="3" t="s">
        <v>1354</v>
      </c>
      <c r="C47" s="3" t="s">
        <v>1355</v>
      </c>
      <c r="D47" s="3" t="s">
        <v>35</v>
      </c>
      <c r="E47" s="3" t="s">
        <v>36</v>
      </c>
      <c r="F47" s="3" t="s">
        <v>37</v>
      </c>
      <c r="G47" s="3" t="s">
        <v>38</v>
      </c>
      <c r="H47" s="3" t="s">
        <v>1349</v>
      </c>
      <c r="I47" s="3" t="s">
        <v>1356</v>
      </c>
      <c r="J47" s="3" t="s">
        <v>41</v>
      </c>
      <c r="K47" s="3" t="s">
        <v>42</v>
      </c>
      <c r="L47" s="3" t="s">
        <v>205</v>
      </c>
      <c r="M47" s="3" t="s">
        <v>206</v>
      </c>
      <c r="N47" s="8">
        <f t="shared" si="2"/>
        <v>5084883</v>
      </c>
      <c r="O47" s="12">
        <f t="shared" si="3"/>
        <v>0</v>
      </c>
      <c r="P47" s="8">
        <v>966127.77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6051010.7699999996</v>
      </c>
      <c r="AG47" s="3" t="s">
        <v>45</v>
      </c>
      <c r="AH47" s="3" t="s">
        <v>46</v>
      </c>
    </row>
    <row r="48" spans="1:34" s="3" customFormat="1">
      <c r="A48" s="3" t="s">
        <v>32</v>
      </c>
      <c r="B48" s="3" t="s">
        <v>1357</v>
      </c>
      <c r="C48" s="3" t="s">
        <v>1358</v>
      </c>
      <c r="D48" s="3" t="s">
        <v>35</v>
      </c>
      <c r="E48" s="3" t="s">
        <v>36</v>
      </c>
      <c r="F48" s="3" t="s">
        <v>37</v>
      </c>
      <c r="G48" s="3" t="s">
        <v>38</v>
      </c>
      <c r="H48" s="3" t="s">
        <v>1349</v>
      </c>
      <c r="I48" s="3" t="s">
        <v>1359</v>
      </c>
      <c r="J48" s="3" t="s">
        <v>41</v>
      </c>
      <c r="K48" s="3" t="s">
        <v>42</v>
      </c>
      <c r="L48" s="3" t="s">
        <v>205</v>
      </c>
      <c r="M48" s="3" t="s">
        <v>206</v>
      </c>
      <c r="N48" s="8">
        <f t="shared" si="2"/>
        <v>3219000</v>
      </c>
      <c r="O48" s="12">
        <f t="shared" si="3"/>
        <v>0</v>
      </c>
      <c r="P48" s="8">
        <v>611610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3830610</v>
      </c>
      <c r="AG48" s="3" t="s">
        <v>45</v>
      </c>
      <c r="AH48" s="3" t="s">
        <v>46</v>
      </c>
    </row>
    <row r="49" spans="1:35" s="3" customFormat="1">
      <c r="A49" s="3" t="s">
        <v>32</v>
      </c>
      <c r="B49" s="3" t="s">
        <v>1351</v>
      </c>
      <c r="C49" s="3" t="s">
        <v>1352</v>
      </c>
      <c r="D49" s="3" t="s">
        <v>35</v>
      </c>
      <c r="E49" s="3" t="s">
        <v>36</v>
      </c>
      <c r="F49" s="3" t="s">
        <v>37</v>
      </c>
      <c r="G49" s="3" t="s">
        <v>38</v>
      </c>
      <c r="H49" s="3" t="s">
        <v>1349</v>
      </c>
      <c r="I49" s="3" t="s">
        <v>1353</v>
      </c>
      <c r="J49" s="3" t="s">
        <v>41</v>
      </c>
      <c r="K49" s="3" t="s">
        <v>42</v>
      </c>
      <c r="L49" s="3" t="s">
        <v>205</v>
      </c>
      <c r="M49" s="3" t="s">
        <v>206</v>
      </c>
      <c r="N49" s="8">
        <f t="shared" si="2"/>
        <v>5084883</v>
      </c>
      <c r="O49" s="12">
        <f t="shared" si="3"/>
        <v>0</v>
      </c>
      <c r="P49" s="8">
        <v>966127.77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6051010.7699999996</v>
      </c>
      <c r="AG49" s="3" t="s">
        <v>45</v>
      </c>
      <c r="AH49" s="3" t="s">
        <v>46</v>
      </c>
    </row>
    <row r="50" spans="1:35" s="3" customFormat="1">
      <c r="A50" s="3" t="s">
        <v>32</v>
      </c>
      <c r="B50" s="3" t="s">
        <v>1347</v>
      </c>
      <c r="C50" s="3" t="s">
        <v>1348</v>
      </c>
      <c r="D50" s="3" t="s">
        <v>35</v>
      </c>
      <c r="E50" s="3" t="s">
        <v>36</v>
      </c>
      <c r="F50" s="3" t="s">
        <v>37</v>
      </c>
      <c r="G50" s="3" t="s">
        <v>38</v>
      </c>
      <c r="H50" s="3" t="s">
        <v>1349</v>
      </c>
      <c r="I50" s="3" t="s">
        <v>1350</v>
      </c>
      <c r="J50" s="3" t="s">
        <v>41</v>
      </c>
      <c r="K50" s="3" t="s">
        <v>42</v>
      </c>
      <c r="L50" s="3" t="s">
        <v>205</v>
      </c>
      <c r="M50" s="3" t="s">
        <v>206</v>
      </c>
      <c r="N50" s="8">
        <f t="shared" si="2"/>
        <v>1981400</v>
      </c>
      <c r="O50" s="12">
        <f t="shared" si="3"/>
        <v>0</v>
      </c>
      <c r="P50" s="8">
        <v>376466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2357866</v>
      </c>
      <c r="AG50" s="3" t="s">
        <v>45</v>
      </c>
      <c r="AH50" s="3" t="s">
        <v>46</v>
      </c>
    </row>
    <row r="51" spans="1:35" s="3" customFormat="1">
      <c r="A51" s="3" t="s">
        <v>32</v>
      </c>
      <c r="B51" s="3" t="s">
        <v>1631</v>
      </c>
      <c r="C51" s="3" t="s">
        <v>1632</v>
      </c>
      <c r="D51" s="3" t="s">
        <v>35</v>
      </c>
      <c r="E51" s="3" t="s">
        <v>36</v>
      </c>
      <c r="F51" s="3" t="s">
        <v>37</v>
      </c>
      <c r="G51" s="3" t="s">
        <v>38</v>
      </c>
      <c r="H51" s="3" t="s">
        <v>1362</v>
      </c>
      <c r="I51" s="3" t="s">
        <v>1633</v>
      </c>
      <c r="J51" s="3" t="s">
        <v>41</v>
      </c>
      <c r="K51" s="3" t="s">
        <v>42</v>
      </c>
      <c r="L51" s="3" t="s">
        <v>365</v>
      </c>
      <c r="M51" s="3" t="s">
        <v>366</v>
      </c>
      <c r="N51" s="8">
        <f t="shared" si="2"/>
        <v>0</v>
      </c>
      <c r="O51" s="12">
        <f t="shared" si="3"/>
        <v>1717560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1717560</v>
      </c>
      <c r="AG51" s="3" t="s">
        <v>45</v>
      </c>
      <c r="AH51" s="3" t="s">
        <v>46</v>
      </c>
    </row>
    <row r="52" spans="1:35" s="3" customFormat="1">
      <c r="A52" s="3" t="s">
        <v>32</v>
      </c>
      <c r="B52" s="3" t="s">
        <v>1364</v>
      </c>
      <c r="C52" s="3" t="s">
        <v>1365</v>
      </c>
      <c r="D52" s="3" t="s">
        <v>35</v>
      </c>
      <c r="E52" s="3" t="s">
        <v>36</v>
      </c>
      <c r="F52" s="3" t="s">
        <v>37</v>
      </c>
      <c r="G52" s="3" t="s">
        <v>38</v>
      </c>
      <c r="H52" s="3" t="s">
        <v>1362</v>
      </c>
      <c r="I52" s="3" t="s">
        <v>1366</v>
      </c>
      <c r="J52" s="3" t="s">
        <v>41</v>
      </c>
      <c r="K52" s="3" t="s">
        <v>42</v>
      </c>
      <c r="L52" s="3" t="s">
        <v>205</v>
      </c>
      <c r="M52" s="3" t="s">
        <v>206</v>
      </c>
      <c r="N52" s="8">
        <f t="shared" si="2"/>
        <v>461370</v>
      </c>
      <c r="O52" s="12">
        <f t="shared" si="3"/>
        <v>0</v>
      </c>
      <c r="P52" s="8">
        <v>87660.3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549030.30000000005</v>
      </c>
      <c r="AG52" s="3" t="s">
        <v>45</v>
      </c>
      <c r="AH52" s="3" t="s">
        <v>46</v>
      </c>
    </row>
    <row r="53" spans="1:35" s="3" customFormat="1">
      <c r="A53" s="3" t="s">
        <v>32</v>
      </c>
      <c r="B53" s="3" t="s">
        <v>1360</v>
      </c>
      <c r="C53" s="3" t="s">
        <v>1361</v>
      </c>
      <c r="D53" s="3" t="s">
        <v>35</v>
      </c>
      <c r="E53" s="3" t="s">
        <v>36</v>
      </c>
      <c r="F53" s="3" t="s">
        <v>37</v>
      </c>
      <c r="G53" s="3" t="s">
        <v>38</v>
      </c>
      <c r="H53" s="3" t="s">
        <v>1362</v>
      </c>
      <c r="I53" s="3" t="s">
        <v>1363</v>
      </c>
      <c r="J53" s="3" t="s">
        <v>41</v>
      </c>
      <c r="K53" s="3" t="s">
        <v>42</v>
      </c>
      <c r="L53" s="3" t="s">
        <v>205</v>
      </c>
      <c r="M53" s="3" t="s">
        <v>206</v>
      </c>
      <c r="N53" s="8">
        <f t="shared" si="2"/>
        <v>420688</v>
      </c>
      <c r="O53" s="12">
        <f t="shared" si="3"/>
        <v>0</v>
      </c>
      <c r="P53" s="8">
        <v>79930.720000000001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500618.72</v>
      </c>
      <c r="AG53" s="3" t="s">
        <v>45</v>
      </c>
      <c r="AH53" s="3" t="s">
        <v>46</v>
      </c>
    </row>
    <row r="54" spans="1:35" s="3" customFormat="1">
      <c r="A54" s="3" t="s">
        <v>32</v>
      </c>
      <c r="B54" s="3" t="s">
        <v>1574</v>
      </c>
      <c r="C54" s="3" t="s">
        <v>1575</v>
      </c>
      <c r="D54" s="3" t="s">
        <v>35</v>
      </c>
      <c r="E54" s="3" t="s">
        <v>36</v>
      </c>
      <c r="F54" s="3" t="s">
        <v>37</v>
      </c>
      <c r="G54" s="3" t="s">
        <v>38</v>
      </c>
      <c r="H54" s="3" t="s">
        <v>1576</v>
      </c>
      <c r="I54" s="3" t="s">
        <v>1577</v>
      </c>
      <c r="J54" s="3" t="s">
        <v>41</v>
      </c>
      <c r="K54" s="3" t="s">
        <v>42</v>
      </c>
      <c r="L54" s="3" t="s">
        <v>372</v>
      </c>
      <c r="M54" s="3" t="s">
        <v>373</v>
      </c>
      <c r="N54" s="8">
        <f t="shared" si="2"/>
        <v>0</v>
      </c>
      <c r="O54" s="12">
        <f t="shared" si="3"/>
        <v>9675600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9675600</v>
      </c>
      <c r="AG54" s="3" t="s">
        <v>45</v>
      </c>
      <c r="AH54" s="3" t="s">
        <v>46</v>
      </c>
      <c r="AI54" s="13"/>
    </row>
    <row r="55" spans="1:35" s="3" customFormat="1">
      <c r="A55" s="3" t="s">
        <v>32</v>
      </c>
      <c r="B55" s="3" t="s">
        <v>1518</v>
      </c>
      <c r="C55" s="3" t="s">
        <v>1519</v>
      </c>
      <c r="D55" s="3" t="s">
        <v>35</v>
      </c>
      <c r="E55" s="3" t="s">
        <v>36</v>
      </c>
      <c r="F55" s="3" t="s">
        <v>37</v>
      </c>
      <c r="G55" s="3" t="s">
        <v>38</v>
      </c>
      <c r="H55" s="3" t="s">
        <v>1402</v>
      </c>
      <c r="I55" s="3" t="s">
        <v>1520</v>
      </c>
      <c r="J55" s="3" t="s">
        <v>41</v>
      </c>
      <c r="K55" s="3" t="s">
        <v>42</v>
      </c>
      <c r="L55" s="3" t="s">
        <v>365</v>
      </c>
      <c r="M55" s="3" t="s">
        <v>366</v>
      </c>
      <c r="N55" s="8">
        <f t="shared" si="2"/>
        <v>0</v>
      </c>
      <c r="O55" s="12">
        <f t="shared" si="3"/>
        <v>2817560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2817560</v>
      </c>
      <c r="AG55" s="3" t="s">
        <v>45</v>
      </c>
      <c r="AH55" s="3" t="s">
        <v>46</v>
      </c>
    </row>
    <row r="56" spans="1:35" s="3" customFormat="1">
      <c r="A56" s="3" t="s">
        <v>32</v>
      </c>
      <c r="B56" s="3" t="s">
        <v>1400</v>
      </c>
      <c r="C56" s="3" t="s">
        <v>1401</v>
      </c>
      <c r="D56" s="3" t="s">
        <v>35</v>
      </c>
      <c r="E56" s="3" t="s">
        <v>36</v>
      </c>
      <c r="F56" s="3" t="s">
        <v>37</v>
      </c>
      <c r="G56" s="3" t="s">
        <v>38</v>
      </c>
      <c r="H56" s="3" t="s">
        <v>1402</v>
      </c>
      <c r="I56" s="3" t="s">
        <v>1403</v>
      </c>
      <c r="J56" s="3" t="s">
        <v>41</v>
      </c>
      <c r="K56" s="3" t="s">
        <v>42</v>
      </c>
      <c r="L56" s="3" t="s">
        <v>43</v>
      </c>
      <c r="M56" s="3" t="s">
        <v>44</v>
      </c>
      <c r="N56" s="8">
        <f t="shared" si="2"/>
        <v>1903641</v>
      </c>
      <c r="O56" s="12">
        <f t="shared" si="3"/>
        <v>0</v>
      </c>
      <c r="P56" s="8">
        <v>361691.79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2265332.79</v>
      </c>
      <c r="AG56" s="3" t="s">
        <v>45</v>
      </c>
      <c r="AH56" s="3" t="s">
        <v>46</v>
      </c>
    </row>
    <row r="57" spans="1:35" s="3" customFormat="1">
      <c r="A57" s="3" t="s">
        <v>32</v>
      </c>
      <c r="B57" s="3" t="s">
        <v>1397</v>
      </c>
      <c r="C57" s="3" t="s">
        <v>1398</v>
      </c>
      <c r="D57" s="3" t="s">
        <v>35</v>
      </c>
      <c r="E57" s="3" t="s">
        <v>36</v>
      </c>
      <c r="F57" s="3" t="s">
        <v>37</v>
      </c>
      <c r="G57" s="3" t="s">
        <v>38</v>
      </c>
      <c r="H57" s="3" t="s">
        <v>1392</v>
      </c>
      <c r="I57" s="3" t="s">
        <v>1399</v>
      </c>
      <c r="J57" s="3" t="s">
        <v>41</v>
      </c>
      <c r="K57" s="3" t="s">
        <v>42</v>
      </c>
      <c r="L57" s="3" t="s">
        <v>43</v>
      </c>
      <c r="M57" s="3" t="s">
        <v>44</v>
      </c>
      <c r="N57" s="8">
        <f t="shared" si="2"/>
        <v>9427126</v>
      </c>
      <c r="O57" s="12">
        <f t="shared" si="3"/>
        <v>0</v>
      </c>
      <c r="P57" s="8">
        <v>1791153.94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11218279.939999999</v>
      </c>
      <c r="AG57" s="3" t="s">
        <v>45</v>
      </c>
      <c r="AH57" s="3" t="s">
        <v>46</v>
      </c>
    </row>
    <row r="58" spans="1:35" s="3" customFormat="1">
      <c r="A58" s="3" t="s">
        <v>32</v>
      </c>
      <c r="B58" s="3" t="s">
        <v>1394</v>
      </c>
      <c r="C58" s="3" t="s">
        <v>1395</v>
      </c>
      <c r="D58" s="3" t="s">
        <v>35</v>
      </c>
      <c r="E58" s="3" t="s">
        <v>36</v>
      </c>
      <c r="F58" s="3" t="s">
        <v>37</v>
      </c>
      <c r="G58" s="3" t="s">
        <v>38</v>
      </c>
      <c r="H58" s="3" t="s">
        <v>1392</v>
      </c>
      <c r="I58" s="3" t="s">
        <v>1396</v>
      </c>
      <c r="J58" s="3" t="s">
        <v>41</v>
      </c>
      <c r="K58" s="3" t="s">
        <v>42</v>
      </c>
      <c r="L58" s="3" t="s">
        <v>43</v>
      </c>
      <c r="M58" s="3" t="s">
        <v>44</v>
      </c>
      <c r="N58" s="8">
        <f t="shared" si="2"/>
        <v>12977815</v>
      </c>
      <c r="O58" s="12">
        <f t="shared" si="3"/>
        <v>0</v>
      </c>
      <c r="P58" s="8">
        <v>2465784.85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15443599.85</v>
      </c>
      <c r="AG58" s="3" t="s">
        <v>45</v>
      </c>
      <c r="AH58" s="3" t="s">
        <v>46</v>
      </c>
    </row>
    <row r="59" spans="1:35" s="3" customFormat="1">
      <c r="A59" s="3" t="s">
        <v>32</v>
      </c>
      <c r="B59" s="3" t="s">
        <v>1390</v>
      </c>
      <c r="C59" s="3" t="s">
        <v>1391</v>
      </c>
      <c r="D59" s="3" t="s">
        <v>35</v>
      </c>
      <c r="E59" s="3" t="s">
        <v>36</v>
      </c>
      <c r="F59" s="3" t="s">
        <v>37</v>
      </c>
      <c r="G59" s="3" t="s">
        <v>38</v>
      </c>
      <c r="H59" s="3" t="s">
        <v>1392</v>
      </c>
      <c r="I59" s="3" t="s">
        <v>1393</v>
      </c>
      <c r="J59" s="3" t="s">
        <v>41</v>
      </c>
      <c r="K59" s="3" t="s">
        <v>42</v>
      </c>
      <c r="L59" s="3" t="s">
        <v>43</v>
      </c>
      <c r="M59" s="3" t="s">
        <v>44</v>
      </c>
      <c r="N59" s="8">
        <f t="shared" si="2"/>
        <v>12328924</v>
      </c>
      <c r="O59" s="12">
        <f t="shared" si="3"/>
        <v>0</v>
      </c>
      <c r="P59" s="8">
        <v>2342495.56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14671419.560000001</v>
      </c>
      <c r="AG59" s="3" t="s">
        <v>45</v>
      </c>
      <c r="AH59" s="3" t="s">
        <v>46</v>
      </c>
    </row>
    <row r="60" spans="1:35" s="3" customFormat="1">
      <c r="A60" s="3" t="s">
        <v>32</v>
      </c>
      <c r="B60" s="3" t="s">
        <v>1386</v>
      </c>
      <c r="C60" s="3" t="s">
        <v>1387</v>
      </c>
      <c r="D60" s="3" t="s">
        <v>35</v>
      </c>
      <c r="E60" s="3" t="s">
        <v>36</v>
      </c>
      <c r="F60" s="3" t="s">
        <v>37</v>
      </c>
      <c r="G60" s="3" t="s">
        <v>38</v>
      </c>
      <c r="H60" s="3" t="s">
        <v>1388</v>
      </c>
      <c r="I60" s="3" t="s">
        <v>1389</v>
      </c>
      <c r="J60" s="3" t="s">
        <v>41</v>
      </c>
      <c r="K60" s="3" t="s">
        <v>42</v>
      </c>
      <c r="L60" s="3" t="s">
        <v>43</v>
      </c>
      <c r="M60" s="3" t="s">
        <v>44</v>
      </c>
      <c r="N60" s="8">
        <f t="shared" si="2"/>
        <v>2392634</v>
      </c>
      <c r="O60" s="12">
        <f t="shared" si="3"/>
        <v>0</v>
      </c>
      <c r="P60" s="8">
        <v>454600.46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2847234.46</v>
      </c>
      <c r="AG60" s="3" t="s">
        <v>45</v>
      </c>
      <c r="AH60" s="3" t="s">
        <v>46</v>
      </c>
    </row>
    <row r="61" spans="1:35" s="3" customFormat="1">
      <c r="A61" s="3" t="s">
        <v>32</v>
      </c>
      <c r="B61" s="3" t="s">
        <v>1530</v>
      </c>
      <c r="C61" s="3" t="s">
        <v>1531</v>
      </c>
      <c r="D61" s="3" t="s">
        <v>35</v>
      </c>
      <c r="E61" s="3" t="s">
        <v>36</v>
      </c>
      <c r="F61" s="3" t="s">
        <v>37</v>
      </c>
      <c r="G61" s="3" t="s">
        <v>38</v>
      </c>
      <c r="H61" s="3" t="s">
        <v>1388</v>
      </c>
      <c r="I61" s="3" t="s">
        <v>1532</v>
      </c>
      <c r="J61" s="3" t="s">
        <v>41</v>
      </c>
      <c r="K61" s="3" t="s">
        <v>42</v>
      </c>
      <c r="L61" s="3" t="s">
        <v>192</v>
      </c>
      <c r="M61" s="3" t="s">
        <v>193</v>
      </c>
      <c r="N61" s="8">
        <f t="shared" si="2"/>
        <v>407100</v>
      </c>
      <c r="O61" s="12">
        <f t="shared" si="3"/>
        <v>0</v>
      </c>
      <c r="P61" s="8">
        <v>77349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484449</v>
      </c>
      <c r="AG61" s="3" t="s">
        <v>45</v>
      </c>
      <c r="AH61" s="3" t="s">
        <v>46</v>
      </c>
    </row>
    <row r="62" spans="1:35" s="3" customFormat="1">
      <c r="A62" s="3" t="s">
        <v>32</v>
      </c>
      <c r="B62" s="3" t="s">
        <v>1527</v>
      </c>
      <c r="C62" s="3" t="s">
        <v>1528</v>
      </c>
      <c r="D62" s="3" t="s">
        <v>35</v>
      </c>
      <c r="E62" s="3" t="s">
        <v>36</v>
      </c>
      <c r="F62" s="3" t="s">
        <v>37</v>
      </c>
      <c r="G62" s="3" t="s">
        <v>38</v>
      </c>
      <c r="H62" s="3" t="s">
        <v>1523</v>
      </c>
      <c r="I62" s="3" t="s">
        <v>1529</v>
      </c>
      <c r="J62" s="3" t="s">
        <v>41</v>
      </c>
      <c r="K62" s="3" t="s">
        <v>42</v>
      </c>
      <c r="L62" s="3" t="s">
        <v>192</v>
      </c>
      <c r="M62" s="3" t="s">
        <v>193</v>
      </c>
      <c r="N62" s="8">
        <f t="shared" si="2"/>
        <v>0</v>
      </c>
      <c r="O62" s="12">
        <f t="shared" si="3"/>
        <v>37000000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37000000</v>
      </c>
      <c r="AG62" s="3" t="s">
        <v>45</v>
      </c>
      <c r="AH62" s="3" t="s">
        <v>46</v>
      </c>
    </row>
    <row r="63" spans="1:35" s="3" customFormat="1">
      <c r="A63" s="3" t="s">
        <v>32</v>
      </c>
      <c r="B63" s="3" t="s">
        <v>1521</v>
      </c>
      <c r="C63" s="3" t="s">
        <v>1522</v>
      </c>
      <c r="D63" s="3" t="s">
        <v>35</v>
      </c>
      <c r="E63" s="3" t="s">
        <v>36</v>
      </c>
      <c r="F63" s="3" t="s">
        <v>37</v>
      </c>
      <c r="G63" s="3" t="s">
        <v>38</v>
      </c>
      <c r="H63" s="3" t="s">
        <v>1523</v>
      </c>
      <c r="I63" s="3" t="s">
        <v>1524</v>
      </c>
      <c r="J63" s="3" t="s">
        <v>41</v>
      </c>
      <c r="K63" s="3" t="s">
        <v>42</v>
      </c>
      <c r="L63" s="3" t="s">
        <v>1525</v>
      </c>
      <c r="M63" s="3" t="s">
        <v>1526</v>
      </c>
      <c r="N63" s="8">
        <f t="shared" si="2"/>
        <v>1500000</v>
      </c>
      <c r="O63" s="12">
        <f t="shared" si="3"/>
        <v>0</v>
      </c>
      <c r="P63" s="8">
        <v>285000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1785000</v>
      </c>
      <c r="AG63" s="3" t="s">
        <v>45</v>
      </c>
      <c r="AH63" s="3" t="s">
        <v>46</v>
      </c>
    </row>
    <row r="64" spans="1:35" s="3" customFormat="1">
      <c r="A64" s="3" t="s">
        <v>32</v>
      </c>
      <c r="B64" s="3" t="s">
        <v>1382</v>
      </c>
      <c r="C64" s="3" t="s">
        <v>1383</v>
      </c>
      <c r="D64" s="3" t="s">
        <v>35</v>
      </c>
      <c r="E64" s="3" t="s">
        <v>36</v>
      </c>
      <c r="F64" s="3" t="s">
        <v>37</v>
      </c>
      <c r="G64" s="3" t="s">
        <v>38</v>
      </c>
      <c r="H64" s="3" t="s">
        <v>1384</v>
      </c>
      <c r="I64" s="3" t="s">
        <v>1385</v>
      </c>
      <c r="J64" s="3" t="s">
        <v>41</v>
      </c>
      <c r="K64" s="3" t="s">
        <v>42</v>
      </c>
      <c r="L64" s="3" t="s">
        <v>43</v>
      </c>
      <c r="M64" s="3" t="s">
        <v>44</v>
      </c>
      <c r="N64" s="8">
        <f t="shared" si="2"/>
        <v>1598765</v>
      </c>
      <c r="O64" s="12">
        <f t="shared" si="3"/>
        <v>0</v>
      </c>
      <c r="P64" s="8">
        <v>303765.34999999998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1902530.35</v>
      </c>
      <c r="AG64" s="3" t="s">
        <v>45</v>
      </c>
      <c r="AH64" s="3" t="s">
        <v>46</v>
      </c>
    </row>
    <row r="65" spans="1:35" s="3" customFormat="1">
      <c r="A65" s="3" t="s">
        <v>32</v>
      </c>
      <c r="B65" s="3" t="s">
        <v>685</v>
      </c>
      <c r="C65" s="3" t="s">
        <v>686</v>
      </c>
      <c r="D65" s="3" t="s">
        <v>35</v>
      </c>
      <c r="E65" s="3" t="s">
        <v>36</v>
      </c>
      <c r="F65" s="3" t="s">
        <v>37</v>
      </c>
      <c r="G65" s="3" t="s">
        <v>38</v>
      </c>
      <c r="H65" s="3" t="s">
        <v>687</v>
      </c>
      <c r="I65" s="3" t="s">
        <v>688</v>
      </c>
      <c r="J65" s="3" t="s">
        <v>41</v>
      </c>
      <c r="K65" s="3" t="s">
        <v>42</v>
      </c>
      <c r="L65" s="3" t="s">
        <v>689</v>
      </c>
      <c r="M65" s="3" t="s">
        <v>690</v>
      </c>
      <c r="N65" s="8">
        <f t="shared" si="2"/>
        <v>27484495</v>
      </c>
      <c r="O65" s="12">
        <f t="shared" si="3"/>
        <v>0</v>
      </c>
      <c r="P65" s="8">
        <v>5222054.05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32706549.050000001</v>
      </c>
      <c r="AG65" s="3" t="s">
        <v>45</v>
      </c>
      <c r="AH65" s="3" t="s">
        <v>46</v>
      </c>
      <c r="AI65" s="13"/>
    </row>
    <row r="66" spans="1:35" s="3" customFormat="1">
      <c r="A66" s="3" t="s">
        <v>32</v>
      </c>
      <c r="B66" s="3" t="s">
        <v>1344</v>
      </c>
      <c r="C66" s="3" t="s">
        <v>1345</v>
      </c>
      <c r="D66" s="3" t="s">
        <v>35</v>
      </c>
      <c r="E66" s="3" t="s">
        <v>36</v>
      </c>
      <c r="F66" s="3" t="s">
        <v>37</v>
      </c>
      <c r="G66" s="3" t="s">
        <v>38</v>
      </c>
      <c r="H66" s="3" t="s">
        <v>1342</v>
      </c>
      <c r="I66" s="3" t="s">
        <v>1346</v>
      </c>
      <c r="J66" s="3" t="s">
        <v>41</v>
      </c>
      <c r="K66" s="3" t="s">
        <v>42</v>
      </c>
      <c r="L66" s="3" t="s">
        <v>205</v>
      </c>
      <c r="M66" s="3" t="s">
        <v>206</v>
      </c>
      <c r="N66" s="8">
        <f t="shared" si="2"/>
        <v>13797319.999999998</v>
      </c>
      <c r="O66" s="12">
        <f t="shared" si="3"/>
        <v>0</v>
      </c>
      <c r="P66" s="8">
        <v>2621490.7999999998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16418810.800000001</v>
      </c>
      <c r="AG66" s="3" t="s">
        <v>45</v>
      </c>
      <c r="AH66" s="3" t="s">
        <v>46</v>
      </c>
    </row>
    <row r="67" spans="1:35" s="3" customFormat="1">
      <c r="A67" s="3" t="s">
        <v>32</v>
      </c>
      <c r="B67" s="3" t="s">
        <v>1340</v>
      </c>
      <c r="C67" s="3" t="s">
        <v>1341</v>
      </c>
      <c r="D67" s="3" t="s">
        <v>35</v>
      </c>
      <c r="E67" s="3" t="s">
        <v>36</v>
      </c>
      <c r="F67" s="3" t="s">
        <v>37</v>
      </c>
      <c r="G67" s="3" t="s">
        <v>38</v>
      </c>
      <c r="H67" s="3" t="s">
        <v>1342</v>
      </c>
      <c r="I67" s="3" t="s">
        <v>1343</v>
      </c>
      <c r="J67" s="3" t="s">
        <v>41</v>
      </c>
      <c r="K67" s="3" t="s">
        <v>42</v>
      </c>
      <c r="L67" s="3" t="s">
        <v>205</v>
      </c>
      <c r="M67" s="3" t="s">
        <v>206</v>
      </c>
      <c r="N67" s="8">
        <f t="shared" si="2"/>
        <v>13797319.999999998</v>
      </c>
      <c r="O67" s="12">
        <f t="shared" si="3"/>
        <v>0</v>
      </c>
      <c r="P67" s="8">
        <v>2621490.7999999998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16418810.800000001</v>
      </c>
      <c r="AG67" s="3" t="s">
        <v>45</v>
      </c>
      <c r="AH67" s="3" t="s">
        <v>46</v>
      </c>
    </row>
    <row r="68" spans="1:35" s="3" customFormat="1">
      <c r="A68" s="3" t="s">
        <v>32</v>
      </c>
      <c r="B68" s="3" t="s">
        <v>1336</v>
      </c>
      <c r="C68" s="3" t="s">
        <v>1337</v>
      </c>
      <c r="D68" s="3" t="s">
        <v>35</v>
      </c>
      <c r="E68" s="3" t="s">
        <v>36</v>
      </c>
      <c r="F68" s="3" t="s">
        <v>37</v>
      </c>
      <c r="G68" s="3" t="s">
        <v>38</v>
      </c>
      <c r="H68" s="3" t="s">
        <v>1338</v>
      </c>
      <c r="I68" s="3" t="s">
        <v>1339</v>
      </c>
      <c r="J68" s="3" t="s">
        <v>41</v>
      </c>
      <c r="K68" s="3" t="s">
        <v>42</v>
      </c>
      <c r="L68" s="3" t="s">
        <v>205</v>
      </c>
      <c r="M68" s="3" t="s">
        <v>206</v>
      </c>
      <c r="N68" s="8">
        <f t="shared" ref="N68:N99" si="4">+P68/19*100</f>
        <v>13797319.999999998</v>
      </c>
      <c r="O68" s="12">
        <f t="shared" ref="O68:O99" si="5">+AF68-N68-P68</f>
        <v>0</v>
      </c>
      <c r="P68" s="8">
        <v>2621490.7999999998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16418810.800000001</v>
      </c>
      <c r="AG68" s="3" t="s">
        <v>45</v>
      </c>
      <c r="AH68" s="3" t="s">
        <v>46</v>
      </c>
    </row>
    <row r="69" spans="1:35" s="3" customFormat="1">
      <c r="A69" s="3" t="s">
        <v>32</v>
      </c>
      <c r="B69" s="3" t="s">
        <v>691</v>
      </c>
      <c r="C69" s="3" t="s">
        <v>692</v>
      </c>
      <c r="D69" s="3" t="s">
        <v>35</v>
      </c>
      <c r="E69" s="3" t="s">
        <v>36</v>
      </c>
      <c r="F69" s="3" t="s">
        <v>37</v>
      </c>
      <c r="G69" s="3" t="s">
        <v>38</v>
      </c>
      <c r="H69" s="3" t="s">
        <v>693</v>
      </c>
      <c r="I69" s="3" t="s">
        <v>694</v>
      </c>
      <c r="J69" s="3" t="s">
        <v>41</v>
      </c>
      <c r="K69" s="3" t="s">
        <v>42</v>
      </c>
      <c r="L69" s="3" t="s">
        <v>689</v>
      </c>
      <c r="M69" s="3" t="s">
        <v>690</v>
      </c>
      <c r="N69" s="8">
        <f t="shared" si="4"/>
        <v>15501978</v>
      </c>
      <c r="O69" s="12">
        <f t="shared" si="5"/>
        <v>0</v>
      </c>
      <c r="P69" s="8">
        <v>2945375.82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18447353.82</v>
      </c>
      <c r="AG69" s="3" t="s">
        <v>45</v>
      </c>
      <c r="AH69" s="3" t="s">
        <v>46</v>
      </c>
      <c r="AI69" s="13"/>
    </row>
    <row r="70" spans="1:35" s="3" customFormat="1">
      <c r="A70" s="3" t="s">
        <v>32</v>
      </c>
      <c r="B70" s="3" t="s">
        <v>695</v>
      </c>
      <c r="C70" s="3" t="s">
        <v>696</v>
      </c>
      <c r="D70" s="3" t="s">
        <v>35</v>
      </c>
      <c r="E70" s="3" t="s">
        <v>36</v>
      </c>
      <c r="F70" s="3" t="s">
        <v>37</v>
      </c>
      <c r="G70" s="3" t="s">
        <v>38</v>
      </c>
      <c r="H70" s="3" t="s">
        <v>693</v>
      </c>
      <c r="I70" s="3" t="s">
        <v>697</v>
      </c>
      <c r="J70" s="3" t="s">
        <v>41</v>
      </c>
      <c r="K70" s="3" t="s">
        <v>42</v>
      </c>
      <c r="L70" s="3" t="s">
        <v>689</v>
      </c>
      <c r="M70" s="3" t="s">
        <v>690</v>
      </c>
      <c r="N70" s="8">
        <f t="shared" si="4"/>
        <v>6592425</v>
      </c>
      <c r="O70" s="12">
        <f t="shared" si="5"/>
        <v>0</v>
      </c>
      <c r="P70" s="8">
        <v>1252560.75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7844985.75</v>
      </c>
      <c r="AG70" s="3" t="s">
        <v>45</v>
      </c>
      <c r="AH70" s="3" t="s">
        <v>46</v>
      </c>
      <c r="AI70" s="13"/>
    </row>
    <row r="71" spans="1:35" s="3" customFormat="1">
      <c r="A71" s="3" t="s">
        <v>32</v>
      </c>
      <c r="B71" s="3" t="s">
        <v>1408</v>
      </c>
      <c r="C71" s="3" t="s">
        <v>1409</v>
      </c>
      <c r="D71" s="3" t="s">
        <v>35</v>
      </c>
      <c r="E71" s="3" t="s">
        <v>36</v>
      </c>
      <c r="F71" s="3" t="s">
        <v>37</v>
      </c>
      <c r="G71" s="3" t="s">
        <v>38</v>
      </c>
      <c r="H71" s="3" t="s">
        <v>693</v>
      </c>
      <c r="I71" s="3" t="s">
        <v>1410</v>
      </c>
      <c r="J71" s="3" t="s">
        <v>41</v>
      </c>
      <c r="K71" s="3" t="s">
        <v>42</v>
      </c>
      <c r="L71" s="3" t="s">
        <v>192</v>
      </c>
      <c r="M71" s="3" t="s">
        <v>193</v>
      </c>
      <c r="N71" s="8">
        <f t="shared" si="4"/>
        <v>828000</v>
      </c>
      <c r="O71" s="12">
        <f t="shared" si="5"/>
        <v>0</v>
      </c>
      <c r="P71" s="8">
        <v>157320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985320</v>
      </c>
      <c r="AG71" s="3" t="s">
        <v>45</v>
      </c>
      <c r="AH71" s="3" t="s">
        <v>46</v>
      </c>
    </row>
    <row r="72" spans="1:35" s="3" customFormat="1">
      <c r="A72" s="3" t="s">
        <v>32</v>
      </c>
      <c r="B72" s="3" t="s">
        <v>1282</v>
      </c>
      <c r="C72" s="3" t="s">
        <v>1283</v>
      </c>
      <c r="D72" s="3" t="s">
        <v>35</v>
      </c>
      <c r="E72" s="3" t="s">
        <v>36</v>
      </c>
      <c r="F72" s="3" t="s">
        <v>37</v>
      </c>
      <c r="G72" s="3" t="s">
        <v>38</v>
      </c>
      <c r="H72" s="3" t="s">
        <v>693</v>
      </c>
      <c r="I72" s="3" t="s">
        <v>1284</v>
      </c>
      <c r="J72" s="3" t="s">
        <v>41</v>
      </c>
      <c r="K72" s="3" t="s">
        <v>42</v>
      </c>
      <c r="L72" s="3" t="s">
        <v>43</v>
      </c>
      <c r="M72" s="3" t="s">
        <v>44</v>
      </c>
      <c r="N72" s="8">
        <f t="shared" si="4"/>
        <v>2035537.9999999998</v>
      </c>
      <c r="O72" s="12">
        <f t="shared" si="5"/>
        <v>4.6566128730773926E-10</v>
      </c>
      <c r="P72" s="8">
        <v>386752.22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2422290.2200000002</v>
      </c>
      <c r="AG72" s="3" t="s">
        <v>45</v>
      </c>
      <c r="AH72" s="3" t="s">
        <v>46</v>
      </c>
    </row>
    <row r="73" spans="1:35" s="3" customFormat="1">
      <c r="A73" s="3" t="s">
        <v>32</v>
      </c>
      <c r="B73" s="3" t="s">
        <v>1404</v>
      </c>
      <c r="C73" s="3" t="s">
        <v>1405</v>
      </c>
      <c r="D73" s="3" t="s">
        <v>35</v>
      </c>
      <c r="E73" s="3" t="s">
        <v>36</v>
      </c>
      <c r="F73" s="3" t="s">
        <v>37</v>
      </c>
      <c r="G73" s="3" t="s">
        <v>38</v>
      </c>
      <c r="H73" s="3" t="s">
        <v>1406</v>
      </c>
      <c r="I73" s="3" t="s">
        <v>1407</v>
      </c>
      <c r="J73" s="3" t="s">
        <v>41</v>
      </c>
      <c r="K73" s="3" t="s">
        <v>42</v>
      </c>
      <c r="L73" s="3" t="s">
        <v>192</v>
      </c>
      <c r="M73" s="3" t="s">
        <v>193</v>
      </c>
      <c r="N73" s="8">
        <f t="shared" si="4"/>
        <v>0</v>
      </c>
      <c r="O73" s="12">
        <f t="shared" si="5"/>
        <v>1600000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1600000</v>
      </c>
      <c r="AG73" s="3" t="s">
        <v>45</v>
      </c>
      <c r="AH73" s="3" t="s">
        <v>46</v>
      </c>
    </row>
    <row r="74" spans="1:35" s="3" customFormat="1">
      <c r="A74" s="3" t="s">
        <v>32</v>
      </c>
      <c r="B74" s="3" t="s">
        <v>1279</v>
      </c>
      <c r="C74" s="3" t="s">
        <v>1280</v>
      </c>
      <c r="D74" s="3" t="s">
        <v>35</v>
      </c>
      <c r="E74" s="3" t="s">
        <v>36</v>
      </c>
      <c r="F74" s="3" t="s">
        <v>37</v>
      </c>
      <c r="G74" s="3" t="s">
        <v>38</v>
      </c>
      <c r="H74" s="3" t="s">
        <v>1277</v>
      </c>
      <c r="I74" s="3" t="s">
        <v>1281</v>
      </c>
      <c r="J74" s="3" t="s">
        <v>41</v>
      </c>
      <c r="K74" s="3" t="s">
        <v>42</v>
      </c>
      <c r="L74" s="3" t="s">
        <v>43</v>
      </c>
      <c r="M74" s="3" t="s">
        <v>44</v>
      </c>
      <c r="N74" s="8">
        <f t="shared" si="4"/>
        <v>35797615</v>
      </c>
      <c r="O74" s="12">
        <f t="shared" si="5"/>
        <v>0</v>
      </c>
      <c r="P74" s="8">
        <v>6801546.8499999996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42599161.850000001</v>
      </c>
      <c r="AG74" s="3" t="s">
        <v>45</v>
      </c>
      <c r="AH74" s="3" t="s">
        <v>46</v>
      </c>
    </row>
    <row r="75" spans="1:35" s="3" customFormat="1">
      <c r="A75" s="3" t="s">
        <v>32</v>
      </c>
      <c r="B75" s="3" t="s">
        <v>1275</v>
      </c>
      <c r="C75" s="3" t="s">
        <v>1276</v>
      </c>
      <c r="D75" s="3" t="s">
        <v>35</v>
      </c>
      <c r="E75" s="3" t="s">
        <v>36</v>
      </c>
      <c r="F75" s="3" t="s">
        <v>37</v>
      </c>
      <c r="G75" s="3" t="s">
        <v>38</v>
      </c>
      <c r="H75" s="3" t="s">
        <v>1277</v>
      </c>
      <c r="I75" s="3" t="s">
        <v>1278</v>
      </c>
      <c r="J75" s="3" t="s">
        <v>41</v>
      </c>
      <c r="K75" s="3" t="s">
        <v>42</v>
      </c>
      <c r="L75" s="3" t="s">
        <v>43</v>
      </c>
      <c r="M75" s="3" t="s">
        <v>44</v>
      </c>
      <c r="N75" s="8">
        <f t="shared" si="4"/>
        <v>2163100</v>
      </c>
      <c r="O75" s="12">
        <f t="shared" si="5"/>
        <v>0</v>
      </c>
      <c r="P75" s="8">
        <v>410989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2574089</v>
      </c>
      <c r="AG75" s="3" t="s">
        <v>45</v>
      </c>
      <c r="AH75" s="3" t="s">
        <v>46</v>
      </c>
    </row>
    <row r="76" spans="1:35" s="3" customFormat="1">
      <c r="A76" s="3" t="s">
        <v>32</v>
      </c>
      <c r="B76" s="3" t="s">
        <v>1089</v>
      </c>
      <c r="C76" s="3" t="s">
        <v>1090</v>
      </c>
      <c r="D76" s="3" t="s">
        <v>35</v>
      </c>
      <c r="E76" s="3" t="s">
        <v>36</v>
      </c>
      <c r="F76" s="3" t="s">
        <v>37</v>
      </c>
      <c r="G76" s="3" t="s">
        <v>38</v>
      </c>
      <c r="H76" s="3" t="s">
        <v>1091</v>
      </c>
      <c r="I76" s="3" t="s">
        <v>1092</v>
      </c>
      <c r="J76" s="3" t="s">
        <v>41</v>
      </c>
      <c r="K76" s="3" t="s">
        <v>42</v>
      </c>
      <c r="L76" s="3" t="s">
        <v>205</v>
      </c>
      <c r="M76" s="3" t="s">
        <v>206</v>
      </c>
      <c r="N76" s="8">
        <f t="shared" si="4"/>
        <v>13797319.999999998</v>
      </c>
      <c r="O76" s="12">
        <f t="shared" si="5"/>
        <v>0</v>
      </c>
      <c r="P76" s="8">
        <v>2621490.7999999998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16418810.800000001</v>
      </c>
      <c r="AG76" s="3" t="s">
        <v>45</v>
      </c>
      <c r="AH76" s="3" t="s">
        <v>46</v>
      </c>
    </row>
    <row r="77" spans="1:35" s="3" customFormat="1">
      <c r="A77" s="3" t="s">
        <v>32</v>
      </c>
      <c r="B77" s="3" t="s">
        <v>1059</v>
      </c>
      <c r="C77" s="3" t="s">
        <v>1060</v>
      </c>
      <c r="D77" s="3" t="s">
        <v>35</v>
      </c>
      <c r="E77" s="3" t="s">
        <v>36</v>
      </c>
      <c r="F77" s="3" t="s">
        <v>37</v>
      </c>
      <c r="G77" s="3" t="s">
        <v>38</v>
      </c>
      <c r="H77" s="3" t="s">
        <v>1061</v>
      </c>
      <c r="I77" s="3" t="s">
        <v>1062</v>
      </c>
      <c r="J77" s="3" t="s">
        <v>41</v>
      </c>
      <c r="K77" s="3" t="s">
        <v>42</v>
      </c>
      <c r="L77" s="3" t="s">
        <v>192</v>
      </c>
      <c r="M77" s="3" t="s">
        <v>193</v>
      </c>
      <c r="N77" s="8">
        <f t="shared" si="4"/>
        <v>7860000</v>
      </c>
      <c r="O77" s="12">
        <f t="shared" si="5"/>
        <v>0</v>
      </c>
      <c r="P77" s="8">
        <v>1493400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9353400</v>
      </c>
      <c r="AG77" s="3" t="s">
        <v>45</v>
      </c>
      <c r="AH77" s="3" t="s">
        <v>46</v>
      </c>
    </row>
    <row r="78" spans="1:35" s="3" customFormat="1">
      <c r="A78" s="3" t="s">
        <v>32</v>
      </c>
      <c r="B78" s="3" t="s">
        <v>1086</v>
      </c>
      <c r="C78" s="3" t="s">
        <v>1087</v>
      </c>
      <c r="D78" s="3" t="s">
        <v>35</v>
      </c>
      <c r="E78" s="3" t="s">
        <v>36</v>
      </c>
      <c r="F78" s="3" t="s">
        <v>37</v>
      </c>
      <c r="G78" s="3" t="s">
        <v>38</v>
      </c>
      <c r="H78" s="3" t="s">
        <v>1061</v>
      </c>
      <c r="I78" s="3" t="s">
        <v>1088</v>
      </c>
      <c r="J78" s="3" t="s">
        <v>41</v>
      </c>
      <c r="K78" s="3" t="s">
        <v>42</v>
      </c>
      <c r="L78" s="3" t="s">
        <v>205</v>
      </c>
      <c r="M78" s="3" t="s">
        <v>206</v>
      </c>
      <c r="N78" s="8">
        <f t="shared" si="4"/>
        <v>6569388</v>
      </c>
      <c r="O78" s="12">
        <f t="shared" si="5"/>
        <v>0</v>
      </c>
      <c r="P78" s="8">
        <v>1248183.72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7817571.7199999997</v>
      </c>
      <c r="AG78" s="3" t="s">
        <v>45</v>
      </c>
      <c r="AH78" s="3" t="s">
        <v>46</v>
      </c>
    </row>
    <row r="79" spans="1:35" s="3" customFormat="1">
      <c r="A79" s="3" t="s">
        <v>32</v>
      </c>
      <c r="B79" s="3" t="s">
        <v>1083</v>
      </c>
      <c r="C79" s="3" t="s">
        <v>1084</v>
      </c>
      <c r="D79" s="3" t="s">
        <v>35</v>
      </c>
      <c r="E79" s="3" t="s">
        <v>36</v>
      </c>
      <c r="F79" s="3" t="s">
        <v>37</v>
      </c>
      <c r="G79" s="3" t="s">
        <v>38</v>
      </c>
      <c r="H79" s="3" t="s">
        <v>1061</v>
      </c>
      <c r="I79" s="3" t="s">
        <v>1085</v>
      </c>
      <c r="J79" s="3" t="s">
        <v>41</v>
      </c>
      <c r="K79" s="3" t="s">
        <v>42</v>
      </c>
      <c r="L79" s="3" t="s">
        <v>205</v>
      </c>
      <c r="M79" s="3" t="s">
        <v>206</v>
      </c>
      <c r="N79" s="8">
        <f t="shared" si="4"/>
        <v>6569388</v>
      </c>
      <c r="O79" s="12">
        <f t="shared" si="5"/>
        <v>0</v>
      </c>
      <c r="P79" s="8">
        <v>1248183.72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7817571.7199999997</v>
      </c>
      <c r="AG79" s="3" t="s">
        <v>45</v>
      </c>
      <c r="AH79" s="3" t="s">
        <v>46</v>
      </c>
    </row>
    <row r="80" spans="1:35" s="3" customFormat="1">
      <c r="A80" s="3" t="s">
        <v>32</v>
      </c>
      <c r="B80" s="3" t="s">
        <v>1080</v>
      </c>
      <c r="C80" s="3" t="s">
        <v>1081</v>
      </c>
      <c r="D80" s="3" t="s">
        <v>35</v>
      </c>
      <c r="E80" s="3" t="s">
        <v>36</v>
      </c>
      <c r="F80" s="3" t="s">
        <v>37</v>
      </c>
      <c r="G80" s="3" t="s">
        <v>38</v>
      </c>
      <c r="H80" s="3" t="s">
        <v>1072</v>
      </c>
      <c r="I80" s="3" t="s">
        <v>1082</v>
      </c>
      <c r="J80" s="3" t="s">
        <v>41</v>
      </c>
      <c r="K80" s="3" t="s">
        <v>42</v>
      </c>
      <c r="L80" s="3" t="s">
        <v>205</v>
      </c>
      <c r="M80" s="3" t="s">
        <v>206</v>
      </c>
      <c r="N80" s="8">
        <f t="shared" si="4"/>
        <v>35367576</v>
      </c>
      <c r="O80" s="12">
        <f t="shared" si="5"/>
        <v>0</v>
      </c>
      <c r="P80" s="8">
        <v>6719839.4400000004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42087415.439999998</v>
      </c>
      <c r="AG80" s="3" t="s">
        <v>45</v>
      </c>
      <c r="AH80" s="3" t="s">
        <v>46</v>
      </c>
    </row>
    <row r="81" spans="1:34" s="3" customFormat="1">
      <c r="A81" s="3" t="s">
        <v>32</v>
      </c>
      <c r="B81" s="3" t="s">
        <v>1077</v>
      </c>
      <c r="C81" s="3" t="s">
        <v>1078</v>
      </c>
      <c r="D81" s="3" t="s">
        <v>35</v>
      </c>
      <c r="E81" s="3" t="s">
        <v>36</v>
      </c>
      <c r="F81" s="3" t="s">
        <v>37</v>
      </c>
      <c r="G81" s="3" t="s">
        <v>38</v>
      </c>
      <c r="H81" s="3" t="s">
        <v>1072</v>
      </c>
      <c r="I81" s="3" t="s">
        <v>1079</v>
      </c>
      <c r="J81" s="3" t="s">
        <v>41</v>
      </c>
      <c r="K81" s="3" t="s">
        <v>42</v>
      </c>
      <c r="L81" s="3" t="s">
        <v>205</v>
      </c>
      <c r="M81" s="3" t="s">
        <v>206</v>
      </c>
      <c r="N81" s="8">
        <f t="shared" si="4"/>
        <v>561321</v>
      </c>
      <c r="O81" s="12">
        <f t="shared" si="5"/>
        <v>0</v>
      </c>
      <c r="P81" s="8">
        <v>106650.99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667971.99</v>
      </c>
      <c r="AG81" s="3" t="s">
        <v>45</v>
      </c>
      <c r="AH81" s="3" t="s">
        <v>46</v>
      </c>
    </row>
    <row r="82" spans="1:34" s="3" customFormat="1">
      <c r="A82" s="3" t="s">
        <v>32</v>
      </c>
      <c r="B82" s="3" t="s">
        <v>1070</v>
      </c>
      <c r="C82" s="3" t="s">
        <v>1071</v>
      </c>
      <c r="D82" s="3" t="s">
        <v>35</v>
      </c>
      <c r="E82" s="3" t="s">
        <v>36</v>
      </c>
      <c r="F82" s="3" t="s">
        <v>37</v>
      </c>
      <c r="G82" s="3" t="s">
        <v>38</v>
      </c>
      <c r="H82" s="3" t="s">
        <v>1072</v>
      </c>
      <c r="I82" s="3" t="s">
        <v>1073</v>
      </c>
      <c r="J82" s="3" t="s">
        <v>41</v>
      </c>
      <c r="K82" s="3" t="s">
        <v>42</v>
      </c>
      <c r="L82" s="3" t="s">
        <v>205</v>
      </c>
      <c r="M82" s="3" t="s">
        <v>206</v>
      </c>
      <c r="N82" s="8">
        <f t="shared" si="4"/>
        <v>553644</v>
      </c>
      <c r="O82" s="12">
        <f t="shared" si="5"/>
        <v>0</v>
      </c>
      <c r="P82" s="8">
        <v>105192.36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658836.36</v>
      </c>
      <c r="AG82" s="3" t="s">
        <v>45</v>
      </c>
      <c r="AH82" s="3" t="s">
        <v>46</v>
      </c>
    </row>
    <row r="83" spans="1:34" s="3" customFormat="1">
      <c r="A83" s="3" t="s">
        <v>32</v>
      </c>
      <c r="B83" s="3" t="s">
        <v>1074</v>
      </c>
      <c r="C83" s="3" t="s">
        <v>1075</v>
      </c>
      <c r="D83" s="3" t="s">
        <v>35</v>
      </c>
      <c r="E83" s="3" t="s">
        <v>36</v>
      </c>
      <c r="F83" s="3" t="s">
        <v>37</v>
      </c>
      <c r="G83" s="3" t="s">
        <v>38</v>
      </c>
      <c r="H83" s="3" t="s">
        <v>1072</v>
      </c>
      <c r="I83" s="3" t="s">
        <v>1076</v>
      </c>
      <c r="J83" s="3" t="s">
        <v>41</v>
      </c>
      <c r="K83" s="3" t="s">
        <v>42</v>
      </c>
      <c r="L83" s="3" t="s">
        <v>205</v>
      </c>
      <c r="M83" s="3" t="s">
        <v>206</v>
      </c>
      <c r="N83" s="8">
        <f t="shared" si="4"/>
        <v>3367925.9999999995</v>
      </c>
      <c r="O83" s="12">
        <f t="shared" si="5"/>
        <v>0</v>
      </c>
      <c r="P83" s="8">
        <v>639905.93999999994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4007831.94</v>
      </c>
      <c r="AG83" s="3" t="s">
        <v>45</v>
      </c>
      <c r="AH83" s="3" t="s">
        <v>46</v>
      </c>
    </row>
    <row r="84" spans="1:34" s="3" customFormat="1">
      <c r="A84" s="3" t="s">
        <v>32</v>
      </c>
      <c r="B84" s="3" t="s">
        <v>1066</v>
      </c>
      <c r="C84" s="3" t="s">
        <v>1067</v>
      </c>
      <c r="D84" s="3" t="s">
        <v>35</v>
      </c>
      <c r="E84" s="3" t="s">
        <v>36</v>
      </c>
      <c r="F84" s="3" t="s">
        <v>37</v>
      </c>
      <c r="G84" s="3" t="s">
        <v>38</v>
      </c>
      <c r="H84" s="3" t="s">
        <v>1068</v>
      </c>
      <c r="I84" s="3" t="s">
        <v>1069</v>
      </c>
      <c r="J84" s="3" t="s">
        <v>41</v>
      </c>
      <c r="K84" s="3" t="s">
        <v>42</v>
      </c>
      <c r="L84" s="3" t="s">
        <v>205</v>
      </c>
      <c r="M84" s="3" t="s">
        <v>206</v>
      </c>
      <c r="N84" s="8">
        <f t="shared" si="4"/>
        <v>9779117</v>
      </c>
      <c r="O84" s="12">
        <f t="shared" si="5"/>
        <v>0</v>
      </c>
      <c r="P84" s="8">
        <v>1858032.23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11637149.23</v>
      </c>
      <c r="AG84" s="3" t="s">
        <v>45</v>
      </c>
      <c r="AH84" s="3" t="s">
        <v>46</v>
      </c>
    </row>
    <row r="85" spans="1:34" s="3" customFormat="1">
      <c r="A85" s="3" t="s">
        <v>32</v>
      </c>
      <c r="B85" s="3" t="s">
        <v>1379</v>
      </c>
      <c r="C85" s="3" t="s">
        <v>1380</v>
      </c>
      <c r="D85" s="3" t="s">
        <v>35</v>
      </c>
      <c r="E85" s="3" t="s">
        <v>36</v>
      </c>
      <c r="F85" s="3" t="s">
        <v>37</v>
      </c>
      <c r="G85" s="3" t="s">
        <v>38</v>
      </c>
      <c r="H85" s="3" t="s">
        <v>1068</v>
      </c>
      <c r="I85" s="3" t="s">
        <v>1381</v>
      </c>
      <c r="J85" s="3" t="s">
        <v>41</v>
      </c>
      <c r="K85" s="3" t="s">
        <v>42</v>
      </c>
      <c r="L85" s="3" t="s">
        <v>365</v>
      </c>
      <c r="M85" s="3" t="s">
        <v>366</v>
      </c>
      <c r="N85" s="8">
        <f t="shared" si="4"/>
        <v>0</v>
      </c>
      <c r="O85" s="12">
        <f t="shared" si="5"/>
        <v>3594562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3594562</v>
      </c>
      <c r="AG85" s="3" t="s">
        <v>45</v>
      </c>
      <c r="AH85" s="3" t="s">
        <v>46</v>
      </c>
    </row>
    <row r="86" spans="1:34" s="3" customFormat="1">
      <c r="A86" s="3" t="s">
        <v>32</v>
      </c>
      <c r="B86" s="3" t="s">
        <v>1374</v>
      </c>
      <c r="C86" s="3" t="s">
        <v>1375</v>
      </c>
      <c r="D86" s="3" t="s">
        <v>35</v>
      </c>
      <c r="E86" s="3" t="s">
        <v>36</v>
      </c>
      <c r="F86" s="3" t="s">
        <v>37</v>
      </c>
      <c r="G86" s="3" t="s">
        <v>38</v>
      </c>
      <c r="H86" s="3" t="s">
        <v>1376</v>
      </c>
      <c r="I86" s="3" t="s">
        <v>1377</v>
      </c>
      <c r="J86" s="3" t="s">
        <v>41</v>
      </c>
      <c r="K86" s="3" t="s">
        <v>42</v>
      </c>
      <c r="L86" s="3" t="s">
        <v>850</v>
      </c>
      <c r="M86" s="3" t="s">
        <v>851</v>
      </c>
      <c r="N86" s="8">
        <f t="shared" si="4"/>
        <v>0</v>
      </c>
      <c r="O86" s="12">
        <f t="shared" si="5"/>
        <v>116352765.54000001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116352765.54000001</v>
      </c>
      <c r="AG86" s="3" t="s">
        <v>45</v>
      </c>
      <c r="AH86" s="3" t="s">
        <v>46</v>
      </c>
    </row>
    <row r="87" spans="1:34" s="3" customFormat="1">
      <c r="A87" s="3" t="s">
        <v>32</v>
      </c>
      <c r="B87" s="3" t="s">
        <v>1179</v>
      </c>
      <c r="C87" s="3" t="s">
        <v>1180</v>
      </c>
      <c r="D87" s="3" t="s">
        <v>35</v>
      </c>
      <c r="E87" s="3" t="s">
        <v>36</v>
      </c>
      <c r="F87" s="3" t="s">
        <v>37</v>
      </c>
      <c r="G87" s="3" t="s">
        <v>38</v>
      </c>
      <c r="H87" s="3" t="s">
        <v>1181</v>
      </c>
      <c r="I87" s="3" t="s">
        <v>1182</v>
      </c>
      <c r="J87" s="3" t="s">
        <v>41</v>
      </c>
      <c r="K87" s="3" t="s">
        <v>42</v>
      </c>
      <c r="L87" s="3" t="s">
        <v>365</v>
      </c>
      <c r="M87" s="3" t="s">
        <v>366</v>
      </c>
      <c r="N87" s="8">
        <f t="shared" si="4"/>
        <v>0</v>
      </c>
      <c r="O87" s="12">
        <f t="shared" si="5"/>
        <v>7133040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7133040</v>
      </c>
      <c r="AG87" s="3" t="s">
        <v>45</v>
      </c>
      <c r="AH87" s="3" t="s">
        <v>46</v>
      </c>
    </row>
    <row r="88" spans="1:34" s="3" customFormat="1">
      <c r="A88" s="3" t="s">
        <v>32</v>
      </c>
      <c r="B88" s="3" t="s">
        <v>1330</v>
      </c>
      <c r="C88" s="3" t="s">
        <v>1331</v>
      </c>
      <c r="D88" s="3" t="s">
        <v>35</v>
      </c>
      <c r="E88" s="3" t="s">
        <v>36</v>
      </c>
      <c r="F88" s="3" t="s">
        <v>37</v>
      </c>
      <c r="G88" s="3" t="s">
        <v>38</v>
      </c>
      <c r="H88" s="3" t="s">
        <v>1181</v>
      </c>
      <c r="I88" s="3" t="s">
        <v>1332</v>
      </c>
      <c r="J88" s="3" t="s">
        <v>41</v>
      </c>
      <c r="K88" s="3" t="s">
        <v>42</v>
      </c>
      <c r="L88" s="3" t="s">
        <v>365</v>
      </c>
      <c r="M88" s="3" t="s">
        <v>366</v>
      </c>
      <c r="N88" s="8">
        <f t="shared" si="4"/>
        <v>0</v>
      </c>
      <c r="O88" s="12">
        <f t="shared" si="5"/>
        <v>7740480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7740480</v>
      </c>
      <c r="AG88" s="3" t="s">
        <v>45</v>
      </c>
      <c r="AH88" s="3" t="s">
        <v>46</v>
      </c>
    </row>
    <row r="89" spans="1:34" s="3" customFormat="1">
      <c r="A89" s="3" t="s">
        <v>32</v>
      </c>
      <c r="B89" s="3" t="s">
        <v>1333</v>
      </c>
      <c r="C89" s="3" t="s">
        <v>1334</v>
      </c>
      <c r="D89" s="3" t="s">
        <v>35</v>
      </c>
      <c r="E89" s="3" t="s">
        <v>36</v>
      </c>
      <c r="F89" s="3" t="s">
        <v>37</v>
      </c>
      <c r="G89" s="3" t="s">
        <v>38</v>
      </c>
      <c r="H89" s="3" t="s">
        <v>1181</v>
      </c>
      <c r="I89" s="3" t="s">
        <v>1335</v>
      </c>
      <c r="J89" s="3" t="s">
        <v>41</v>
      </c>
      <c r="K89" s="3" t="s">
        <v>42</v>
      </c>
      <c r="L89" s="3" t="s">
        <v>192</v>
      </c>
      <c r="M89" s="3" t="s">
        <v>193</v>
      </c>
      <c r="N89" s="8">
        <f t="shared" si="4"/>
        <v>0</v>
      </c>
      <c r="O89" s="12">
        <f t="shared" si="5"/>
        <v>4450000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4450000</v>
      </c>
      <c r="AG89" s="3" t="s">
        <v>45</v>
      </c>
      <c r="AH89" s="3" t="s">
        <v>46</v>
      </c>
    </row>
    <row r="90" spans="1:34" s="3" customFormat="1">
      <c r="A90" s="3" t="s">
        <v>32</v>
      </c>
      <c r="B90" s="3" t="s">
        <v>1110</v>
      </c>
      <c r="C90" s="3" t="s">
        <v>1111</v>
      </c>
      <c r="D90" s="3" t="s">
        <v>35</v>
      </c>
      <c r="E90" s="3" t="s">
        <v>36</v>
      </c>
      <c r="F90" s="3" t="s">
        <v>37</v>
      </c>
      <c r="G90" s="3" t="s">
        <v>38</v>
      </c>
      <c r="H90" s="3" t="s">
        <v>1112</v>
      </c>
      <c r="I90" s="3" t="s">
        <v>1113</v>
      </c>
      <c r="J90" s="3" t="s">
        <v>41</v>
      </c>
      <c r="K90" s="3" t="s">
        <v>42</v>
      </c>
      <c r="L90" s="3" t="s">
        <v>205</v>
      </c>
      <c r="M90" s="3" t="s">
        <v>206</v>
      </c>
      <c r="N90" s="8">
        <f t="shared" si="4"/>
        <v>4184717</v>
      </c>
      <c r="O90" s="12">
        <f t="shared" si="5"/>
        <v>0</v>
      </c>
      <c r="P90" s="8">
        <v>795096.23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4979813.2300000004</v>
      </c>
      <c r="AG90" s="3" t="s">
        <v>45</v>
      </c>
      <c r="AH90" s="3" t="s">
        <v>46</v>
      </c>
    </row>
    <row r="91" spans="1:34" s="3" customFormat="1">
      <c r="A91" s="3" t="s">
        <v>32</v>
      </c>
      <c r="B91" s="3" t="s">
        <v>1093</v>
      </c>
      <c r="C91" s="3" t="s">
        <v>1094</v>
      </c>
      <c r="D91" s="3" t="s">
        <v>35</v>
      </c>
      <c r="E91" s="3" t="s">
        <v>36</v>
      </c>
      <c r="F91" s="3" t="s">
        <v>37</v>
      </c>
      <c r="G91" s="3" t="s">
        <v>38</v>
      </c>
      <c r="H91" s="3" t="s">
        <v>1095</v>
      </c>
      <c r="I91" s="3" t="s">
        <v>1096</v>
      </c>
      <c r="J91" s="3" t="s">
        <v>41</v>
      </c>
      <c r="K91" s="3" t="s">
        <v>42</v>
      </c>
      <c r="L91" s="3" t="s">
        <v>205</v>
      </c>
      <c r="M91" s="3" t="s">
        <v>206</v>
      </c>
      <c r="N91" s="8">
        <f t="shared" si="4"/>
        <v>14898935.999999998</v>
      </c>
      <c r="O91" s="12">
        <f t="shared" si="5"/>
        <v>0</v>
      </c>
      <c r="P91" s="8">
        <v>2830797.84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17729733.84</v>
      </c>
      <c r="AG91" s="3" t="s">
        <v>45</v>
      </c>
      <c r="AH91" s="3" t="s">
        <v>46</v>
      </c>
    </row>
    <row r="92" spans="1:34" s="3" customFormat="1">
      <c r="A92" s="3" t="s">
        <v>32</v>
      </c>
      <c r="B92" s="3" t="s">
        <v>1100</v>
      </c>
      <c r="C92" s="3" t="s">
        <v>1101</v>
      </c>
      <c r="D92" s="3" t="s">
        <v>35</v>
      </c>
      <c r="E92" s="3" t="s">
        <v>36</v>
      </c>
      <c r="F92" s="3" t="s">
        <v>37</v>
      </c>
      <c r="G92" s="3" t="s">
        <v>38</v>
      </c>
      <c r="H92" s="3" t="s">
        <v>1095</v>
      </c>
      <c r="I92" s="3" t="s">
        <v>1102</v>
      </c>
      <c r="J92" s="3" t="s">
        <v>41</v>
      </c>
      <c r="K92" s="3" t="s">
        <v>42</v>
      </c>
      <c r="L92" s="3" t="s">
        <v>205</v>
      </c>
      <c r="M92" s="3" t="s">
        <v>206</v>
      </c>
      <c r="N92" s="8">
        <f t="shared" si="4"/>
        <v>6340480</v>
      </c>
      <c r="O92" s="12">
        <f t="shared" si="5"/>
        <v>0</v>
      </c>
      <c r="P92" s="8">
        <v>1204691.2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7545171.2000000002</v>
      </c>
      <c r="AG92" s="3" t="s">
        <v>45</v>
      </c>
      <c r="AH92" s="3" t="s">
        <v>46</v>
      </c>
    </row>
    <row r="93" spans="1:34" s="3" customFormat="1">
      <c r="A93" s="3" t="s">
        <v>32</v>
      </c>
      <c r="B93" s="3" t="s">
        <v>1097</v>
      </c>
      <c r="C93" s="3" t="s">
        <v>1098</v>
      </c>
      <c r="D93" s="3" t="s">
        <v>35</v>
      </c>
      <c r="E93" s="3" t="s">
        <v>36</v>
      </c>
      <c r="F93" s="3" t="s">
        <v>37</v>
      </c>
      <c r="G93" s="3" t="s">
        <v>38</v>
      </c>
      <c r="H93" s="3" t="s">
        <v>1095</v>
      </c>
      <c r="I93" s="3" t="s">
        <v>1099</v>
      </c>
      <c r="J93" s="3" t="s">
        <v>41</v>
      </c>
      <c r="K93" s="3" t="s">
        <v>42</v>
      </c>
      <c r="L93" s="3" t="s">
        <v>205</v>
      </c>
      <c r="M93" s="3" t="s">
        <v>206</v>
      </c>
      <c r="N93" s="8">
        <f t="shared" si="4"/>
        <v>4184717</v>
      </c>
      <c r="O93" s="12">
        <f t="shared" si="5"/>
        <v>0</v>
      </c>
      <c r="P93" s="8">
        <v>795096.23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4979813.2300000004</v>
      </c>
      <c r="AG93" s="3" t="s">
        <v>45</v>
      </c>
      <c r="AH93" s="3" t="s">
        <v>46</v>
      </c>
    </row>
    <row r="94" spans="1:34" s="3" customFormat="1">
      <c r="A94" s="3" t="s">
        <v>32</v>
      </c>
      <c r="B94" s="3" t="s">
        <v>1118</v>
      </c>
      <c r="C94" s="3" t="s">
        <v>1119</v>
      </c>
      <c r="D94" s="3" t="s">
        <v>35</v>
      </c>
      <c r="E94" s="3" t="s">
        <v>36</v>
      </c>
      <c r="F94" s="3" t="s">
        <v>37</v>
      </c>
      <c r="G94" s="3" t="s">
        <v>38</v>
      </c>
      <c r="H94" s="3" t="s">
        <v>1116</v>
      </c>
      <c r="I94" s="3" t="s">
        <v>1120</v>
      </c>
      <c r="J94" s="3" t="s">
        <v>41</v>
      </c>
      <c r="K94" s="3" t="s">
        <v>42</v>
      </c>
      <c r="L94" s="3" t="s">
        <v>43</v>
      </c>
      <c r="M94" s="3" t="s">
        <v>44</v>
      </c>
      <c r="N94" s="8">
        <f t="shared" si="4"/>
        <v>14620199</v>
      </c>
      <c r="O94" s="12">
        <f t="shared" si="5"/>
        <v>0</v>
      </c>
      <c r="P94" s="8">
        <v>2777837.81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17398036.809999999</v>
      </c>
      <c r="AG94" s="3" t="s">
        <v>45</v>
      </c>
      <c r="AH94" s="3" t="s">
        <v>46</v>
      </c>
    </row>
    <row r="95" spans="1:34" s="3" customFormat="1">
      <c r="A95" s="3" t="s">
        <v>32</v>
      </c>
      <c r="B95" s="3" t="s">
        <v>1183</v>
      </c>
      <c r="C95" s="3" t="s">
        <v>1184</v>
      </c>
      <c r="D95" s="3" t="s">
        <v>35</v>
      </c>
      <c r="E95" s="3" t="s">
        <v>36</v>
      </c>
      <c r="F95" s="3" t="s">
        <v>37</v>
      </c>
      <c r="G95" s="3" t="s">
        <v>38</v>
      </c>
      <c r="H95" s="3" t="s">
        <v>1116</v>
      </c>
      <c r="I95" s="3" t="s">
        <v>1185</v>
      </c>
      <c r="J95" s="3" t="s">
        <v>41</v>
      </c>
      <c r="K95" s="3" t="s">
        <v>42</v>
      </c>
      <c r="L95" s="3" t="s">
        <v>192</v>
      </c>
      <c r="M95" s="3" t="s">
        <v>193</v>
      </c>
      <c r="N95" s="8">
        <f t="shared" si="4"/>
        <v>0</v>
      </c>
      <c r="O95" s="12">
        <f t="shared" si="5"/>
        <v>6728758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6728758</v>
      </c>
      <c r="AG95" s="3" t="s">
        <v>45</v>
      </c>
      <c r="AH95" s="3" t="s">
        <v>46</v>
      </c>
    </row>
    <row r="96" spans="1:34" s="3" customFormat="1">
      <c r="A96" s="3" t="s">
        <v>32</v>
      </c>
      <c r="B96" s="3" t="s">
        <v>1114</v>
      </c>
      <c r="C96" s="3" t="s">
        <v>1115</v>
      </c>
      <c r="D96" s="3" t="s">
        <v>35</v>
      </c>
      <c r="E96" s="3" t="s">
        <v>36</v>
      </c>
      <c r="F96" s="3" t="s">
        <v>37</v>
      </c>
      <c r="G96" s="3" t="s">
        <v>38</v>
      </c>
      <c r="H96" s="3" t="s">
        <v>1116</v>
      </c>
      <c r="I96" s="3" t="s">
        <v>1117</v>
      </c>
      <c r="J96" s="3" t="s">
        <v>41</v>
      </c>
      <c r="K96" s="3" t="s">
        <v>42</v>
      </c>
      <c r="L96" s="3" t="s">
        <v>43</v>
      </c>
      <c r="M96" s="3" t="s">
        <v>44</v>
      </c>
      <c r="N96" s="8">
        <f t="shared" si="4"/>
        <v>1197953</v>
      </c>
      <c r="O96" s="12">
        <f t="shared" si="5"/>
        <v>0</v>
      </c>
      <c r="P96" s="8">
        <v>227611.07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1425564.07</v>
      </c>
      <c r="AG96" s="3" t="s">
        <v>45</v>
      </c>
      <c r="AH96" s="3" t="s">
        <v>46</v>
      </c>
    </row>
    <row r="97" spans="1:34" s="3" customFormat="1">
      <c r="A97" s="3" t="s">
        <v>32</v>
      </c>
      <c r="B97" s="3" t="s">
        <v>1103</v>
      </c>
      <c r="C97" s="3" t="s">
        <v>1104</v>
      </c>
      <c r="D97" s="3" t="s">
        <v>35</v>
      </c>
      <c r="E97" s="3" t="s">
        <v>36</v>
      </c>
      <c r="F97" s="3" t="s">
        <v>37</v>
      </c>
      <c r="G97" s="3" t="s">
        <v>38</v>
      </c>
      <c r="H97" s="3" t="s">
        <v>1105</v>
      </c>
      <c r="I97" s="3" t="s">
        <v>1106</v>
      </c>
      <c r="J97" s="3" t="s">
        <v>41</v>
      </c>
      <c r="K97" s="3" t="s">
        <v>42</v>
      </c>
      <c r="L97" s="3" t="s">
        <v>205</v>
      </c>
      <c r="M97" s="3" t="s">
        <v>206</v>
      </c>
      <c r="N97" s="8">
        <f t="shared" si="4"/>
        <v>6605503.9999999991</v>
      </c>
      <c r="O97" s="12">
        <f t="shared" si="5"/>
        <v>0</v>
      </c>
      <c r="P97" s="8">
        <v>1255045.76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7860549.7599999998</v>
      </c>
      <c r="AG97" s="3" t="s">
        <v>45</v>
      </c>
      <c r="AH97" s="3" t="s">
        <v>46</v>
      </c>
    </row>
    <row r="98" spans="1:34" s="3" customFormat="1">
      <c r="A98" s="3" t="s">
        <v>32</v>
      </c>
      <c r="B98" s="3" t="s">
        <v>1107</v>
      </c>
      <c r="C98" s="3" t="s">
        <v>1108</v>
      </c>
      <c r="D98" s="3" t="s">
        <v>35</v>
      </c>
      <c r="E98" s="3" t="s">
        <v>36</v>
      </c>
      <c r="F98" s="3" t="s">
        <v>37</v>
      </c>
      <c r="G98" s="3" t="s">
        <v>38</v>
      </c>
      <c r="H98" s="3" t="s">
        <v>1105</v>
      </c>
      <c r="I98" s="3" t="s">
        <v>1109</v>
      </c>
      <c r="J98" s="3" t="s">
        <v>41</v>
      </c>
      <c r="K98" s="3" t="s">
        <v>42</v>
      </c>
      <c r="L98" s="3" t="s">
        <v>205</v>
      </c>
      <c r="M98" s="3" t="s">
        <v>206</v>
      </c>
      <c r="N98" s="8">
        <f t="shared" si="4"/>
        <v>4184716.789473684</v>
      </c>
      <c r="O98" s="12">
        <f t="shared" si="5"/>
        <v>1.0526316240429878E-2</v>
      </c>
      <c r="P98" s="8">
        <v>795096.19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4979812.99</v>
      </c>
      <c r="AG98" s="3" t="s">
        <v>45</v>
      </c>
      <c r="AH98" s="3" t="s">
        <v>46</v>
      </c>
    </row>
    <row r="99" spans="1:34" s="3" customFormat="1">
      <c r="A99" s="3" t="s">
        <v>32</v>
      </c>
      <c r="B99" s="3" t="s">
        <v>1176</v>
      </c>
      <c r="C99" s="3" t="s">
        <v>1177</v>
      </c>
      <c r="D99" s="3" t="s">
        <v>35</v>
      </c>
      <c r="E99" s="3" t="s">
        <v>36</v>
      </c>
      <c r="F99" s="3" t="s">
        <v>37</v>
      </c>
      <c r="G99" s="3" t="s">
        <v>38</v>
      </c>
      <c r="H99" s="3" t="s">
        <v>1053</v>
      </c>
      <c r="I99" s="3" t="s">
        <v>1178</v>
      </c>
      <c r="J99" s="3" t="s">
        <v>41</v>
      </c>
      <c r="K99" s="3" t="s">
        <v>42</v>
      </c>
      <c r="L99" s="3" t="s">
        <v>365</v>
      </c>
      <c r="M99" s="3" t="s">
        <v>366</v>
      </c>
      <c r="N99" s="8">
        <f t="shared" si="4"/>
        <v>0</v>
      </c>
      <c r="O99" s="12">
        <f t="shared" si="5"/>
        <v>1494995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1494995</v>
      </c>
      <c r="AG99" s="3" t="s">
        <v>45</v>
      </c>
      <c r="AH99" s="3" t="s">
        <v>46</v>
      </c>
    </row>
    <row r="100" spans="1:34" s="3" customFormat="1">
      <c r="A100" s="3" t="s">
        <v>32</v>
      </c>
      <c r="B100" s="3" t="s">
        <v>1051</v>
      </c>
      <c r="C100" s="3" t="s">
        <v>1052</v>
      </c>
      <c r="D100" s="3" t="s">
        <v>35</v>
      </c>
      <c r="E100" s="3" t="s">
        <v>36</v>
      </c>
      <c r="F100" s="3" t="s">
        <v>37</v>
      </c>
      <c r="G100" s="3" t="s">
        <v>38</v>
      </c>
      <c r="H100" s="3" t="s">
        <v>1053</v>
      </c>
      <c r="I100" s="3" t="s">
        <v>1054</v>
      </c>
      <c r="J100" s="3" t="s">
        <v>41</v>
      </c>
      <c r="K100" s="3" t="s">
        <v>42</v>
      </c>
      <c r="L100" s="3" t="s">
        <v>205</v>
      </c>
      <c r="M100" s="3" t="s">
        <v>206</v>
      </c>
      <c r="N100" s="8">
        <f t="shared" ref="N100:N131" si="6">+P100/19*100</f>
        <v>12337526.999999998</v>
      </c>
      <c r="O100" s="12">
        <f t="shared" ref="O100:O131" si="7">+AF100-N100-P100</f>
        <v>0</v>
      </c>
      <c r="P100" s="8">
        <v>2344130.13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14681657.130000001</v>
      </c>
      <c r="AG100" s="3" t="s">
        <v>45</v>
      </c>
      <c r="AH100" s="3" t="s">
        <v>46</v>
      </c>
    </row>
    <row r="101" spans="1:34" s="3" customFormat="1">
      <c r="A101" s="3" t="s">
        <v>32</v>
      </c>
      <c r="B101" s="3" t="s">
        <v>1055</v>
      </c>
      <c r="C101" s="3" t="s">
        <v>1056</v>
      </c>
      <c r="D101" s="3" t="s">
        <v>35</v>
      </c>
      <c r="E101" s="3" t="s">
        <v>36</v>
      </c>
      <c r="F101" s="3" t="s">
        <v>37</v>
      </c>
      <c r="G101" s="3" t="s">
        <v>38</v>
      </c>
      <c r="H101" s="3" t="s">
        <v>1053</v>
      </c>
      <c r="I101" s="3" t="s">
        <v>1057</v>
      </c>
      <c r="J101" s="3" t="s">
        <v>41</v>
      </c>
      <c r="K101" s="3" t="s">
        <v>42</v>
      </c>
      <c r="L101" s="3" t="s">
        <v>205</v>
      </c>
      <c r="M101" s="3" t="s">
        <v>206</v>
      </c>
      <c r="N101" s="8">
        <f t="shared" si="6"/>
        <v>7141584</v>
      </c>
      <c r="O101" s="12">
        <f t="shared" si="7"/>
        <v>0</v>
      </c>
      <c r="P101" s="8">
        <v>1356900.96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8498484.9600000009</v>
      </c>
      <c r="AG101" s="3" t="s">
        <v>45</v>
      </c>
      <c r="AH101" s="3" t="s">
        <v>46</v>
      </c>
    </row>
    <row r="102" spans="1:34" s="3" customFormat="1">
      <c r="A102" s="3" t="s">
        <v>32</v>
      </c>
      <c r="B102" s="3" t="s">
        <v>952</v>
      </c>
      <c r="C102" s="3" t="s">
        <v>953</v>
      </c>
      <c r="D102" s="3" t="s">
        <v>35</v>
      </c>
      <c r="E102" s="3" t="s">
        <v>36</v>
      </c>
      <c r="F102" s="3" t="s">
        <v>37</v>
      </c>
      <c r="G102" s="3" t="s">
        <v>38</v>
      </c>
      <c r="H102" s="3" t="s">
        <v>954</v>
      </c>
      <c r="I102" s="3" t="s">
        <v>955</v>
      </c>
      <c r="J102" s="3" t="s">
        <v>41</v>
      </c>
      <c r="K102" s="3" t="s">
        <v>42</v>
      </c>
      <c r="L102" s="3" t="s">
        <v>43</v>
      </c>
      <c r="M102" s="3" t="s">
        <v>44</v>
      </c>
      <c r="N102" s="8">
        <f t="shared" si="6"/>
        <v>13436000</v>
      </c>
      <c r="O102" s="12">
        <f t="shared" si="7"/>
        <v>0</v>
      </c>
      <c r="P102" s="8">
        <v>2552840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15988840</v>
      </c>
      <c r="AG102" s="3" t="s">
        <v>45</v>
      </c>
      <c r="AH102" s="3" t="s">
        <v>46</v>
      </c>
    </row>
    <row r="103" spans="1:34" s="3" customFormat="1">
      <c r="A103" s="3" t="s">
        <v>32</v>
      </c>
      <c r="B103" s="3" t="s">
        <v>1173</v>
      </c>
      <c r="C103" s="3" t="s">
        <v>1174</v>
      </c>
      <c r="D103" s="3" t="s">
        <v>35</v>
      </c>
      <c r="E103" s="3" t="s">
        <v>36</v>
      </c>
      <c r="F103" s="3" t="s">
        <v>37</v>
      </c>
      <c r="G103" s="3" t="s">
        <v>38</v>
      </c>
      <c r="H103" s="3" t="s">
        <v>1171</v>
      </c>
      <c r="I103" s="3" t="s">
        <v>1175</v>
      </c>
      <c r="J103" s="3" t="s">
        <v>41</v>
      </c>
      <c r="K103" s="3" t="s">
        <v>42</v>
      </c>
      <c r="L103" s="3" t="s">
        <v>192</v>
      </c>
      <c r="M103" s="3" t="s">
        <v>193</v>
      </c>
      <c r="N103" s="8">
        <f t="shared" si="6"/>
        <v>0</v>
      </c>
      <c r="O103" s="12">
        <f t="shared" si="7"/>
        <v>5260940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5260940</v>
      </c>
      <c r="AG103" s="3" t="s">
        <v>45</v>
      </c>
      <c r="AH103" s="3" t="s">
        <v>46</v>
      </c>
    </row>
    <row r="104" spans="1:34" s="3" customFormat="1">
      <c r="A104" s="3" t="s">
        <v>32</v>
      </c>
      <c r="B104" s="3" t="s">
        <v>1169</v>
      </c>
      <c r="C104" s="3" t="s">
        <v>1170</v>
      </c>
      <c r="D104" s="3" t="s">
        <v>35</v>
      </c>
      <c r="E104" s="3" t="s">
        <v>36</v>
      </c>
      <c r="F104" s="3" t="s">
        <v>37</v>
      </c>
      <c r="G104" s="3" t="s">
        <v>38</v>
      </c>
      <c r="H104" s="3" t="s">
        <v>1171</v>
      </c>
      <c r="I104" s="3" t="s">
        <v>1172</v>
      </c>
      <c r="J104" s="3" t="s">
        <v>41</v>
      </c>
      <c r="K104" s="3" t="s">
        <v>42</v>
      </c>
      <c r="L104" s="3" t="s">
        <v>192</v>
      </c>
      <c r="M104" s="3" t="s">
        <v>193</v>
      </c>
      <c r="N104" s="8">
        <f t="shared" si="6"/>
        <v>0</v>
      </c>
      <c r="O104" s="12">
        <f t="shared" si="7"/>
        <v>61908000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61908000</v>
      </c>
      <c r="AG104" s="3" t="s">
        <v>45</v>
      </c>
      <c r="AH104" s="3" t="s">
        <v>46</v>
      </c>
    </row>
    <row r="105" spans="1:34" s="3" customFormat="1">
      <c r="A105" s="3" t="s">
        <v>32</v>
      </c>
      <c r="B105" s="3" t="s">
        <v>1044</v>
      </c>
      <c r="C105" s="3" t="s">
        <v>1045</v>
      </c>
      <c r="D105" s="3" t="s">
        <v>35</v>
      </c>
      <c r="E105" s="3" t="s">
        <v>36</v>
      </c>
      <c r="F105" s="3" t="s">
        <v>37</v>
      </c>
      <c r="G105" s="3" t="s">
        <v>38</v>
      </c>
      <c r="H105" s="3" t="s">
        <v>1042</v>
      </c>
      <c r="I105" s="3" t="s">
        <v>1046</v>
      </c>
      <c r="J105" s="3" t="s">
        <v>41</v>
      </c>
      <c r="K105" s="3" t="s">
        <v>42</v>
      </c>
      <c r="L105" s="3" t="s">
        <v>205</v>
      </c>
      <c r="M105" s="3" t="s">
        <v>206</v>
      </c>
      <c r="N105" s="8">
        <f t="shared" si="6"/>
        <v>4707806</v>
      </c>
      <c r="O105" s="12">
        <f t="shared" si="7"/>
        <v>0</v>
      </c>
      <c r="P105" s="8">
        <v>894483.14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5602289.1399999997</v>
      </c>
      <c r="AG105" s="3" t="s">
        <v>45</v>
      </c>
      <c r="AH105" s="3" t="s">
        <v>46</v>
      </c>
    </row>
    <row r="106" spans="1:34" s="3" customFormat="1">
      <c r="A106" s="3" t="s">
        <v>32</v>
      </c>
      <c r="B106" s="3" t="s">
        <v>1040</v>
      </c>
      <c r="C106" s="3" t="s">
        <v>1041</v>
      </c>
      <c r="D106" s="3" t="s">
        <v>35</v>
      </c>
      <c r="E106" s="3" t="s">
        <v>36</v>
      </c>
      <c r="F106" s="3" t="s">
        <v>37</v>
      </c>
      <c r="G106" s="3" t="s">
        <v>38</v>
      </c>
      <c r="H106" s="3" t="s">
        <v>1042</v>
      </c>
      <c r="I106" s="3" t="s">
        <v>1043</v>
      </c>
      <c r="J106" s="3" t="s">
        <v>41</v>
      </c>
      <c r="K106" s="3" t="s">
        <v>42</v>
      </c>
      <c r="L106" s="3" t="s">
        <v>205</v>
      </c>
      <c r="M106" s="3" t="s">
        <v>206</v>
      </c>
      <c r="N106" s="8">
        <f t="shared" si="6"/>
        <v>4707806</v>
      </c>
      <c r="O106" s="12">
        <f t="shared" si="7"/>
        <v>0</v>
      </c>
      <c r="P106" s="8">
        <v>894483.14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5602289.1399999997</v>
      </c>
      <c r="AG106" s="3" t="s">
        <v>45</v>
      </c>
      <c r="AH106" s="3" t="s">
        <v>46</v>
      </c>
    </row>
    <row r="107" spans="1:34" s="3" customFormat="1">
      <c r="A107" s="3" t="s">
        <v>32</v>
      </c>
      <c r="B107" s="3" t="s">
        <v>1063</v>
      </c>
      <c r="C107" s="3" t="s">
        <v>1064</v>
      </c>
      <c r="D107" s="3" t="s">
        <v>35</v>
      </c>
      <c r="E107" s="3" t="s">
        <v>36</v>
      </c>
      <c r="F107" s="3" t="s">
        <v>37</v>
      </c>
      <c r="G107" s="3" t="s">
        <v>38</v>
      </c>
      <c r="H107" s="3" t="s">
        <v>1029</v>
      </c>
      <c r="I107" s="3" t="s">
        <v>1065</v>
      </c>
      <c r="J107" s="3" t="s">
        <v>41</v>
      </c>
      <c r="K107" s="3" t="s">
        <v>42</v>
      </c>
      <c r="L107" s="3" t="s">
        <v>850</v>
      </c>
      <c r="M107" s="3" t="s">
        <v>851</v>
      </c>
      <c r="N107" s="8">
        <f t="shared" si="6"/>
        <v>0</v>
      </c>
      <c r="O107" s="12">
        <f t="shared" si="7"/>
        <v>77472900.959999993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77472900.959999993</v>
      </c>
      <c r="AG107" s="3" t="s">
        <v>45</v>
      </c>
      <c r="AH107" s="3" t="s">
        <v>46</v>
      </c>
    </row>
    <row r="108" spans="1:34" s="3" customFormat="1">
      <c r="A108" s="3" t="s">
        <v>32</v>
      </c>
      <c r="B108" s="3" t="s">
        <v>1037</v>
      </c>
      <c r="C108" s="3" t="s">
        <v>1038</v>
      </c>
      <c r="D108" s="3" t="s">
        <v>35</v>
      </c>
      <c r="E108" s="3" t="s">
        <v>36</v>
      </c>
      <c r="F108" s="3" t="s">
        <v>37</v>
      </c>
      <c r="G108" s="3" t="s">
        <v>38</v>
      </c>
      <c r="H108" s="3" t="s">
        <v>1029</v>
      </c>
      <c r="I108" s="3" t="s">
        <v>1039</v>
      </c>
      <c r="J108" s="3" t="s">
        <v>41</v>
      </c>
      <c r="K108" s="3" t="s">
        <v>42</v>
      </c>
      <c r="L108" s="3" t="s">
        <v>205</v>
      </c>
      <c r="M108" s="3" t="s">
        <v>206</v>
      </c>
      <c r="N108" s="8">
        <f t="shared" si="6"/>
        <v>5892549.0000000009</v>
      </c>
      <c r="O108" s="12">
        <f t="shared" si="7"/>
        <v>0</v>
      </c>
      <c r="P108" s="8">
        <v>1119584.31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7012133.3099999996</v>
      </c>
      <c r="AG108" s="3" t="s">
        <v>45</v>
      </c>
      <c r="AH108" s="3" t="s">
        <v>46</v>
      </c>
    </row>
    <row r="109" spans="1:34" s="3" customFormat="1">
      <c r="A109" s="3" t="s">
        <v>32</v>
      </c>
      <c r="B109" s="3" t="s">
        <v>1034</v>
      </c>
      <c r="C109" s="3" t="s">
        <v>1035</v>
      </c>
      <c r="D109" s="3" t="s">
        <v>35</v>
      </c>
      <c r="E109" s="3" t="s">
        <v>36</v>
      </c>
      <c r="F109" s="3" t="s">
        <v>37</v>
      </c>
      <c r="G109" s="3" t="s">
        <v>38</v>
      </c>
      <c r="H109" s="3" t="s">
        <v>1029</v>
      </c>
      <c r="I109" s="3" t="s">
        <v>1036</v>
      </c>
      <c r="J109" s="3" t="s">
        <v>41</v>
      </c>
      <c r="K109" s="3" t="s">
        <v>42</v>
      </c>
      <c r="L109" s="3" t="s">
        <v>205</v>
      </c>
      <c r="M109" s="3" t="s">
        <v>206</v>
      </c>
      <c r="N109" s="8">
        <f t="shared" si="6"/>
        <v>2421561</v>
      </c>
      <c r="O109" s="12">
        <f t="shared" si="7"/>
        <v>0</v>
      </c>
      <c r="P109" s="8">
        <v>460096.59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2881657.59</v>
      </c>
      <c r="AG109" s="3" t="s">
        <v>45</v>
      </c>
      <c r="AH109" s="3" t="s">
        <v>46</v>
      </c>
    </row>
    <row r="110" spans="1:34" s="3" customFormat="1">
      <c r="A110" s="3" t="s">
        <v>32</v>
      </c>
      <c r="B110" s="3" t="s">
        <v>1031</v>
      </c>
      <c r="C110" s="3" t="s">
        <v>1032</v>
      </c>
      <c r="D110" s="3" t="s">
        <v>35</v>
      </c>
      <c r="E110" s="3" t="s">
        <v>36</v>
      </c>
      <c r="F110" s="3" t="s">
        <v>37</v>
      </c>
      <c r="G110" s="3" t="s">
        <v>38</v>
      </c>
      <c r="H110" s="3" t="s">
        <v>1029</v>
      </c>
      <c r="I110" s="3" t="s">
        <v>1033</v>
      </c>
      <c r="J110" s="3" t="s">
        <v>41</v>
      </c>
      <c r="K110" s="3" t="s">
        <v>42</v>
      </c>
      <c r="L110" s="3" t="s">
        <v>205</v>
      </c>
      <c r="M110" s="3" t="s">
        <v>206</v>
      </c>
      <c r="N110" s="8">
        <f t="shared" si="6"/>
        <v>495350</v>
      </c>
      <c r="O110" s="12">
        <f t="shared" si="7"/>
        <v>0</v>
      </c>
      <c r="P110" s="8">
        <v>94116.5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589466.5</v>
      </c>
      <c r="AG110" s="3" t="s">
        <v>45</v>
      </c>
      <c r="AH110" s="3" t="s">
        <v>46</v>
      </c>
    </row>
    <row r="111" spans="1:34" s="3" customFormat="1">
      <c r="A111" s="3" t="s">
        <v>32</v>
      </c>
      <c r="B111" s="3" t="s">
        <v>1027</v>
      </c>
      <c r="C111" s="3" t="s">
        <v>1028</v>
      </c>
      <c r="D111" s="3" t="s">
        <v>35</v>
      </c>
      <c r="E111" s="3" t="s">
        <v>36</v>
      </c>
      <c r="F111" s="3" t="s">
        <v>37</v>
      </c>
      <c r="G111" s="3" t="s">
        <v>38</v>
      </c>
      <c r="H111" s="3" t="s">
        <v>1029</v>
      </c>
      <c r="I111" s="3" t="s">
        <v>1030</v>
      </c>
      <c r="J111" s="3" t="s">
        <v>41</v>
      </c>
      <c r="K111" s="3" t="s">
        <v>42</v>
      </c>
      <c r="L111" s="3" t="s">
        <v>205</v>
      </c>
      <c r="M111" s="3" t="s">
        <v>206</v>
      </c>
      <c r="N111" s="8">
        <f t="shared" si="6"/>
        <v>2073647</v>
      </c>
      <c r="O111" s="12">
        <f t="shared" si="7"/>
        <v>0</v>
      </c>
      <c r="P111" s="8">
        <v>393992.93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2467639.9300000002</v>
      </c>
      <c r="AG111" s="3" t="s">
        <v>45</v>
      </c>
      <c r="AH111" s="3" t="s">
        <v>46</v>
      </c>
    </row>
    <row r="112" spans="1:34" s="3" customFormat="1">
      <c r="A112" s="3" t="s">
        <v>32</v>
      </c>
      <c r="B112" s="3" t="s">
        <v>1047</v>
      </c>
      <c r="C112" s="3" t="s">
        <v>1048</v>
      </c>
      <c r="D112" s="3" t="s">
        <v>35</v>
      </c>
      <c r="E112" s="3" t="s">
        <v>36</v>
      </c>
      <c r="F112" s="3" t="s">
        <v>37</v>
      </c>
      <c r="G112" s="3" t="s">
        <v>38</v>
      </c>
      <c r="H112" s="3" t="s">
        <v>1049</v>
      </c>
      <c r="I112" s="3" t="s">
        <v>1050</v>
      </c>
      <c r="J112" s="3" t="s">
        <v>41</v>
      </c>
      <c r="K112" s="3" t="s">
        <v>42</v>
      </c>
      <c r="L112" s="3" t="s">
        <v>850</v>
      </c>
      <c r="M112" s="3" t="s">
        <v>851</v>
      </c>
      <c r="N112" s="8">
        <f t="shared" si="6"/>
        <v>0</v>
      </c>
      <c r="O112" s="12">
        <f t="shared" si="7"/>
        <v>51645440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51645440</v>
      </c>
      <c r="AG112" s="3" t="s">
        <v>45</v>
      </c>
      <c r="AH112" s="3" t="s">
        <v>46</v>
      </c>
    </row>
    <row r="113" spans="1:34" s="3" customFormat="1">
      <c r="A113" s="3" t="s">
        <v>32</v>
      </c>
      <c r="B113" s="3" t="s">
        <v>698</v>
      </c>
      <c r="C113" s="3" t="s">
        <v>699</v>
      </c>
      <c r="D113" s="3" t="s">
        <v>35</v>
      </c>
      <c r="E113" s="3" t="s">
        <v>36</v>
      </c>
      <c r="F113" s="3" t="s">
        <v>37</v>
      </c>
      <c r="G113" s="3" t="s">
        <v>38</v>
      </c>
      <c r="H113" s="3" t="s">
        <v>700</v>
      </c>
      <c r="I113" s="3" t="s">
        <v>701</v>
      </c>
      <c r="J113" s="3" t="s">
        <v>41</v>
      </c>
      <c r="K113" s="3" t="s">
        <v>42</v>
      </c>
      <c r="L113" s="3" t="s">
        <v>43</v>
      </c>
      <c r="M113" s="3" t="s">
        <v>44</v>
      </c>
      <c r="N113" s="8">
        <f t="shared" si="6"/>
        <v>10550000</v>
      </c>
      <c r="O113" s="12">
        <f t="shared" si="7"/>
        <v>0</v>
      </c>
      <c r="P113" s="8">
        <v>2004500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12554500</v>
      </c>
      <c r="AG113" s="3" t="s">
        <v>45</v>
      </c>
      <c r="AH113" s="3" t="s">
        <v>46</v>
      </c>
    </row>
    <row r="114" spans="1:34" s="3" customFormat="1">
      <c r="A114" s="3" t="s">
        <v>32</v>
      </c>
      <c r="B114" s="3" t="s">
        <v>1023</v>
      </c>
      <c r="C114" s="3" t="s">
        <v>1024</v>
      </c>
      <c r="D114" s="3" t="s">
        <v>35</v>
      </c>
      <c r="E114" s="3" t="s">
        <v>36</v>
      </c>
      <c r="F114" s="3" t="s">
        <v>37</v>
      </c>
      <c r="G114" s="3" t="s">
        <v>38</v>
      </c>
      <c r="H114" s="3" t="s">
        <v>1025</v>
      </c>
      <c r="I114" s="3" t="s">
        <v>1026</v>
      </c>
      <c r="J114" s="3" t="s">
        <v>41</v>
      </c>
      <c r="K114" s="3" t="s">
        <v>42</v>
      </c>
      <c r="L114" s="3" t="s">
        <v>850</v>
      </c>
      <c r="M114" s="3" t="s">
        <v>851</v>
      </c>
      <c r="N114" s="8">
        <f t="shared" si="6"/>
        <v>0</v>
      </c>
      <c r="O114" s="12">
        <f t="shared" si="7"/>
        <v>62271165.520000003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62271165.520000003</v>
      </c>
      <c r="AG114" s="3" t="s">
        <v>45</v>
      </c>
      <c r="AH114" s="3" t="s">
        <v>46</v>
      </c>
    </row>
    <row r="115" spans="1:34" s="3" customFormat="1">
      <c r="A115" s="3" t="s">
        <v>32</v>
      </c>
      <c r="B115" s="3" t="s">
        <v>1019</v>
      </c>
      <c r="C115" s="3" t="s">
        <v>1020</v>
      </c>
      <c r="D115" s="3" t="s">
        <v>35</v>
      </c>
      <c r="E115" s="3" t="s">
        <v>36</v>
      </c>
      <c r="F115" s="3" t="s">
        <v>37</v>
      </c>
      <c r="G115" s="3" t="s">
        <v>38</v>
      </c>
      <c r="H115" s="3" t="s">
        <v>1021</v>
      </c>
      <c r="I115" s="3" t="s">
        <v>1022</v>
      </c>
      <c r="J115" s="3" t="s">
        <v>41</v>
      </c>
      <c r="K115" s="3" t="s">
        <v>42</v>
      </c>
      <c r="L115" s="3" t="s">
        <v>365</v>
      </c>
      <c r="M115" s="3" t="s">
        <v>366</v>
      </c>
      <c r="N115" s="8">
        <f t="shared" si="6"/>
        <v>4685120</v>
      </c>
      <c r="O115" s="12">
        <f t="shared" si="7"/>
        <v>0</v>
      </c>
      <c r="P115" s="8">
        <v>890172.8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5575292.7999999998</v>
      </c>
      <c r="AG115" s="3" t="s">
        <v>45</v>
      </c>
      <c r="AH115" s="3" t="s">
        <v>46</v>
      </c>
    </row>
    <row r="116" spans="1:34" s="3" customFormat="1">
      <c r="A116" s="3" t="s">
        <v>32</v>
      </c>
      <c r="B116" s="3" t="s">
        <v>662</v>
      </c>
      <c r="C116" s="3" t="s">
        <v>663</v>
      </c>
      <c r="D116" s="3" t="s">
        <v>35</v>
      </c>
      <c r="E116" s="3" t="s">
        <v>36</v>
      </c>
      <c r="F116" s="3" t="s">
        <v>37</v>
      </c>
      <c r="G116" s="3" t="s">
        <v>38</v>
      </c>
      <c r="H116" s="3" t="s">
        <v>660</v>
      </c>
      <c r="I116" s="3" t="s">
        <v>664</v>
      </c>
      <c r="J116" s="3" t="s">
        <v>41</v>
      </c>
      <c r="K116" s="3" t="s">
        <v>42</v>
      </c>
      <c r="L116" s="3" t="s">
        <v>205</v>
      </c>
      <c r="M116" s="3" t="s">
        <v>206</v>
      </c>
      <c r="N116" s="8">
        <f t="shared" si="6"/>
        <v>1386980</v>
      </c>
      <c r="O116" s="12">
        <f t="shared" si="7"/>
        <v>0</v>
      </c>
      <c r="P116" s="8">
        <v>263526.2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1650506.2</v>
      </c>
      <c r="AG116" s="3" t="s">
        <v>45</v>
      </c>
      <c r="AH116" s="3" t="s">
        <v>46</v>
      </c>
    </row>
    <row r="117" spans="1:34" s="3" customFormat="1">
      <c r="A117" s="3" t="s">
        <v>32</v>
      </c>
      <c r="B117" s="3" t="s">
        <v>658</v>
      </c>
      <c r="C117" s="3" t="s">
        <v>659</v>
      </c>
      <c r="D117" s="3" t="s">
        <v>35</v>
      </c>
      <c r="E117" s="3" t="s">
        <v>36</v>
      </c>
      <c r="F117" s="3" t="s">
        <v>37</v>
      </c>
      <c r="G117" s="3" t="s">
        <v>38</v>
      </c>
      <c r="H117" s="3" t="s">
        <v>660</v>
      </c>
      <c r="I117" s="3" t="s">
        <v>661</v>
      </c>
      <c r="J117" s="3" t="s">
        <v>41</v>
      </c>
      <c r="K117" s="3" t="s">
        <v>42</v>
      </c>
      <c r="L117" s="3" t="s">
        <v>205</v>
      </c>
      <c r="M117" s="3" t="s">
        <v>206</v>
      </c>
      <c r="N117" s="8">
        <f t="shared" si="6"/>
        <v>3084381.9999999995</v>
      </c>
      <c r="O117" s="12">
        <f t="shared" si="7"/>
        <v>0</v>
      </c>
      <c r="P117" s="8">
        <v>586032.57999999996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3670414.58</v>
      </c>
      <c r="AG117" s="3" t="s">
        <v>45</v>
      </c>
      <c r="AH117" s="3" t="s">
        <v>46</v>
      </c>
    </row>
    <row r="118" spans="1:34" s="3" customFormat="1">
      <c r="A118" s="3" t="s">
        <v>32</v>
      </c>
      <c r="B118" s="3" t="s">
        <v>655</v>
      </c>
      <c r="C118" s="3" t="s">
        <v>656</v>
      </c>
      <c r="D118" s="3" t="s">
        <v>35</v>
      </c>
      <c r="E118" s="3" t="s">
        <v>36</v>
      </c>
      <c r="F118" s="3" t="s">
        <v>37</v>
      </c>
      <c r="G118" s="3" t="s">
        <v>38</v>
      </c>
      <c r="H118" s="3" t="s">
        <v>644</v>
      </c>
      <c r="I118" s="3" t="s">
        <v>657</v>
      </c>
      <c r="J118" s="3" t="s">
        <v>41</v>
      </c>
      <c r="K118" s="3" t="s">
        <v>42</v>
      </c>
      <c r="L118" s="3" t="s">
        <v>205</v>
      </c>
      <c r="M118" s="3" t="s">
        <v>206</v>
      </c>
      <c r="N118" s="8">
        <f t="shared" si="6"/>
        <v>14908048.000000002</v>
      </c>
      <c r="O118" s="12">
        <f t="shared" si="7"/>
        <v>0</v>
      </c>
      <c r="P118" s="8">
        <v>2832529.12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17740577.120000001</v>
      </c>
      <c r="AG118" s="3" t="s">
        <v>45</v>
      </c>
      <c r="AH118" s="3" t="s">
        <v>46</v>
      </c>
    </row>
    <row r="119" spans="1:34" s="3" customFormat="1">
      <c r="A119" s="3" t="s">
        <v>32</v>
      </c>
      <c r="B119" s="3" t="s">
        <v>652</v>
      </c>
      <c r="C119" s="3" t="s">
        <v>653</v>
      </c>
      <c r="D119" s="3" t="s">
        <v>35</v>
      </c>
      <c r="E119" s="3" t="s">
        <v>36</v>
      </c>
      <c r="F119" s="3" t="s">
        <v>37</v>
      </c>
      <c r="G119" s="3" t="s">
        <v>38</v>
      </c>
      <c r="H119" s="3" t="s">
        <v>644</v>
      </c>
      <c r="I119" s="3" t="s">
        <v>654</v>
      </c>
      <c r="J119" s="3" t="s">
        <v>41</v>
      </c>
      <c r="K119" s="3" t="s">
        <v>42</v>
      </c>
      <c r="L119" s="3" t="s">
        <v>205</v>
      </c>
      <c r="M119" s="3" t="s">
        <v>206</v>
      </c>
      <c r="N119" s="8">
        <f t="shared" si="6"/>
        <v>495350</v>
      </c>
      <c r="O119" s="12">
        <f t="shared" si="7"/>
        <v>0</v>
      </c>
      <c r="P119" s="8">
        <v>94116.5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589466.5</v>
      </c>
      <c r="AG119" s="3" t="s">
        <v>45</v>
      </c>
      <c r="AH119" s="3" t="s">
        <v>46</v>
      </c>
    </row>
    <row r="120" spans="1:34" s="3" customFormat="1">
      <c r="A120" s="3" t="s">
        <v>32</v>
      </c>
      <c r="B120" s="3" t="s">
        <v>649</v>
      </c>
      <c r="C120" s="3" t="s">
        <v>650</v>
      </c>
      <c r="D120" s="3" t="s">
        <v>35</v>
      </c>
      <c r="E120" s="3" t="s">
        <v>36</v>
      </c>
      <c r="F120" s="3" t="s">
        <v>37</v>
      </c>
      <c r="G120" s="3" t="s">
        <v>38</v>
      </c>
      <c r="H120" s="3" t="s">
        <v>644</v>
      </c>
      <c r="I120" s="3" t="s">
        <v>651</v>
      </c>
      <c r="J120" s="3" t="s">
        <v>41</v>
      </c>
      <c r="K120" s="3" t="s">
        <v>42</v>
      </c>
      <c r="L120" s="3" t="s">
        <v>205</v>
      </c>
      <c r="M120" s="3" t="s">
        <v>206</v>
      </c>
      <c r="N120" s="8">
        <f t="shared" si="6"/>
        <v>2073647</v>
      </c>
      <c r="O120" s="12">
        <f t="shared" si="7"/>
        <v>0</v>
      </c>
      <c r="P120" s="8">
        <v>393992.93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2467639.9300000002</v>
      </c>
      <c r="AG120" s="3" t="s">
        <v>45</v>
      </c>
      <c r="AH120" s="3" t="s">
        <v>46</v>
      </c>
    </row>
    <row r="121" spans="1:34" s="3" customFormat="1">
      <c r="A121" s="3" t="s">
        <v>32</v>
      </c>
      <c r="B121" s="3" t="s">
        <v>646</v>
      </c>
      <c r="C121" s="3" t="s">
        <v>647</v>
      </c>
      <c r="D121" s="3" t="s">
        <v>35</v>
      </c>
      <c r="E121" s="3" t="s">
        <v>36</v>
      </c>
      <c r="F121" s="3" t="s">
        <v>37</v>
      </c>
      <c r="G121" s="3" t="s">
        <v>38</v>
      </c>
      <c r="H121" s="3" t="s">
        <v>644</v>
      </c>
      <c r="I121" s="3" t="s">
        <v>648</v>
      </c>
      <c r="J121" s="3" t="s">
        <v>41</v>
      </c>
      <c r="K121" s="3" t="s">
        <v>42</v>
      </c>
      <c r="L121" s="3" t="s">
        <v>205</v>
      </c>
      <c r="M121" s="3" t="s">
        <v>206</v>
      </c>
      <c r="N121" s="8">
        <f t="shared" si="6"/>
        <v>3084381.9999999995</v>
      </c>
      <c r="O121" s="12">
        <f t="shared" si="7"/>
        <v>0</v>
      </c>
      <c r="P121" s="8">
        <v>586032.57999999996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3670414.58</v>
      </c>
      <c r="AG121" s="3" t="s">
        <v>45</v>
      </c>
      <c r="AH121" s="3" t="s">
        <v>46</v>
      </c>
    </row>
    <row r="122" spans="1:34" s="3" customFormat="1">
      <c r="A122" s="3" t="s">
        <v>32</v>
      </c>
      <c r="B122" s="3" t="s">
        <v>642</v>
      </c>
      <c r="C122" s="3" t="s">
        <v>643</v>
      </c>
      <c r="D122" s="3" t="s">
        <v>35</v>
      </c>
      <c r="E122" s="3" t="s">
        <v>36</v>
      </c>
      <c r="F122" s="3" t="s">
        <v>37</v>
      </c>
      <c r="G122" s="3" t="s">
        <v>38</v>
      </c>
      <c r="H122" s="3" t="s">
        <v>644</v>
      </c>
      <c r="I122" s="3" t="s">
        <v>645</v>
      </c>
      <c r="J122" s="3" t="s">
        <v>41</v>
      </c>
      <c r="K122" s="3" t="s">
        <v>42</v>
      </c>
      <c r="L122" s="3" t="s">
        <v>205</v>
      </c>
      <c r="M122" s="3" t="s">
        <v>206</v>
      </c>
      <c r="N122" s="8">
        <f t="shared" si="6"/>
        <v>792560</v>
      </c>
      <c r="O122" s="12">
        <f t="shared" si="7"/>
        <v>0</v>
      </c>
      <c r="P122" s="8">
        <v>150586.4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943146.4</v>
      </c>
      <c r="AG122" s="3" t="s">
        <v>45</v>
      </c>
      <c r="AH122" s="3" t="s">
        <v>46</v>
      </c>
    </row>
    <row r="123" spans="1:34" s="3" customFormat="1">
      <c r="A123" s="3" t="s">
        <v>32</v>
      </c>
      <c r="B123" s="3" t="s">
        <v>638</v>
      </c>
      <c r="C123" s="3" t="s">
        <v>639</v>
      </c>
      <c r="D123" s="3" t="s">
        <v>35</v>
      </c>
      <c r="E123" s="3" t="s">
        <v>36</v>
      </c>
      <c r="F123" s="3" t="s">
        <v>37</v>
      </c>
      <c r="G123" s="3" t="s">
        <v>38</v>
      </c>
      <c r="H123" s="3" t="s">
        <v>640</v>
      </c>
      <c r="I123" s="3" t="s">
        <v>641</v>
      </c>
      <c r="J123" s="3" t="s">
        <v>41</v>
      </c>
      <c r="K123" s="3" t="s">
        <v>42</v>
      </c>
      <c r="L123" s="3" t="s">
        <v>205</v>
      </c>
      <c r="M123" s="3" t="s">
        <v>206</v>
      </c>
      <c r="N123" s="8">
        <f t="shared" si="6"/>
        <v>13647881</v>
      </c>
      <c r="O123" s="12">
        <f t="shared" si="7"/>
        <v>0</v>
      </c>
      <c r="P123" s="8">
        <v>2593097.39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16240978.390000001</v>
      </c>
      <c r="AG123" s="3" t="s">
        <v>45</v>
      </c>
      <c r="AH123" s="3" t="s">
        <v>46</v>
      </c>
    </row>
    <row r="124" spans="1:34" s="3" customFormat="1">
      <c r="A124" s="3" t="s">
        <v>32</v>
      </c>
      <c r="B124" s="3" t="s">
        <v>570</v>
      </c>
      <c r="C124" s="3" t="s">
        <v>571</v>
      </c>
      <c r="D124" s="3" t="s">
        <v>35</v>
      </c>
      <c r="E124" s="3" t="s">
        <v>36</v>
      </c>
      <c r="F124" s="3" t="s">
        <v>37</v>
      </c>
      <c r="G124" s="3" t="s">
        <v>38</v>
      </c>
      <c r="H124" s="3" t="s">
        <v>565</v>
      </c>
      <c r="I124" s="3" t="s">
        <v>572</v>
      </c>
      <c r="J124" s="3" t="s">
        <v>41</v>
      </c>
      <c r="K124" s="3" t="s">
        <v>42</v>
      </c>
      <c r="L124" s="3" t="s">
        <v>205</v>
      </c>
      <c r="M124" s="3" t="s">
        <v>206</v>
      </c>
      <c r="N124" s="8">
        <f t="shared" si="6"/>
        <v>4755360</v>
      </c>
      <c r="O124" s="12">
        <f t="shared" si="7"/>
        <v>0</v>
      </c>
      <c r="P124" s="8">
        <v>903518.4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5658878.4000000004</v>
      </c>
      <c r="AG124" s="3" t="s">
        <v>45</v>
      </c>
      <c r="AH124" s="3" t="s">
        <v>46</v>
      </c>
    </row>
    <row r="125" spans="1:34" s="3" customFormat="1">
      <c r="A125" s="3" t="s">
        <v>32</v>
      </c>
      <c r="B125" s="3" t="s">
        <v>567</v>
      </c>
      <c r="C125" s="3" t="s">
        <v>568</v>
      </c>
      <c r="D125" s="3" t="s">
        <v>35</v>
      </c>
      <c r="E125" s="3" t="s">
        <v>36</v>
      </c>
      <c r="F125" s="3" t="s">
        <v>37</v>
      </c>
      <c r="G125" s="3" t="s">
        <v>38</v>
      </c>
      <c r="H125" s="3" t="s">
        <v>565</v>
      </c>
      <c r="I125" s="3" t="s">
        <v>569</v>
      </c>
      <c r="J125" s="3" t="s">
        <v>41</v>
      </c>
      <c r="K125" s="3" t="s">
        <v>42</v>
      </c>
      <c r="L125" s="3" t="s">
        <v>205</v>
      </c>
      <c r="M125" s="3" t="s">
        <v>206</v>
      </c>
      <c r="N125" s="8">
        <f t="shared" si="6"/>
        <v>495350</v>
      </c>
      <c r="O125" s="12">
        <f t="shared" si="7"/>
        <v>0</v>
      </c>
      <c r="P125" s="8">
        <v>94116.5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589466.5</v>
      </c>
      <c r="AG125" s="3" t="s">
        <v>45</v>
      </c>
      <c r="AH125" s="3" t="s">
        <v>46</v>
      </c>
    </row>
    <row r="126" spans="1:34" s="3" customFormat="1">
      <c r="A126" s="3" t="s">
        <v>32</v>
      </c>
      <c r="B126" s="3" t="s">
        <v>563</v>
      </c>
      <c r="C126" s="3" t="s">
        <v>564</v>
      </c>
      <c r="D126" s="3" t="s">
        <v>35</v>
      </c>
      <c r="E126" s="3" t="s">
        <v>36</v>
      </c>
      <c r="F126" s="3" t="s">
        <v>37</v>
      </c>
      <c r="G126" s="3" t="s">
        <v>38</v>
      </c>
      <c r="H126" s="3" t="s">
        <v>565</v>
      </c>
      <c r="I126" s="3" t="s">
        <v>566</v>
      </c>
      <c r="J126" s="3" t="s">
        <v>41</v>
      </c>
      <c r="K126" s="3" t="s">
        <v>42</v>
      </c>
      <c r="L126" s="3" t="s">
        <v>205</v>
      </c>
      <c r="M126" s="3" t="s">
        <v>206</v>
      </c>
      <c r="N126" s="8">
        <f t="shared" si="6"/>
        <v>495350</v>
      </c>
      <c r="O126" s="12">
        <f t="shared" si="7"/>
        <v>0</v>
      </c>
      <c r="P126" s="8">
        <v>94116.5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589466.5</v>
      </c>
      <c r="AG126" s="3" t="s">
        <v>45</v>
      </c>
      <c r="AH126" s="3" t="s">
        <v>46</v>
      </c>
    </row>
    <row r="127" spans="1:34" s="3" customFormat="1">
      <c r="A127" s="3" t="s">
        <v>32</v>
      </c>
      <c r="B127" s="3" t="s">
        <v>635</v>
      </c>
      <c r="C127" s="3" t="s">
        <v>636</v>
      </c>
      <c r="D127" s="3" t="s">
        <v>35</v>
      </c>
      <c r="E127" s="3" t="s">
        <v>36</v>
      </c>
      <c r="F127" s="3" t="s">
        <v>37</v>
      </c>
      <c r="G127" s="3" t="s">
        <v>38</v>
      </c>
      <c r="H127" s="3" t="s">
        <v>565</v>
      </c>
      <c r="I127" s="3" t="s">
        <v>637</v>
      </c>
      <c r="J127" s="3" t="s">
        <v>41</v>
      </c>
      <c r="K127" s="3" t="s">
        <v>42</v>
      </c>
      <c r="L127" s="3" t="s">
        <v>192</v>
      </c>
      <c r="M127" s="3" t="s">
        <v>193</v>
      </c>
      <c r="N127" s="8">
        <f t="shared" si="6"/>
        <v>2385120</v>
      </c>
      <c r="O127" s="12">
        <f t="shared" si="7"/>
        <v>0</v>
      </c>
      <c r="P127" s="8">
        <v>453172.8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2838292.8</v>
      </c>
      <c r="AG127" s="3" t="s">
        <v>45</v>
      </c>
      <c r="AH127" s="3" t="s">
        <v>46</v>
      </c>
    </row>
    <row r="128" spans="1:34" s="3" customFormat="1">
      <c r="A128" s="3" t="s">
        <v>32</v>
      </c>
      <c r="B128" s="3" t="s">
        <v>847</v>
      </c>
      <c r="C128" s="3" t="s">
        <v>848</v>
      </c>
      <c r="D128" s="3" t="s">
        <v>35</v>
      </c>
      <c r="E128" s="3" t="s">
        <v>36</v>
      </c>
      <c r="F128" s="3" t="s">
        <v>37</v>
      </c>
      <c r="G128" s="3" t="s">
        <v>38</v>
      </c>
      <c r="H128" s="3" t="s">
        <v>565</v>
      </c>
      <c r="I128" s="3" t="s">
        <v>849</v>
      </c>
      <c r="J128" s="3" t="s">
        <v>41</v>
      </c>
      <c r="K128" s="3" t="s">
        <v>42</v>
      </c>
      <c r="L128" s="3" t="s">
        <v>850</v>
      </c>
      <c r="M128" s="3" t="s">
        <v>851</v>
      </c>
      <c r="N128" s="8">
        <f t="shared" si="6"/>
        <v>0</v>
      </c>
      <c r="O128" s="12">
        <f t="shared" si="7"/>
        <v>20591820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20591820</v>
      </c>
      <c r="AG128" s="3" t="s">
        <v>45</v>
      </c>
      <c r="AH128" s="3" t="s">
        <v>46</v>
      </c>
    </row>
    <row r="129" spans="1:34" s="3" customFormat="1">
      <c r="A129" s="3" t="s">
        <v>32</v>
      </c>
      <c r="B129" s="3" t="s">
        <v>844</v>
      </c>
      <c r="C129" s="3" t="s">
        <v>845</v>
      </c>
      <c r="D129" s="3" t="s">
        <v>35</v>
      </c>
      <c r="E129" s="3" t="s">
        <v>36</v>
      </c>
      <c r="F129" s="3" t="s">
        <v>37</v>
      </c>
      <c r="G129" s="3" t="s">
        <v>38</v>
      </c>
      <c r="H129" s="3" t="s">
        <v>565</v>
      </c>
      <c r="I129" s="3" t="s">
        <v>846</v>
      </c>
      <c r="J129" s="3" t="s">
        <v>41</v>
      </c>
      <c r="K129" s="3" t="s">
        <v>42</v>
      </c>
      <c r="L129" s="3" t="s">
        <v>365</v>
      </c>
      <c r="M129" s="3" t="s">
        <v>366</v>
      </c>
      <c r="N129" s="8">
        <f t="shared" si="6"/>
        <v>3938000</v>
      </c>
      <c r="O129" s="12">
        <f t="shared" si="7"/>
        <v>0</v>
      </c>
      <c r="P129" s="8">
        <v>748220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4686220</v>
      </c>
      <c r="AG129" s="3" t="s">
        <v>45</v>
      </c>
      <c r="AH129" s="3" t="s">
        <v>46</v>
      </c>
    </row>
    <row r="130" spans="1:34" s="3" customFormat="1">
      <c r="A130" s="3" t="s">
        <v>32</v>
      </c>
      <c r="B130" s="3" t="s">
        <v>442</v>
      </c>
      <c r="C130" s="3" t="s">
        <v>443</v>
      </c>
      <c r="D130" s="3" t="s">
        <v>35</v>
      </c>
      <c r="E130" s="3" t="s">
        <v>36</v>
      </c>
      <c r="F130" s="3" t="s">
        <v>37</v>
      </c>
      <c r="G130" s="3" t="s">
        <v>38</v>
      </c>
      <c r="H130" s="3" t="s">
        <v>444</v>
      </c>
      <c r="I130" s="3" t="s">
        <v>445</v>
      </c>
      <c r="J130" s="3" t="s">
        <v>41</v>
      </c>
      <c r="K130" s="3" t="s">
        <v>42</v>
      </c>
      <c r="L130" s="3" t="s">
        <v>43</v>
      </c>
      <c r="M130" s="3" t="s">
        <v>44</v>
      </c>
      <c r="N130" s="8">
        <f t="shared" si="6"/>
        <v>1656648</v>
      </c>
      <c r="O130" s="12">
        <f t="shared" si="7"/>
        <v>0</v>
      </c>
      <c r="P130" s="8">
        <v>314763.12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1971411.12</v>
      </c>
      <c r="AG130" s="3" t="s">
        <v>45</v>
      </c>
      <c r="AH130" s="3" t="s">
        <v>46</v>
      </c>
    </row>
    <row r="131" spans="1:34" s="3" customFormat="1">
      <c r="A131" s="3" t="s">
        <v>32</v>
      </c>
      <c r="B131" s="3" t="s">
        <v>449</v>
      </c>
      <c r="C131" s="3" t="s">
        <v>450</v>
      </c>
      <c r="D131" s="3" t="s">
        <v>35</v>
      </c>
      <c r="E131" s="3" t="s">
        <v>36</v>
      </c>
      <c r="F131" s="3" t="s">
        <v>37</v>
      </c>
      <c r="G131" s="3" t="s">
        <v>38</v>
      </c>
      <c r="H131" s="3" t="s">
        <v>444</v>
      </c>
      <c r="I131" s="3" t="s">
        <v>451</v>
      </c>
      <c r="J131" s="3" t="s">
        <v>41</v>
      </c>
      <c r="K131" s="3" t="s">
        <v>42</v>
      </c>
      <c r="L131" s="3" t="s">
        <v>43</v>
      </c>
      <c r="M131" s="3" t="s">
        <v>44</v>
      </c>
      <c r="N131" s="8">
        <f t="shared" si="6"/>
        <v>6377769</v>
      </c>
      <c r="O131" s="12">
        <f t="shared" si="7"/>
        <v>0</v>
      </c>
      <c r="P131" s="8">
        <v>1211776.1100000001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7589545.1100000003</v>
      </c>
      <c r="AG131" s="3" t="s">
        <v>45</v>
      </c>
      <c r="AH131" s="3" t="s">
        <v>46</v>
      </c>
    </row>
    <row r="132" spans="1:34" s="3" customFormat="1">
      <c r="A132" s="3" t="s">
        <v>32</v>
      </c>
      <c r="B132" s="3" t="s">
        <v>446</v>
      </c>
      <c r="C132" s="3" t="s">
        <v>447</v>
      </c>
      <c r="D132" s="3" t="s">
        <v>35</v>
      </c>
      <c r="E132" s="3" t="s">
        <v>36</v>
      </c>
      <c r="F132" s="3" t="s">
        <v>37</v>
      </c>
      <c r="G132" s="3" t="s">
        <v>38</v>
      </c>
      <c r="H132" s="3" t="s">
        <v>444</v>
      </c>
      <c r="I132" s="3" t="s">
        <v>448</v>
      </c>
      <c r="J132" s="3" t="s">
        <v>41</v>
      </c>
      <c r="K132" s="3" t="s">
        <v>42</v>
      </c>
      <c r="L132" s="3" t="s">
        <v>43</v>
      </c>
      <c r="M132" s="3" t="s">
        <v>44</v>
      </c>
      <c r="N132" s="8">
        <f t="shared" ref="N132:N163" si="8">+P132/19*100</f>
        <v>6377769</v>
      </c>
      <c r="O132" s="12">
        <f t="shared" ref="O132:O163" si="9">+AF132-N132-P132</f>
        <v>0</v>
      </c>
      <c r="P132" s="8">
        <v>1211776.1100000001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7589545.1100000003</v>
      </c>
      <c r="AG132" s="3" t="s">
        <v>45</v>
      </c>
      <c r="AH132" s="3" t="s">
        <v>46</v>
      </c>
    </row>
    <row r="133" spans="1:34" s="3" customFormat="1">
      <c r="A133" s="3" t="s">
        <v>32</v>
      </c>
      <c r="B133" s="3" t="s">
        <v>438</v>
      </c>
      <c r="C133" s="3" t="s">
        <v>439</v>
      </c>
      <c r="D133" s="3" t="s">
        <v>35</v>
      </c>
      <c r="E133" s="3" t="s">
        <v>36</v>
      </c>
      <c r="F133" s="3" t="s">
        <v>37</v>
      </c>
      <c r="G133" s="3" t="s">
        <v>38</v>
      </c>
      <c r="H133" s="3" t="s">
        <v>440</v>
      </c>
      <c r="I133" s="3" t="s">
        <v>441</v>
      </c>
      <c r="J133" s="3" t="s">
        <v>41</v>
      </c>
      <c r="K133" s="3" t="s">
        <v>42</v>
      </c>
      <c r="L133" s="3" t="s">
        <v>43</v>
      </c>
      <c r="M133" s="3" t="s">
        <v>44</v>
      </c>
      <c r="N133" s="8">
        <f t="shared" si="8"/>
        <v>12366759</v>
      </c>
      <c r="O133" s="12">
        <f t="shared" si="9"/>
        <v>0</v>
      </c>
      <c r="P133" s="8">
        <v>2349684.21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14716443.210000001</v>
      </c>
      <c r="AG133" s="3" t="s">
        <v>45</v>
      </c>
      <c r="AH133" s="3" t="s">
        <v>46</v>
      </c>
    </row>
    <row r="134" spans="1:34" s="3" customFormat="1">
      <c r="A134" s="3" t="s">
        <v>32</v>
      </c>
      <c r="B134" s="3" t="s">
        <v>326</v>
      </c>
      <c r="C134" s="3" t="s">
        <v>327</v>
      </c>
      <c r="D134" s="3" t="s">
        <v>35</v>
      </c>
      <c r="E134" s="3" t="s">
        <v>36</v>
      </c>
      <c r="F134" s="3" t="s">
        <v>37</v>
      </c>
      <c r="G134" s="3" t="s">
        <v>38</v>
      </c>
      <c r="H134" s="3" t="s">
        <v>328</v>
      </c>
      <c r="I134" s="3" t="s">
        <v>329</v>
      </c>
      <c r="J134" s="3" t="s">
        <v>41</v>
      </c>
      <c r="K134" s="3" t="s">
        <v>42</v>
      </c>
      <c r="L134" s="3" t="s">
        <v>43</v>
      </c>
      <c r="M134" s="3" t="s">
        <v>44</v>
      </c>
      <c r="N134" s="8">
        <f t="shared" si="8"/>
        <v>41588530</v>
      </c>
      <c r="O134" s="12">
        <f t="shared" si="9"/>
        <v>0</v>
      </c>
      <c r="P134" s="8">
        <v>7901820.7000000002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49490350.700000003</v>
      </c>
      <c r="AG134" s="3" t="s">
        <v>45</v>
      </c>
      <c r="AH134" s="3" t="s">
        <v>46</v>
      </c>
    </row>
    <row r="135" spans="1:34" s="3" customFormat="1">
      <c r="A135" s="3" t="s">
        <v>32</v>
      </c>
      <c r="B135" s="3" t="s">
        <v>560</v>
      </c>
      <c r="C135" s="3" t="s">
        <v>561</v>
      </c>
      <c r="D135" s="3" t="s">
        <v>35</v>
      </c>
      <c r="E135" s="3" t="s">
        <v>36</v>
      </c>
      <c r="F135" s="3" t="s">
        <v>37</v>
      </c>
      <c r="G135" s="3" t="s">
        <v>38</v>
      </c>
      <c r="H135" s="3" t="s">
        <v>555</v>
      </c>
      <c r="I135" s="3" t="s">
        <v>562</v>
      </c>
      <c r="J135" s="3" t="s">
        <v>41</v>
      </c>
      <c r="K135" s="3" t="s">
        <v>42</v>
      </c>
      <c r="L135" s="3" t="s">
        <v>205</v>
      </c>
      <c r="M135" s="3" t="s">
        <v>206</v>
      </c>
      <c r="N135" s="8">
        <f t="shared" si="8"/>
        <v>2258362.0000000005</v>
      </c>
      <c r="O135" s="12">
        <f t="shared" si="9"/>
        <v>-6.9849193096160889E-10</v>
      </c>
      <c r="P135" s="8">
        <v>429088.78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2687450.78</v>
      </c>
      <c r="AG135" s="3" t="s">
        <v>45</v>
      </c>
      <c r="AH135" s="3" t="s">
        <v>46</v>
      </c>
    </row>
    <row r="136" spans="1:34" s="3" customFormat="1">
      <c r="A136" s="3" t="s">
        <v>32</v>
      </c>
      <c r="B136" s="3" t="s">
        <v>557</v>
      </c>
      <c r="C136" s="3" t="s">
        <v>558</v>
      </c>
      <c r="D136" s="3" t="s">
        <v>35</v>
      </c>
      <c r="E136" s="3" t="s">
        <v>36</v>
      </c>
      <c r="F136" s="3" t="s">
        <v>37</v>
      </c>
      <c r="G136" s="3" t="s">
        <v>38</v>
      </c>
      <c r="H136" s="3" t="s">
        <v>555</v>
      </c>
      <c r="I136" s="3" t="s">
        <v>559</v>
      </c>
      <c r="J136" s="3" t="s">
        <v>41</v>
      </c>
      <c r="K136" s="3" t="s">
        <v>42</v>
      </c>
      <c r="L136" s="3" t="s">
        <v>205</v>
      </c>
      <c r="M136" s="3" t="s">
        <v>206</v>
      </c>
      <c r="N136" s="8">
        <f t="shared" si="8"/>
        <v>1382432.0000000002</v>
      </c>
      <c r="O136" s="12">
        <f t="shared" si="9"/>
        <v>0</v>
      </c>
      <c r="P136" s="8">
        <v>262662.08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1645094.08</v>
      </c>
      <c r="AG136" s="3" t="s">
        <v>45</v>
      </c>
      <c r="AH136" s="3" t="s">
        <v>46</v>
      </c>
    </row>
    <row r="137" spans="1:34" s="3" customFormat="1">
      <c r="A137" s="3" t="s">
        <v>32</v>
      </c>
      <c r="B137" s="3" t="s">
        <v>553</v>
      </c>
      <c r="C137" s="3" t="s">
        <v>554</v>
      </c>
      <c r="D137" s="3" t="s">
        <v>35</v>
      </c>
      <c r="E137" s="3" t="s">
        <v>36</v>
      </c>
      <c r="F137" s="3" t="s">
        <v>37</v>
      </c>
      <c r="G137" s="3" t="s">
        <v>38</v>
      </c>
      <c r="H137" s="3" t="s">
        <v>555</v>
      </c>
      <c r="I137" s="3" t="s">
        <v>556</v>
      </c>
      <c r="J137" s="3" t="s">
        <v>41</v>
      </c>
      <c r="K137" s="3" t="s">
        <v>42</v>
      </c>
      <c r="L137" s="3" t="s">
        <v>205</v>
      </c>
      <c r="M137" s="3" t="s">
        <v>206</v>
      </c>
      <c r="N137" s="8">
        <f t="shared" si="8"/>
        <v>12337526.999999998</v>
      </c>
      <c r="O137" s="12">
        <f t="shared" si="9"/>
        <v>0</v>
      </c>
      <c r="P137" s="8">
        <v>2344130.13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14681657.130000001</v>
      </c>
      <c r="AG137" s="3" t="s">
        <v>45</v>
      </c>
      <c r="AH137" s="3" t="s">
        <v>46</v>
      </c>
    </row>
    <row r="138" spans="1:34" s="3" customFormat="1">
      <c r="A138" s="3" t="s">
        <v>32</v>
      </c>
      <c r="B138" s="3" t="s">
        <v>550</v>
      </c>
      <c r="C138" s="3" t="s">
        <v>551</v>
      </c>
      <c r="D138" s="3" t="s">
        <v>35</v>
      </c>
      <c r="E138" s="3" t="s">
        <v>36</v>
      </c>
      <c r="F138" s="3" t="s">
        <v>37</v>
      </c>
      <c r="G138" s="3" t="s">
        <v>38</v>
      </c>
      <c r="H138" s="3" t="s">
        <v>536</v>
      </c>
      <c r="I138" s="3" t="s">
        <v>552</v>
      </c>
      <c r="J138" s="3" t="s">
        <v>41</v>
      </c>
      <c r="K138" s="3" t="s">
        <v>42</v>
      </c>
      <c r="L138" s="3" t="s">
        <v>205</v>
      </c>
      <c r="M138" s="3" t="s">
        <v>206</v>
      </c>
      <c r="N138" s="8">
        <f t="shared" si="8"/>
        <v>6104602</v>
      </c>
      <c r="O138" s="12">
        <f t="shared" si="9"/>
        <v>0</v>
      </c>
      <c r="P138" s="8">
        <v>1159874.3799999999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7264476.3799999999</v>
      </c>
      <c r="AG138" s="3" t="s">
        <v>45</v>
      </c>
      <c r="AH138" s="3" t="s">
        <v>46</v>
      </c>
    </row>
    <row r="139" spans="1:34" s="3" customFormat="1">
      <c r="A139" s="3" t="s">
        <v>32</v>
      </c>
      <c r="B139" s="3" t="s">
        <v>547</v>
      </c>
      <c r="C139" s="3" t="s">
        <v>548</v>
      </c>
      <c r="D139" s="3" t="s">
        <v>35</v>
      </c>
      <c r="E139" s="3" t="s">
        <v>36</v>
      </c>
      <c r="F139" s="3" t="s">
        <v>37</v>
      </c>
      <c r="G139" s="3" t="s">
        <v>38</v>
      </c>
      <c r="H139" s="3" t="s">
        <v>536</v>
      </c>
      <c r="I139" s="3" t="s">
        <v>549</v>
      </c>
      <c r="J139" s="3" t="s">
        <v>41</v>
      </c>
      <c r="K139" s="3" t="s">
        <v>42</v>
      </c>
      <c r="L139" s="3" t="s">
        <v>205</v>
      </c>
      <c r="M139" s="3" t="s">
        <v>206</v>
      </c>
      <c r="N139" s="8">
        <f t="shared" si="8"/>
        <v>3170262.9999999995</v>
      </c>
      <c r="O139" s="12">
        <f t="shared" si="9"/>
        <v>0</v>
      </c>
      <c r="P139" s="8">
        <v>602349.97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3772612.97</v>
      </c>
      <c r="AG139" s="3" t="s">
        <v>45</v>
      </c>
      <c r="AH139" s="3" t="s">
        <v>46</v>
      </c>
    </row>
    <row r="140" spans="1:34" s="3" customFormat="1">
      <c r="A140" s="3" t="s">
        <v>32</v>
      </c>
      <c r="B140" s="3" t="s">
        <v>544</v>
      </c>
      <c r="C140" s="3" t="s">
        <v>545</v>
      </c>
      <c r="D140" s="3" t="s">
        <v>35</v>
      </c>
      <c r="E140" s="3" t="s">
        <v>36</v>
      </c>
      <c r="F140" s="3" t="s">
        <v>37</v>
      </c>
      <c r="G140" s="3" t="s">
        <v>38</v>
      </c>
      <c r="H140" s="3" t="s">
        <v>536</v>
      </c>
      <c r="I140" s="3" t="s">
        <v>546</v>
      </c>
      <c r="J140" s="3" t="s">
        <v>41</v>
      </c>
      <c r="K140" s="3" t="s">
        <v>42</v>
      </c>
      <c r="L140" s="3" t="s">
        <v>205</v>
      </c>
      <c r="M140" s="3" t="s">
        <v>206</v>
      </c>
      <c r="N140" s="8">
        <f t="shared" si="8"/>
        <v>16035242.000000002</v>
      </c>
      <c r="O140" s="12">
        <f t="shared" si="9"/>
        <v>0</v>
      </c>
      <c r="P140" s="8">
        <v>3046695.98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19081937.98</v>
      </c>
      <c r="AG140" s="3" t="s">
        <v>45</v>
      </c>
      <c r="AH140" s="3" t="s">
        <v>46</v>
      </c>
    </row>
    <row r="141" spans="1:34" s="3" customFormat="1">
      <c r="A141" s="3" t="s">
        <v>32</v>
      </c>
      <c r="B141" s="3" t="s">
        <v>541</v>
      </c>
      <c r="C141" s="3" t="s">
        <v>542</v>
      </c>
      <c r="D141" s="3" t="s">
        <v>35</v>
      </c>
      <c r="E141" s="3" t="s">
        <v>36</v>
      </c>
      <c r="F141" s="3" t="s">
        <v>37</v>
      </c>
      <c r="G141" s="3" t="s">
        <v>38</v>
      </c>
      <c r="H141" s="3" t="s">
        <v>536</v>
      </c>
      <c r="I141" s="3" t="s">
        <v>543</v>
      </c>
      <c r="J141" s="3" t="s">
        <v>41</v>
      </c>
      <c r="K141" s="3" t="s">
        <v>42</v>
      </c>
      <c r="L141" s="3" t="s">
        <v>205</v>
      </c>
      <c r="M141" s="3" t="s">
        <v>206</v>
      </c>
      <c r="N141" s="8">
        <f t="shared" si="8"/>
        <v>2073647</v>
      </c>
      <c r="O141" s="12">
        <f t="shared" si="9"/>
        <v>0</v>
      </c>
      <c r="P141" s="8">
        <v>393992.93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2467639.9300000002</v>
      </c>
      <c r="AG141" s="3" t="s">
        <v>45</v>
      </c>
      <c r="AH141" s="3" t="s">
        <v>46</v>
      </c>
    </row>
    <row r="142" spans="1:34" s="3" customFormat="1">
      <c r="A142" s="3" t="s">
        <v>32</v>
      </c>
      <c r="B142" s="3" t="s">
        <v>538</v>
      </c>
      <c r="C142" s="3" t="s">
        <v>539</v>
      </c>
      <c r="D142" s="3" t="s">
        <v>35</v>
      </c>
      <c r="E142" s="3" t="s">
        <v>36</v>
      </c>
      <c r="F142" s="3" t="s">
        <v>37</v>
      </c>
      <c r="G142" s="3" t="s">
        <v>38</v>
      </c>
      <c r="H142" s="3" t="s">
        <v>536</v>
      </c>
      <c r="I142" s="3" t="s">
        <v>540</v>
      </c>
      <c r="J142" s="3" t="s">
        <v>41</v>
      </c>
      <c r="K142" s="3" t="s">
        <v>42</v>
      </c>
      <c r="L142" s="3" t="s">
        <v>205</v>
      </c>
      <c r="M142" s="3" t="s">
        <v>206</v>
      </c>
      <c r="N142" s="8">
        <f t="shared" si="8"/>
        <v>2073647</v>
      </c>
      <c r="O142" s="12">
        <f t="shared" si="9"/>
        <v>0</v>
      </c>
      <c r="P142" s="8">
        <v>393992.93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2467639.9300000002</v>
      </c>
      <c r="AG142" s="3" t="s">
        <v>45</v>
      </c>
      <c r="AH142" s="3" t="s">
        <v>46</v>
      </c>
    </row>
    <row r="143" spans="1:34" s="3" customFormat="1">
      <c r="A143" s="3" t="s">
        <v>32</v>
      </c>
      <c r="B143" s="3" t="s">
        <v>534</v>
      </c>
      <c r="C143" s="3" t="s">
        <v>535</v>
      </c>
      <c r="D143" s="3" t="s">
        <v>35</v>
      </c>
      <c r="E143" s="3" t="s">
        <v>36</v>
      </c>
      <c r="F143" s="3" t="s">
        <v>37</v>
      </c>
      <c r="G143" s="3" t="s">
        <v>38</v>
      </c>
      <c r="H143" s="3" t="s">
        <v>536</v>
      </c>
      <c r="I143" s="3" t="s">
        <v>537</v>
      </c>
      <c r="J143" s="3" t="s">
        <v>41</v>
      </c>
      <c r="K143" s="3" t="s">
        <v>42</v>
      </c>
      <c r="L143" s="3" t="s">
        <v>205</v>
      </c>
      <c r="M143" s="3" t="s">
        <v>206</v>
      </c>
      <c r="N143" s="8">
        <f t="shared" si="8"/>
        <v>14908048.000000002</v>
      </c>
      <c r="O143" s="12">
        <f t="shared" si="9"/>
        <v>0</v>
      </c>
      <c r="P143" s="8">
        <v>2832529.12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17740577.120000001</v>
      </c>
      <c r="AG143" s="3" t="s">
        <v>45</v>
      </c>
      <c r="AH143" s="3" t="s">
        <v>46</v>
      </c>
    </row>
    <row r="144" spans="1:34" s="3" customFormat="1">
      <c r="A144" s="3" t="s">
        <v>32</v>
      </c>
      <c r="B144" s="3" t="s">
        <v>681</v>
      </c>
      <c r="C144" s="3" t="s">
        <v>682</v>
      </c>
      <c r="D144" s="3" t="s">
        <v>35</v>
      </c>
      <c r="E144" s="3" t="s">
        <v>36</v>
      </c>
      <c r="F144" s="3" t="s">
        <v>37</v>
      </c>
      <c r="G144" s="3" t="s">
        <v>38</v>
      </c>
      <c r="H144" s="3" t="s">
        <v>683</v>
      </c>
      <c r="I144" s="3" t="s">
        <v>684</v>
      </c>
      <c r="J144" s="3" t="s">
        <v>41</v>
      </c>
      <c r="K144" s="3" t="s">
        <v>42</v>
      </c>
      <c r="L144" s="3" t="s">
        <v>372</v>
      </c>
      <c r="M144" s="3" t="s">
        <v>373</v>
      </c>
      <c r="N144" s="8">
        <f t="shared" si="8"/>
        <v>0</v>
      </c>
      <c r="O144" s="12">
        <f t="shared" si="9"/>
        <v>14338400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14338400</v>
      </c>
      <c r="AG144" s="3" t="s">
        <v>45</v>
      </c>
      <c r="AH144" s="3" t="s">
        <v>46</v>
      </c>
    </row>
    <row r="145" spans="1:34" s="3" customFormat="1">
      <c r="A145" s="3" t="s">
        <v>32</v>
      </c>
      <c r="B145" s="3" t="s">
        <v>531</v>
      </c>
      <c r="C145" s="3" t="s">
        <v>532</v>
      </c>
      <c r="D145" s="3" t="s">
        <v>35</v>
      </c>
      <c r="E145" s="3" t="s">
        <v>36</v>
      </c>
      <c r="F145" s="3" t="s">
        <v>37</v>
      </c>
      <c r="G145" s="3" t="s">
        <v>38</v>
      </c>
      <c r="H145" s="3" t="s">
        <v>520</v>
      </c>
      <c r="I145" s="3" t="s">
        <v>533</v>
      </c>
      <c r="J145" s="3" t="s">
        <v>41</v>
      </c>
      <c r="K145" s="3" t="s">
        <v>42</v>
      </c>
      <c r="L145" s="3" t="s">
        <v>205</v>
      </c>
      <c r="M145" s="3" t="s">
        <v>206</v>
      </c>
      <c r="N145" s="8">
        <f t="shared" si="8"/>
        <v>9694762</v>
      </c>
      <c r="O145" s="12">
        <f t="shared" si="9"/>
        <v>0</v>
      </c>
      <c r="P145" s="8">
        <v>1842004.78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11536766.779999999</v>
      </c>
      <c r="AG145" s="3" t="s">
        <v>45</v>
      </c>
      <c r="AH145" s="3" t="s">
        <v>46</v>
      </c>
    </row>
    <row r="146" spans="1:34" s="3" customFormat="1">
      <c r="A146" s="3" t="s">
        <v>32</v>
      </c>
      <c r="B146" s="3" t="s">
        <v>528</v>
      </c>
      <c r="C146" s="3" t="s">
        <v>529</v>
      </c>
      <c r="D146" s="3" t="s">
        <v>35</v>
      </c>
      <c r="E146" s="3" t="s">
        <v>36</v>
      </c>
      <c r="F146" s="3" t="s">
        <v>37</v>
      </c>
      <c r="G146" s="3" t="s">
        <v>38</v>
      </c>
      <c r="H146" s="3" t="s">
        <v>520</v>
      </c>
      <c r="I146" s="3" t="s">
        <v>530</v>
      </c>
      <c r="J146" s="3" t="s">
        <v>41</v>
      </c>
      <c r="K146" s="3" t="s">
        <v>42</v>
      </c>
      <c r="L146" s="3" t="s">
        <v>205</v>
      </c>
      <c r="M146" s="3" t="s">
        <v>206</v>
      </c>
      <c r="N146" s="8">
        <f t="shared" si="8"/>
        <v>5547920</v>
      </c>
      <c r="O146" s="12">
        <f t="shared" si="9"/>
        <v>0</v>
      </c>
      <c r="P146" s="8">
        <v>1054104.8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6602024.7999999998</v>
      </c>
      <c r="AG146" s="3" t="s">
        <v>45</v>
      </c>
      <c r="AH146" s="3" t="s">
        <v>46</v>
      </c>
    </row>
    <row r="147" spans="1:34" s="3" customFormat="1">
      <c r="A147" s="3" t="s">
        <v>32</v>
      </c>
      <c r="B147" s="3" t="s">
        <v>525</v>
      </c>
      <c r="C147" s="3" t="s">
        <v>526</v>
      </c>
      <c r="D147" s="3" t="s">
        <v>35</v>
      </c>
      <c r="E147" s="3" t="s">
        <v>36</v>
      </c>
      <c r="F147" s="3" t="s">
        <v>37</v>
      </c>
      <c r="G147" s="3" t="s">
        <v>38</v>
      </c>
      <c r="H147" s="3" t="s">
        <v>520</v>
      </c>
      <c r="I147" s="3" t="s">
        <v>527</v>
      </c>
      <c r="J147" s="3" t="s">
        <v>41</v>
      </c>
      <c r="K147" s="3" t="s">
        <v>42</v>
      </c>
      <c r="L147" s="3" t="s">
        <v>205</v>
      </c>
      <c r="M147" s="3" t="s">
        <v>206</v>
      </c>
      <c r="N147" s="8">
        <f t="shared" si="8"/>
        <v>2438650</v>
      </c>
      <c r="O147" s="12">
        <f t="shared" si="9"/>
        <v>0</v>
      </c>
      <c r="P147" s="8">
        <v>463343.5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2901993.5</v>
      </c>
      <c r="AG147" s="3" t="s">
        <v>45</v>
      </c>
      <c r="AH147" s="3" t="s">
        <v>46</v>
      </c>
    </row>
    <row r="148" spans="1:34" s="3" customFormat="1">
      <c r="A148" s="3" t="s">
        <v>32</v>
      </c>
      <c r="B148" s="3" t="s">
        <v>522</v>
      </c>
      <c r="C148" s="3" t="s">
        <v>523</v>
      </c>
      <c r="D148" s="3" t="s">
        <v>35</v>
      </c>
      <c r="E148" s="3" t="s">
        <v>36</v>
      </c>
      <c r="F148" s="3" t="s">
        <v>37</v>
      </c>
      <c r="G148" s="3" t="s">
        <v>38</v>
      </c>
      <c r="H148" s="3" t="s">
        <v>520</v>
      </c>
      <c r="I148" s="3" t="s">
        <v>524</v>
      </c>
      <c r="J148" s="3" t="s">
        <v>41</v>
      </c>
      <c r="K148" s="3" t="s">
        <v>42</v>
      </c>
      <c r="L148" s="3" t="s">
        <v>205</v>
      </c>
      <c r="M148" s="3" t="s">
        <v>206</v>
      </c>
      <c r="N148" s="8">
        <f t="shared" si="8"/>
        <v>594420</v>
      </c>
      <c r="O148" s="12">
        <f t="shared" si="9"/>
        <v>0</v>
      </c>
      <c r="P148" s="8">
        <v>112939.8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707359.8</v>
      </c>
      <c r="AG148" s="3" t="s">
        <v>45</v>
      </c>
      <c r="AH148" s="3" t="s">
        <v>46</v>
      </c>
    </row>
    <row r="149" spans="1:34" s="3" customFormat="1">
      <c r="A149" s="3" t="s">
        <v>32</v>
      </c>
      <c r="B149" s="3" t="s">
        <v>518</v>
      </c>
      <c r="C149" s="3" t="s">
        <v>519</v>
      </c>
      <c r="D149" s="3" t="s">
        <v>35</v>
      </c>
      <c r="E149" s="3" t="s">
        <v>36</v>
      </c>
      <c r="F149" s="3" t="s">
        <v>37</v>
      </c>
      <c r="G149" s="3" t="s">
        <v>38</v>
      </c>
      <c r="H149" s="3" t="s">
        <v>520</v>
      </c>
      <c r="I149" s="3" t="s">
        <v>521</v>
      </c>
      <c r="J149" s="3" t="s">
        <v>41</v>
      </c>
      <c r="K149" s="3" t="s">
        <v>42</v>
      </c>
      <c r="L149" s="3" t="s">
        <v>205</v>
      </c>
      <c r="M149" s="3" t="s">
        <v>206</v>
      </c>
      <c r="N149" s="8">
        <f t="shared" si="8"/>
        <v>594420</v>
      </c>
      <c r="O149" s="12">
        <f t="shared" si="9"/>
        <v>0</v>
      </c>
      <c r="P149" s="8">
        <v>112939.8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707359.8</v>
      </c>
      <c r="AG149" s="3" t="s">
        <v>45</v>
      </c>
      <c r="AH149" s="3" t="s">
        <v>46</v>
      </c>
    </row>
    <row r="150" spans="1:34" s="3" customFormat="1">
      <c r="A150" s="3" t="s">
        <v>32</v>
      </c>
      <c r="B150" s="3" t="s">
        <v>515</v>
      </c>
      <c r="C150" s="3" t="s">
        <v>516</v>
      </c>
      <c r="D150" s="3" t="s">
        <v>35</v>
      </c>
      <c r="E150" s="3" t="s">
        <v>36</v>
      </c>
      <c r="F150" s="3" t="s">
        <v>37</v>
      </c>
      <c r="G150" s="3" t="s">
        <v>38</v>
      </c>
      <c r="H150" s="3" t="s">
        <v>510</v>
      </c>
      <c r="I150" s="3" t="s">
        <v>517</v>
      </c>
      <c r="J150" s="3" t="s">
        <v>41</v>
      </c>
      <c r="K150" s="3" t="s">
        <v>42</v>
      </c>
      <c r="L150" s="3" t="s">
        <v>205</v>
      </c>
      <c r="M150" s="3" t="s">
        <v>206</v>
      </c>
      <c r="N150" s="8">
        <f t="shared" si="8"/>
        <v>1382432.0000000002</v>
      </c>
      <c r="O150" s="12">
        <f t="shared" si="9"/>
        <v>0</v>
      </c>
      <c r="P150" s="8">
        <v>262662.08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1645094.08</v>
      </c>
      <c r="AG150" s="3" t="s">
        <v>45</v>
      </c>
      <c r="AH150" s="3" t="s">
        <v>46</v>
      </c>
    </row>
    <row r="151" spans="1:34" s="3" customFormat="1">
      <c r="A151" s="3" t="s">
        <v>32</v>
      </c>
      <c r="B151" s="3" t="s">
        <v>512</v>
      </c>
      <c r="C151" s="3" t="s">
        <v>513</v>
      </c>
      <c r="D151" s="3" t="s">
        <v>35</v>
      </c>
      <c r="E151" s="3" t="s">
        <v>36</v>
      </c>
      <c r="F151" s="3" t="s">
        <v>37</v>
      </c>
      <c r="G151" s="3" t="s">
        <v>38</v>
      </c>
      <c r="H151" s="3" t="s">
        <v>510</v>
      </c>
      <c r="I151" s="3" t="s">
        <v>514</v>
      </c>
      <c r="J151" s="3" t="s">
        <v>41</v>
      </c>
      <c r="K151" s="3" t="s">
        <v>42</v>
      </c>
      <c r="L151" s="3" t="s">
        <v>205</v>
      </c>
      <c r="M151" s="3" t="s">
        <v>206</v>
      </c>
      <c r="N151" s="8">
        <f t="shared" si="8"/>
        <v>495350</v>
      </c>
      <c r="O151" s="12">
        <f t="shared" si="9"/>
        <v>0</v>
      </c>
      <c r="P151" s="8">
        <v>94116.5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589466.5</v>
      </c>
      <c r="AG151" s="3" t="s">
        <v>45</v>
      </c>
      <c r="AH151" s="3" t="s">
        <v>46</v>
      </c>
    </row>
    <row r="152" spans="1:34" s="3" customFormat="1">
      <c r="A152" s="3" t="s">
        <v>32</v>
      </c>
      <c r="B152" s="3" t="s">
        <v>508</v>
      </c>
      <c r="C152" s="3" t="s">
        <v>509</v>
      </c>
      <c r="D152" s="3" t="s">
        <v>35</v>
      </c>
      <c r="E152" s="3" t="s">
        <v>36</v>
      </c>
      <c r="F152" s="3" t="s">
        <v>37</v>
      </c>
      <c r="G152" s="3" t="s">
        <v>38</v>
      </c>
      <c r="H152" s="3" t="s">
        <v>510</v>
      </c>
      <c r="I152" s="3" t="s">
        <v>511</v>
      </c>
      <c r="J152" s="3" t="s">
        <v>41</v>
      </c>
      <c r="K152" s="3" t="s">
        <v>42</v>
      </c>
      <c r="L152" s="3" t="s">
        <v>205</v>
      </c>
      <c r="M152" s="3" t="s">
        <v>206</v>
      </c>
      <c r="N152" s="8">
        <f t="shared" si="8"/>
        <v>1382432.0000000002</v>
      </c>
      <c r="O152" s="12">
        <f t="shared" si="9"/>
        <v>0</v>
      </c>
      <c r="P152" s="8">
        <v>262662.08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1645094.08</v>
      </c>
      <c r="AG152" s="3" t="s">
        <v>45</v>
      </c>
      <c r="AH152" s="3" t="s">
        <v>46</v>
      </c>
    </row>
    <row r="153" spans="1:34" s="3" customFormat="1">
      <c r="A153" s="3" t="s">
        <v>32</v>
      </c>
      <c r="B153" s="3" t="s">
        <v>330</v>
      </c>
      <c r="C153" s="3" t="s">
        <v>331</v>
      </c>
      <c r="D153" s="3" t="s">
        <v>35</v>
      </c>
      <c r="E153" s="3" t="s">
        <v>36</v>
      </c>
      <c r="F153" s="3" t="s">
        <v>37</v>
      </c>
      <c r="G153" s="3" t="s">
        <v>38</v>
      </c>
      <c r="H153" s="3" t="s">
        <v>332</v>
      </c>
      <c r="I153" s="3" t="s">
        <v>333</v>
      </c>
      <c r="J153" s="3" t="s">
        <v>41</v>
      </c>
      <c r="K153" s="3" t="s">
        <v>42</v>
      </c>
      <c r="L153" s="3" t="s">
        <v>43</v>
      </c>
      <c r="M153" s="3" t="s">
        <v>44</v>
      </c>
      <c r="N153" s="8">
        <f t="shared" si="8"/>
        <v>5966454</v>
      </c>
      <c r="O153" s="12">
        <f t="shared" si="9"/>
        <v>0</v>
      </c>
      <c r="P153" s="8">
        <v>1133626.26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7100080.2599999998</v>
      </c>
      <c r="AG153" s="3" t="s">
        <v>45</v>
      </c>
      <c r="AH153" s="3" t="s">
        <v>46</v>
      </c>
    </row>
    <row r="154" spans="1:34" s="3" customFormat="1">
      <c r="A154" s="3" t="s">
        <v>32</v>
      </c>
      <c r="B154" s="3" t="s">
        <v>374</v>
      </c>
      <c r="C154" s="3" t="s">
        <v>375</v>
      </c>
      <c r="D154" s="3" t="s">
        <v>35</v>
      </c>
      <c r="E154" s="3" t="s">
        <v>36</v>
      </c>
      <c r="F154" s="3" t="s">
        <v>37</v>
      </c>
      <c r="G154" s="3" t="s">
        <v>38</v>
      </c>
      <c r="H154" s="3" t="s">
        <v>370</v>
      </c>
      <c r="I154" s="3" t="s">
        <v>376</v>
      </c>
      <c r="J154" s="3" t="s">
        <v>41</v>
      </c>
      <c r="K154" s="3" t="s">
        <v>42</v>
      </c>
      <c r="L154" s="3" t="s">
        <v>372</v>
      </c>
      <c r="M154" s="3" t="s">
        <v>373</v>
      </c>
      <c r="N154" s="8">
        <f t="shared" si="8"/>
        <v>0</v>
      </c>
      <c r="O154" s="12">
        <f t="shared" si="9"/>
        <v>40065200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40065200</v>
      </c>
      <c r="AG154" s="3" t="s">
        <v>45</v>
      </c>
      <c r="AH154" s="3" t="s">
        <v>46</v>
      </c>
    </row>
    <row r="155" spans="1:34" s="3" customFormat="1">
      <c r="A155" s="3" t="s">
        <v>32</v>
      </c>
      <c r="B155" s="3" t="s">
        <v>368</v>
      </c>
      <c r="C155" s="3" t="s">
        <v>369</v>
      </c>
      <c r="D155" s="3" t="s">
        <v>35</v>
      </c>
      <c r="E155" s="3" t="s">
        <v>36</v>
      </c>
      <c r="F155" s="3" t="s">
        <v>37</v>
      </c>
      <c r="G155" s="3" t="s">
        <v>38</v>
      </c>
      <c r="H155" s="3" t="s">
        <v>370</v>
      </c>
      <c r="I155" s="3" t="s">
        <v>371</v>
      </c>
      <c r="J155" s="3" t="s">
        <v>41</v>
      </c>
      <c r="K155" s="3" t="s">
        <v>42</v>
      </c>
      <c r="L155" s="3" t="s">
        <v>372</v>
      </c>
      <c r="M155" s="3" t="s">
        <v>373</v>
      </c>
      <c r="N155" s="8">
        <f t="shared" si="8"/>
        <v>0</v>
      </c>
      <c r="O155" s="12">
        <f t="shared" si="9"/>
        <v>1535120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1535120</v>
      </c>
      <c r="AG155" s="3" t="s">
        <v>45</v>
      </c>
      <c r="AH155" s="3" t="s">
        <v>46</v>
      </c>
    </row>
    <row r="156" spans="1:34" s="3" customFormat="1">
      <c r="A156" s="3" t="s">
        <v>32</v>
      </c>
      <c r="B156" s="3" t="s">
        <v>486</v>
      </c>
      <c r="C156" s="3" t="s">
        <v>487</v>
      </c>
      <c r="D156" s="3" t="s">
        <v>35</v>
      </c>
      <c r="E156" s="3" t="s">
        <v>36</v>
      </c>
      <c r="F156" s="3" t="s">
        <v>37</v>
      </c>
      <c r="G156" s="3" t="s">
        <v>38</v>
      </c>
      <c r="H156" s="3" t="s">
        <v>370</v>
      </c>
      <c r="I156" s="3" t="s">
        <v>488</v>
      </c>
      <c r="J156" s="3" t="s">
        <v>41</v>
      </c>
      <c r="K156" s="3" t="s">
        <v>42</v>
      </c>
      <c r="L156" s="3" t="s">
        <v>205</v>
      </c>
      <c r="M156" s="3" t="s">
        <v>206</v>
      </c>
      <c r="N156" s="8">
        <f t="shared" si="8"/>
        <v>3456079</v>
      </c>
      <c r="O156" s="12">
        <f t="shared" si="9"/>
        <v>0</v>
      </c>
      <c r="P156" s="8">
        <v>656655.01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4112734.01</v>
      </c>
      <c r="AG156" s="3" t="s">
        <v>45</v>
      </c>
      <c r="AH156" s="3" t="s">
        <v>46</v>
      </c>
    </row>
    <row r="157" spans="1:34" s="3" customFormat="1">
      <c r="A157" s="3" t="s">
        <v>32</v>
      </c>
      <c r="B157" s="3" t="s">
        <v>483</v>
      </c>
      <c r="C157" s="3" t="s">
        <v>484</v>
      </c>
      <c r="D157" s="3" t="s">
        <v>35</v>
      </c>
      <c r="E157" s="3" t="s">
        <v>36</v>
      </c>
      <c r="F157" s="3" t="s">
        <v>37</v>
      </c>
      <c r="G157" s="3" t="s">
        <v>38</v>
      </c>
      <c r="H157" s="3" t="s">
        <v>370</v>
      </c>
      <c r="I157" s="3" t="s">
        <v>485</v>
      </c>
      <c r="J157" s="3" t="s">
        <v>41</v>
      </c>
      <c r="K157" s="3" t="s">
        <v>42</v>
      </c>
      <c r="L157" s="3" t="s">
        <v>205</v>
      </c>
      <c r="M157" s="3" t="s">
        <v>206</v>
      </c>
      <c r="N157" s="8">
        <f t="shared" si="8"/>
        <v>594420</v>
      </c>
      <c r="O157" s="12">
        <f t="shared" si="9"/>
        <v>0</v>
      </c>
      <c r="P157" s="8">
        <v>112939.8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707359.8</v>
      </c>
      <c r="AG157" s="3" t="s">
        <v>45</v>
      </c>
      <c r="AH157" s="3" t="s">
        <v>46</v>
      </c>
    </row>
    <row r="158" spans="1:34" s="3" customFormat="1">
      <c r="A158" s="3" t="s">
        <v>32</v>
      </c>
      <c r="B158" s="3" t="s">
        <v>480</v>
      </c>
      <c r="C158" s="3" t="s">
        <v>481</v>
      </c>
      <c r="D158" s="3" t="s">
        <v>35</v>
      </c>
      <c r="E158" s="3" t="s">
        <v>36</v>
      </c>
      <c r="F158" s="3" t="s">
        <v>37</v>
      </c>
      <c r="G158" s="3" t="s">
        <v>38</v>
      </c>
      <c r="H158" s="3" t="s">
        <v>370</v>
      </c>
      <c r="I158" s="3" t="s">
        <v>482</v>
      </c>
      <c r="J158" s="3" t="s">
        <v>41</v>
      </c>
      <c r="K158" s="3" t="s">
        <v>42</v>
      </c>
      <c r="L158" s="3" t="s">
        <v>205</v>
      </c>
      <c r="M158" s="3" t="s">
        <v>206</v>
      </c>
      <c r="N158" s="8">
        <f t="shared" si="8"/>
        <v>14908048.000000002</v>
      </c>
      <c r="O158" s="12">
        <f t="shared" si="9"/>
        <v>0</v>
      </c>
      <c r="P158" s="8">
        <v>2832529.12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17740577.120000001</v>
      </c>
      <c r="AG158" s="3" t="s">
        <v>45</v>
      </c>
      <c r="AH158" s="3" t="s">
        <v>46</v>
      </c>
    </row>
    <row r="159" spans="1:34" s="3" customFormat="1">
      <c r="A159" s="3" t="s">
        <v>32</v>
      </c>
      <c r="B159" s="3" t="s">
        <v>477</v>
      </c>
      <c r="C159" s="3" t="s">
        <v>478</v>
      </c>
      <c r="D159" s="3" t="s">
        <v>35</v>
      </c>
      <c r="E159" s="3" t="s">
        <v>36</v>
      </c>
      <c r="F159" s="3" t="s">
        <v>37</v>
      </c>
      <c r="G159" s="3" t="s">
        <v>38</v>
      </c>
      <c r="H159" s="3" t="s">
        <v>370</v>
      </c>
      <c r="I159" s="3" t="s">
        <v>479</v>
      </c>
      <c r="J159" s="3" t="s">
        <v>41</v>
      </c>
      <c r="K159" s="3" t="s">
        <v>42</v>
      </c>
      <c r="L159" s="3" t="s">
        <v>205</v>
      </c>
      <c r="M159" s="3" t="s">
        <v>206</v>
      </c>
      <c r="N159" s="8">
        <f t="shared" si="8"/>
        <v>484282</v>
      </c>
      <c r="O159" s="12">
        <f t="shared" si="9"/>
        <v>0</v>
      </c>
      <c r="P159" s="8">
        <v>92013.58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576295.57999999996</v>
      </c>
      <c r="AG159" s="3" t="s">
        <v>45</v>
      </c>
      <c r="AH159" s="3" t="s">
        <v>46</v>
      </c>
    </row>
    <row r="160" spans="1:34" s="3" customFormat="1">
      <c r="A160" s="3" t="s">
        <v>32</v>
      </c>
      <c r="B160" s="3" t="s">
        <v>323</v>
      </c>
      <c r="C160" s="3" t="s">
        <v>324</v>
      </c>
      <c r="D160" s="3" t="s">
        <v>35</v>
      </c>
      <c r="E160" s="3" t="s">
        <v>36</v>
      </c>
      <c r="F160" s="3" t="s">
        <v>37</v>
      </c>
      <c r="G160" s="3" t="s">
        <v>38</v>
      </c>
      <c r="H160" s="3" t="s">
        <v>321</v>
      </c>
      <c r="I160" s="3" t="s">
        <v>325</v>
      </c>
      <c r="J160" s="3" t="s">
        <v>41</v>
      </c>
      <c r="K160" s="3" t="s">
        <v>42</v>
      </c>
      <c r="L160" s="3" t="s">
        <v>43</v>
      </c>
      <c r="M160" s="3" t="s">
        <v>44</v>
      </c>
      <c r="N160" s="8">
        <f t="shared" si="8"/>
        <v>11218350</v>
      </c>
      <c r="O160" s="12">
        <f t="shared" si="9"/>
        <v>0</v>
      </c>
      <c r="P160" s="8">
        <v>2131486.5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13349836.5</v>
      </c>
      <c r="AG160" s="3" t="s">
        <v>45</v>
      </c>
      <c r="AH160" s="3" t="s">
        <v>46</v>
      </c>
    </row>
    <row r="161" spans="1:34" s="3" customFormat="1">
      <c r="A161" s="3" t="s">
        <v>32</v>
      </c>
      <c r="B161" s="3" t="s">
        <v>319</v>
      </c>
      <c r="C161" s="3" t="s">
        <v>320</v>
      </c>
      <c r="D161" s="3" t="s">
        <v>35</v>
      </c>
      <c r="E161" s="3" t="s">
        <v>36</v>
      </c>
      <c r="F161" s="3" t="s">
        <v>37</v>
      </c>
      <c r="G161" s="3" t="s">
        <v>38</v>
      </c>
      <c r="H161" s="3" t="s">
        <v>321</v>
      </c>
      <c r="I161" s="3" t="s">
        <v>322</v>
      </c>
      <c r="J161" s="3" t="s">
        <v>41</v>
      </c>
      <c r="K161" s="3" t="s">
        <v>42</v>
      </c>
      <c r="L161" s="3" t="s">
        <v>43</v>
      </c>
      <c r="M161" s="3" t="s">
        <v>44</v>
      </c>
      <c r="N161" s="8">
        <f t="shared" si="8"/>
        <v>7382621.0000000009</v>
      </c>
      <c r="O161" s="12">
        <f t="shared" si="9"/>
        <v>0</v>
      </c>
      <c r="P161" s="8">
        <v>1402697.99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8785318.9900000002</v>
      </c>
      <c r="AG161" s="3" t="s">
        <v>45</v>
      </c>
      <c r="AH161" s="3" t="s">
        <v>46</v>
      </c>
    </row>
    <row r="162" spans="1:34" s="3" customFormat="1">
      <c r="A162" s="3" t="s">
        <v>32</v>
      </c>
      <c r="B162" s="3" t="s">
        <v>435</v>
      </c>
      <c r="C162" s="3" t="s">
        <v>436</v>
      </c>
      <c r="D162" s="3" t="s">
        <v>35</v>
      </c>
      <c r="E162" s="3" t="s">
        <v>36</v>
      </c>
      <c r="F162" s="3" t="s">
        <v>37</v>
      </c>
      <c r="G162" s="3" t="s">
        <v>38</v>
      </c>
      <c r="H162" s="3" t="s">
        <v>419</v>
      </c>
      <c r="I162" s="3" t="s">
        <v>437</v>
      </c>
      <c r="J162" s="3" t="s">
        <v>41</v>
      </c>
      <c r="K162" s="3" t="s">
        <v>42</v>
      </c>
      <c r="L162" s="3" t="s">
        <v>205</v>
      </c>
      <c r="M162" s="3" t="s">
        <v>206</v>
      </c>
      <c r="N162" s="8">
        <f t="shared" si="8"/>
        <v>16663600</v>
      </c>
      <c r="O162" s="12">
        <f t="shared" si="9"/>
        <v>0</v>
      </c>
      <c r="P162" s="8">
        <v>3166084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19829684</v>
      </c>
      <c r="AG162" s="3" t="s">
        <v>45</v>
      </c>
      <c r="AH162" s="3" t="s">
        <v>46</v>
      </c>
    </row>
    <row r="163" spans="1:34" s="3" customFormat="1">
      <c r="A163" s="3" t="s">
        <v>32</v>
      </c>
      <c r="B163" s="3" t="s">
        <v>423</v>
      </c>
      <c r="C163" s="3" t="s">
        <v>424</v>
      </c>
      <c r="D163" s="3" t="s">
        <v>35</v>
      </c>
      <c r="E163" s="3" t="s">
        <v>36</v>
      </c>
      <c r="F163" s="3" t="s">
        <v>37</v>
      </c>
      <c r="G163" s="3" t="s">
        <v>38</v>
      </c>
      <c r="H163" s="3" t="s">
        <v>419</v>
      </c>
      <c r="I163" s="3" t="s">
        <v>425</v>
      </c>
      <c r="J163" s="3" t="s">
        <v>41</v>
      </c>
      <c r="K163" s="3" t="s">
        <v>42</v>
      </c>
      <c r="L163" s="3" t="s">
        <v>205</v>
      </c>
      <c r="M163" s="3" t="s">
        <v>206</v>
      </c>
      <c r="N163" s="8">
        <f t="shared" si="8"/>
        <v>14244165</v>
      </c>
      <c r="O163" s="12">
        <f t="shared" si="9"/>
        <v>0</v>
      </c>
      <c r="P163" s="8">
        <v>2706391.35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16950556.350000001</v>
      </c>
      <c r="AG163" s="3" t="s">
        <v>45</v>
      </c>
      <c r="AH163" s="3" t="s">
        <v>46</v>
      </c>
    </row>
    <row r="164" spans="1:34" s="3" customFormat="1">
      <c r="A164" s="3" t="s">
        <v>32</v>
      </c>
      <c r="B164" s="3" t="s">
        <v>432</v>
      </c>
      <c r="C164" s="3" t="s">
        <v>433</v>
      </c>
      <c r="D164" s="3" t="s">
        <v>35</v>
      </c>
      <c r="E164" s="3" t="s">
        <v>36</v>
      </c>
      <c r="F164" s="3" t="s">
        <v>37</v>
      </c>
      <c r="G164" s="3" t="s">
        <v>38</v>
      </c>
      <c r="H164" s="3" t="s">
        <v>419</v>
      </c>
      <c r="I164" s="3" t="s">
        <v>434</v>
      </c>
      <c r="J164" s="3" t="s">
        <v>41</v>
      </c>
      <c r="K164" s="3" t="s">
        <v>42</v>
      </c>
      <c r="L164" s="3" t="s">
        <v>205</v>
      </c>
      <c r="M164" s="3" t="s">
        <v>206</v>
      </c>
      <c r="N164" s="8">
        <f t="shared" ref="N164:N185" si="10">+P164/19*100</f>
        <v>594420</v>
      </c>
      <c r="O164" s="12">
        <f t="shared" ref="O164:O185" si="11">+AF164-N164-P164</f>
        <v>0</v>
      </c>
      <c r="P164" s="8">
        <v>112939.8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707359.8</v>
      </c>
      <c r="AG164" s="3" t="s">
        <v>45</v>
      </c>
      <c r="AH164" s="3" t="s">
        <v>46</v>
      </c>
    </row>
    <row r="165" spans="1:34" s="3" customFormat="1">
      <c r="A165" s="3" t="s">
        <v>32</v>
      </c>
      <c r="B165" s="3" t="s">
        <v>429</v>
      </c>
      <c r="C165" s="3" t="s">
        <v>430</v>
      </c>
      <c r="D165" s="3" t="s">
        <v>35</v>
      </c>
      <c r="E165" s="3" t="s">
        <v>36</v>
      </c>
      <c r="F165" s="3" t="s">
        <v>37</v>
      </c>
      <c r="G165" s="3" t="s">
        <v>38</v>
      </c>
      <c r="H165" s="3" t="s">
        <v>419</v>
      </c>
      <c r="I165" s="3" t="s">
        <v>431</v>
      </c>
      <c r="J165" s="3" t="s">
        <v>41</v>
      </c>
      <c r="K165" s="3" t="s">
        <v>42</v>
      </c>
      <c r="L165" s="3" t="s">
        <v>205</v>
      </c>
      <c r="M165" s="3" t="s">
        <v>206</v>
      </c>
      <c r="N165" s="8">
        <f t="shared" si="10"/>
        <v>594420</v>
      </c>
      <c r="O165" s="12">
        <f t="shared" si="11"/>
        <v>0</v>
      </c>
      <c r="P165" s="8">
        <v>112939.8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707359.8</v>
      </c>
      <c r="AG165" s="3" t="s">
        <v>45</v>
      </c>
      <c r="AH165" s="3" t="s">
        <v>46</v>
      </c>
    </row>
    <row r="166" spans="1:34" s="3" customFormat="1">
      <c r="A166" s="3" t="s">
        <v>32</v>
      </c>
      <c r="B166" s="3" t="s">
        <v>426</v>
      </c>
      <c r="C166" s="3" t="s">
        <v>427</v>
      </c>
      <c r="D166" s="3" t="s">
        <v>35</v>
      </c>
      <c r="E166" s="3" t="s">
        <v>36</v>
      </c>
      <c r="F166" s="3" t="s">
        <v>37</v>
      </c>
      <c r="G166" s="3" t="s">
        <v>38</v>
      </c>
      <c r="H166" s="3" t="s">
        <v>419</v>
      </c>
      <c r="I166" s="3" t="s">
        <v>428</v>
      </c>
      <c r="J166" s="3" t="s">
        <v>41</v>
      </c>
      <c r="K166" s="3" t="s">
        <v>42</v>
      </c>
      <c r="L166" s="3" t="s">
        <v>205</v>
      </c>
      <c r="M166" s="3" t="s">
        <v>206</v>
      </c>
      <c r="N166" s="8">
        <f t="shared" si="10"/>
        <v>484282</v>
      </c>
      <c r="O166" s="12">
        <f t="shared" si="11"/>
        <v>0</v>
      </c>
      <c r="P166" s="8">
        <v>92013.58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576295.57999999996</v>
      </c>
      <c r="AG166" s="3" t="s">
        <v>45</v>
      </c>
      <c r="AH166" s="3" t="s">
        <v>46</v>
      </c>
    </row>
    <row r="167" spans="1:34" s="3" customFormat="1">
      <c r="A167" s="3" t="s">
        <v>32</v>
      </c>
      <c r="B167" s="3" t="s">
        <v>417</v>
      </c>
      <c r="C167" s="3" t="s">
        <v>418</v>
      </c>
      <c r="D167" s="3" t="s">
        <v>35</v>
      </c>
      <c r="E167" s="3" t="s">
        <v>36</v>
      </c>
      <c r="F167" s="3" t="s">
        <v>37</v>
      </c>
      <c r="G167" s="3" t="s">
        <v>38</v>
      </c>
      <c r="H167" s="3" t="s">
        <v>419</v>
      </c>
      <c r="I167" s="3" t="s">
        <v>420</v>
      </c>
      <c r="J167" s="3" t="s">
        <v>41</v>
      </c>
      <c r="K167" s="3" t="s">
        <v>42</v>
      </c>
      <c r="L167" s="3" t="s">
        <v>205</v>
      </c>
      <c r="M167" s="3" t="s">
        <v>206</v>
      </c>
      <c r="N167" s="8">
        <f t="shared" si="10"/>
        <v>6340528.0000000009</v>
      </c>
      <c r="O167" s="12">
        <f t="shared" si="11"/>
        <v>0</v>
      </c>
      <c r="P167" s="8">
        <v>1204700.32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7545228.3200000003</v>
      </c>
      <c r="AG167" s="3" t="s">
        <v>45</v>
      </c>
      <c r="AH167" s="3" t="s">
        <v>46</v>
      </c>
    </row>
    <row r="168" spans="1:34" s="3" customFormat="1">
      <c r="A168" s="3" t="s">
        <v>32</v>
      </c>
      <c r="B168" s="3" t="s">
        <v>414</v>
      </c>
      <c r="C168" s="3" t="s">
        <v>415</v>
      </c>
      <c r="D168" s="3" t="s">
        <v>35</v>
      </c>
      <c r="E168" s="3" t="s">
        <v>36</v>
      </c>
      <c r="F168" s="3" t="s">
        <v>37</v>
      </c>
      <c r="G168" s="3" t="s">
        <v>38</v>
      </c>
      <c r="H168" s="3" t="s">
        <v>412</v>
      </c>
      <c r="I168" s="3" t="s">
        <v>416</v>
      </c>
      <c r="J168" s="3" t="s">
        <v>41</v>
      </c>
      <c r="K168" s="3" t="s">
        <v>42</v>
      </c>
      <c r="L168" s="3" t="s">
        <v>205</v>
      </c>
      <c r="M168" s="3" t="s">
        <v>206</v>
      </c>
      <c r="N168" s="8">
        <f t="shared" si="10"/>
        <v>1384965.9999999998</v>
      </c>
      <c r="O168" s="12">
        <f t="shared" si="11"/>
        <v>0</v>
      </c>
      <c r="P168" s="8">
        <v>263143.53999999998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1648109.54</v>
      </c>
      <c r="AG168" s="3" t="s">
        <v>45</v>
      </c>
      <c r="AH168" s="3" t="s">
        <v>46</v>
      </c>
    </row>
    <row r="169" spans="1:34" s="3" customFormat="1">
      <c r="A169" s="3" t="s">
        <v>32</v>
      </c>
      <c r="B169" s="3" t="s">
        <v>410</v>
      </c>
      <c r="C169" s="3" t="s">
        <v>411</v>
      </c>
      <c r="D169" s="3" t="s">
        <v>35</v>
      </c>
      <c r="E169" s="3" t="s">
        <v>36</v>
      </c>
      <c r="F169" s="3" t="s">
        <v>37</v>
      </c>
      <c r="G169" s="3" t="s">
        <v>38</v>
      </c>
      <c r="H169" s="3" t="s">
        <v>412</v>
      </c>
      <c r="I169" s="3" t="s">
        <v>413</v>
      </c>
      <c r="J169" s="3" t="s">
        <v>41</v>
      </c>
      <c r="K169" s="3" t="s">
        <v>42</v>
      </c>
      <c r="L169" s="3" t="s">
        <v>205</v>
      </c>
      <c r="M169" s="3" t="s">
        <v>206</v>
      </c>
      <c r="N169" s="8">
        <f t="shared" si="10"/>
        <v>487730</v>
      </c>
      <c r="O169" s="12">
        <f t="shared" si="11"/>
        <v>0</v>
      </c>
      <c r="P169" s="8">
        <v>92668.7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580398.69999999995</v>
      </c>
      <c r="AG169" s="3" t="s">
        <v>45</v>
      </c>
      <c r="AH169" s="3" t="s">
        <v>46</v>
      </c>
    </row>
    <row r="170" spans="1:34" s="3" customFormat="1">
      <c r="A170" s="3" t="s">
        <v>32</v>
      </c>
      <c r="B170" s="3" t="s">
        <v>377</v>
      </c>
      <c r="C170" s="3" t="s">
        <v>378</v>
      </c>
      <c r="D170" s="3" t="s">
        <v>35</v>
      </c>
      <c r="E170" s="3" t="s">
        <v>36</v>
      </c>
      <c r="F170" s="3" t="s">
        <v>37</v>
      </c>
      <c r="G170" s="3" t="s">
        <v>38</v>
      </c>
      <c r="H170" s="3" t="s">
        <v>379</v>
      </c>
      <c r="I170" s="3" t="s">
        <v>380</v>
      </c>
      <c r="J170" s="3" t="s">
        <v>41</v>
      </c>
      <c r="K170" s="3" t="s">
        <v>42</v>
      </c>
      <c r="L170" s="3" t="s">
        <v>205</v>
      </c>
      <c r="M170" s="3" t="s">
        <v>206</v>
      </c>
      <c r="N170" s="8">
        <f t="shared" si="10"/>
        <v>8311800</v>
      </c>
      <c r="O170" s="12">
        <f t="shared" si="11"/>
        <v>0</v>
      </c>
      <c r="P170" s="8">
        <v>1579242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9891042</v>
      </c>
      <c r="AG170" s="3" t="s">
        <v>45</v>
      </c>
      <c r="AH170" s="3" t="s">
        <v>46</v>
      </c>
    </row>
    <row r="171" spans="1:34" s="3" customFormat="1">
      <c r="A171" s="3" t="s">
        <v>32</v>
      </c>
      <c r="B171" s="3" t="s">
        <v>361</v>
      </c>
      <c r="C171" s="3" t="s">
        <v>362</v>
      </c>
      <c r="D171" s="3" t="s">
        <v>35</v>
      </c>
      <c r="E171" s="3" t="s">
        <v>36</v>
      </c>
      <c r="F171" s="3" t="s">
        <v>37</v>
      </c>
      <c r="G171" s="3" t="s">
        <v>38</v>
      </c>
      <c r="H171" s="3" t="s">
        <v>363</v>
      </c>
      <c r="I171" s="3" t="s">
        <v>364</v>
      </c>
      <c r="J171" s="3" t="s">
        <v>41</v>
      </c>
      <c r="K171" s="3" t="s">
        <v>42</v>
      </c>
      <c r="L171" s="3" t="s">
        <v>365</v>
      </c>
      <c r="M171" s="3" t="s">
        <v>366</v>
      </c>
      <c r="N171" s="8">
        <f t="shared" si="10"/>
        <v>0</v>
      </c>
      <c r="O171" s="12">
        <f t="shared" si="11"/>
        <v>1500000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1500000</v>
      </c>
      <c r="AG171" s="3" t="s">
        <v>45</v>
      </c>
      <c r="AH171" s="3" t="s">
        <v>46</v>
      </c>
    </row>
    <row r="172" spans="1:34" s="3" customFormat="1">
      <c r="A172" s="3" t="s">
        <v>32</v>
      </c>
      <c r="B172" s="3" t="s">
        <v>222</v>
      </c>
      <c r="C172" s="3" t="s">
        <v>223</v>
      </c>
      <c r="D172" s="3" t="s">
        <v>35</v>
      </c>
      <c r="E172" s="3" t="s">
        <v>36</v>
      </c>
      <c r="F172" s="3" t="s">
        <v>37</v>
      </c>
      <c r="G172" s="3" t="s">
        <v>38</v>
      </c>
      <c r="H172" s="3" t="s">
        <v>220</v>
      </c>
      <c r="I172" s="3" t="s">
        <v>224</v>
      </c>
      <c r="J172" s="3" t="s">
        <v>41</v>
      </c>
      <c r="K172" s="3" t="s">
        <v>42</v>
      </c>
      <c r="L172" s="3" t="s">
        <v>205</v>
      </c>
      <c r="M172" s="3" t="s">
        <v>206</v>
      </c>
      <c r="N172" s="8">
        <f t="shared" si="10"/>
        <v>14908048.000000002</v>
      </c>
      <c r="O172" s="12">
        <f t="shared" si="11"/>
        <v>0</v>
      </c>
      <c r="P172" s="8">
        <v>2832529.12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17740577.120000001</v>
      </c>
      <c r="AG172" s="3" t="s">
        <v>45</v>
      </c>
      <c r="AH172" s="3" t="s">
        <v>46</v>
      </c>
    </row>
    <row r="173" spans="1:34" s="3" customFormat="1">
      <c r="A173" s="3" t="s">
        <v>32</v>
      </c>
      <c r="B173" s="3" t="s">
        <v>218</v>
      </c>
      <c r="C173" s="3" t="s">
        <v>219</v>
      </c>
      <c r="D173" s="3" t="s">
        <v>35</v>
      </c>
      <c r="E173" s="3" t="s">
        <v>36</v>
      </c>
      <c r="F173" s="3" t="s">
        <v>37</v>
      </c>
      <c r="G173" s="3" t="s">
        <v>38</v>
      </c>
      <c r="H173" s="3" t="s">
        <v>220</v>
      </c>
      <c r="I173" s="3" t="s">
        <v>221</v>
      </c>
      <c r="J173" s="3" t="s">
        <v>41</v>
      </c>
      <c r="K173" s="3" t="s">
        <v>42</v>
      </c>
      <c r="L173" s="3" t="s">
        <v>205</v>
      </c>
      <c r="M173" s="3" t="s">
        <v>206</v>
      </c>
      <c r="N173" s="8">
        <f t="shared" si="10"/>
        <v>14908048.000000002</v>
      </c>
      <c r="O173" s="12">
        <f t="shared" si="11"/>
        <v>0</v>
      </c>
      <c r="P173" s="8">
        <v>2832529.12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17740577.120000001</v>
      </c>
      <c r="AG173" s="3" t="s">
        <v>45</v>
      </c>
      <c r="AH173" s="3" t="s">
        <v>46</v>
      </c>
    </row>
    <row r="174" spans="1:34" s="3" customFormat="1">
      <c r="A174" s="3" t="s">
        <v>32</v>
      </c>
      <c r="B174" s="3" t="s">
        <v>213</v>
      </c>
      <c r="C174" s="3" t="s">
        <v>214</v>
      </c>
      <c r="D174" s="3" t="s">
        <v>35</v>
      </c>
      <c r="E174" s="3" t="s">
        <v>36</v>
      </c>
      <c r="F174" s="3" t="s">
        <v>37</v>
      </c>
      <c r="G174" s="3" t="s">
        <v>38</v>
      </c>
      <c r="H174" s="3" t="s">
        <v>203</v>
      </c>
      <c r="I174" s="3" t="s">
        <v>215</v>
      </c>
      <c r="J174" s="3" t="s">
        <v>41</v>
      </c>
      <c r="K174" s="3" t="s">
        <v>42</v>
      </c>
      <c r="L174" s="3" t="s">
        <v>205</v>
      </c>
      <c r="M174" s="3" t="s">
        <v>206</v>
      </c>
      <c r="N174" s="8">
        <f t="shared" si="10"/>
        <v>4989570</v>
      </c>
      <c r="O174" s="12">
        <f t="shared" si="11"/>
        <v>0</v>
      </c>
      <c r="P174" s="8">
        <v>948018.3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5937588.2999999998</v>
      </c>
      <c r="AG174" s="3" t="s">
        <v>45</v>
      </c>
      <c r="AH174" s="3" t="s">
        <v>46</v>
      </c>
    </row>
    <row r="175" spans="1:34" s="3" customFormat="1">
      <c r="A175" s="3" t="s">
        <v>32</v>
      </c>
      <c r="B175" s="3" t="s">
        <v>210</v>
      </c>
      <c r="C175" s="3" t="s">
        <v>211</v>
      </c>
      <c r="D175" s="3" t="s">
        <v>35</v>
      </c>
      <c r="E175" s="3" t="s">
        <v>36</v>
      </c>
      <c r="F175" s="3" t="s">
        <v>37</v>
      </c>
      <c r="G175" s="3" t="s">
        <v>38</v>
      </c>
      <c r="H175" s="3" t="s">
        <v>203</v>
      </c>
      <c r="I175" s="3" t="s">
        <v>212</v>
      </c>
      <c r="J175" s="3" t="s">
        <v>41</v>
      </c>
      <c r="K175" s="3" t="s">
        <v>42</v>
      </c>
      <c r="L175" s="3" t="s">
        <v>205</v>
      </c>
      <c r="M175" s="3" t="s">
        <v>206</v>
      </c>
      <c r="N175" s="8">
        <f t="shared" si="10"/>
        <v>11591187</v>
      </c>
      <c r="O175" s="12">
        <f t="shared" si="11"/>
        <v>0</v>
      </c>
      <c r="P175" s="8">
        <v>2202325.5299999998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13793512.529999999</v>
      </c>
      <c r="AG175" s="3" t="s">
        <v>45</v>
      </c>
      <c r="AH175" s="3" t="s">
        <v>46</v>
      </c>
    </row>
    <row r="176" spans="1:34" s="3" customFormat="1">
      <c r="A176" s="3" t="s">
        <v>32</v>
      </c>
      <c r="B176" s="3" t="s">
        <v>207</v>
      </c>
      <c r="C176" s="3" t="s">
        <v>208</v>
      </c>
      <c r="D176" s="3" t="s">
        <v>35</v>
      </c>
      <c r="E176" s="3" t="s">
        <v>36</v>
      </c>
      <c r="F176" s="3" t="s">
        <v>37</v>
      </c>
      <c r="G176" s="3" t="s">
        <v>38</v>
      </c>
      <c r="H176" s="3" t="s">
        <v>203</v>
      </c>
      <c r="I176" s="3" t="s">
        <v>209</v>
      </c>
      <c r="J176" s="3" t="s">
        <v>41</v>
      </c>
      <c r="K176" s="3" t="s">
        <v>42</v>
      </c>
      <c r="L176" s="3" t="s">
        <v>205</v>
      </c>
      <c r="M176" s="3" t="s">
        <v>206</v>
      </c>
      <c r="N176" s="8">
        <f t="shared" si="10"/>
        <v>29816096.999999996</v>
      </c>
      <c r="O176" s="12">
        <f t="shared" si="11"/>
        <v>0</v>
      </c>
      <c r="P176" s="8">
        <v>5665058.4299999997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35481155.43</v>
      </c>
      <c r="AG176" s="3" t="s">
        <v>45</v>
      </c>
      <c r="AH176" s="3" t="s">
        <v>46</v>
      </c>
    </row>
    <row r="177" spans="1:35" s="3" customFormat="1">
      <c r="A177" s="3" t="s">
        <v>32</v>
      </c>
      <c r="B177" s="3" t="s">
        <v>201</v>
      </c>
      <c r="C177" s="3" t="s">
        <v>202</v>
      </c>
      <c r="D177" s="3" t="s">
        <v>35</v>
      </c>
      <c r="E177" s="3" t="s">
        <v>36</v>
      </c>
      <c r="F177" s="3" t="s">
        <v>37</v>
      </c>
      <c r="G177" s="3" t="s">
        <v>38</v>
      </c>
      <c r="H177" s="3" t="s">
        <v>203</v>
      </c>
      <c r="I177" s="3" t="s">
        <v>204</v>
      </c>
      <c r="J177" s="3" t="s">
        <v>41</v>
      </c>
      <c r="K177" s="3" t="s">
        <v>42</v>
      </c>
      <c r="L177" s="3" t="s">
        <v>205</v>
      </c>
      <c r="M177" s="3" t="s">
        <v>206</v>
      </c>
      <c r="N177" s="8">
        <f t="shared" si="10"/>
        <v>29816096.999999996</v>
      </c>
      <c r="O177" s="12">
        <f t="shared" si="11"/>
        <v>0</v>
      </c>
      <c r="P177" s="8">
        <v>5665058.4299999997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35481155.43</v>
      </c>
      <c r="AG177" s="3" t="s">
        <v>45</v>
      </c>
      <c r="AH177" s="3" t="s">
        <v>46</v>
      </c>
    </row>
    <row r="178" spans="1:35" s="3" customFormat="1">
      <c r="A178" s="3" t="s">
        <v>32</v>
      </c>
      <c r="B178" s="3" t="s">
        <v>150</v>
      </c>
      <c r="C178" s="3" t="s">
        <v>151</v>
      </c>
      <c r="D178" s="3" t="s">
        <v>35</v>
      </c>
      <c r="E178" s="3" t="s">
        <v>36</v>
      </c>
      <c r="F178" s="3" t="s">
        <v>37</v>
      </c>
      <c r="G178" s="3" t="s">
        <v>38</v>
      </c>
      <c r="H178" s="3" t="s">
        <v>152</v>
      </c>
      <c r="I178" s="3" t="s">
        <v>153</v>
      </c>
      <c r="J178" s="3" t="s">
        <v>41</v>
      </c>
      <c r="K178" s="3" t="s">
        <v>42</v>
      </c>
      <c r="L178" s="3" t="s">
        <v>43</v>
      </c>
      <c r="M178" s="3" t="s">
        <v>44</v>
      </c>
      <c r="N178" s="8">
        <f t="shared" si="10"/>
        <v>93166453</v>
      </c>
      <c r="O178" s="12">
        <f t="shared" si="11"/>
        <v>0</v>
      </c>
      <c r="P178" s="8">
        <v>17701626.07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110868079.06999999</v>
      </c>
      <c r="AG178" s="3" t="s">
        <v>45</v>
      </c>
      <c r="AH178" s="3" t="s">
        <v>46</v>
      </c>
    </row>
    <row r="179" spans="1:35" s="3" customFormat="1">
      <c r="A179" s="3" t="s">
        <v>32</v>
      </c>
      <c r="B179" s="3" t="s">
        <v>188</v>
      </c>
      <c r="C179" s="3" t="s">
        <v>189</v>
      </c>
      <c r="D179" s="3" t="s">
        <v>35</v>
      </c>
      <c r="E179" s="3" t="s">
        <v>36</v>
      </c>
      <c r="F179" s="3" t="s">
        <v>37</v>
      </c>
      <c r="G179" s="3" t="s">
        <v>38</v>
      </c>
      <c r="H179" s="3" t="s">
        <v>190</v>
      </c>
      <c r="I179" s="3" t="s">
        <v>191</v>
      </c>
      <c r="J179" s="3" t="s">
        <v>41</v>
      </c>
      <c r="K179" s="3" t="s">
        <v>42</v>
      </c>
      <c r="L179" s="3" t="s">
        <v>192</v>
      </c>
      <c r="M179" s="3" t="s">
        <v>193</v>
      </c>
      <c r="N179" s="8">
        <f t="shared" si="10"/>
        <v>0</v>
      </c>
      <c r="O179" s="12">
        <f t="shared" si="11"/>
        <v>5958757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5958757</v>
      </c>
      <c r="AG179" s="3" t="s">
        <v>45</v>
      </c>
      <c r="AH179" s="3" t="s">
        <v>46</v>
      </c>
    </row>
    <row r="180" spans="1:35" s="13" customFormat="1">
      <c r="A180" s="3" t="s">
        <v>32</v>
      </c>
      <c r="B180" s="3" t="s">
        <v>185</v>
      </c>
      <c r="C180" s="3" t="s">
        <v>186</v>
      </c>
      <c r="D180" s="3" t="s">
        <v>35</v>
      </c>
      <c r="E180" s="3" t="s">
        <v>36</v>
      </c>
      <c r="F180" s="3" t="s">
        <v>37</v>
      </c>
      <c r="G180" s="3" t="s">
        <v>38</v>
      </c>
      <c r="H180" s="3" t="s">
        <v>183</v>
      </c>
      <c r="I180" s="3" t="s">
        <v>187</v>
      </c>
      <c r="J180" s="3" t="s">
        <v>41</v>
      </c>
      <c r="K180" s="3" t="s">
        <v>42</v>
      </c>
      <c r="L180" s="3" t="s">
        <v>43</v>
      </c>
      <c r="M180" s="3" t="s">
        <v>44</v>
      </c>
      <c r="N180" s="8">
        <f t="shared" si="10"/>
        <v>3608129</v>
      </c>
      <c r="O180" s="12">
        <f t="shared" si="11"/>
        <v>0</v>
      </c>
      <c r="P180" s="8">
        <v>685544.51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4293673.51</v>
      </c>
      <c r="AG180" s="3" t="s">
        <v>45</v>
      </c>
      <c r="AH180" s="3" t="s">
        <v>46</v>
      </c>
      <c r="AI180" s="3"/>
    </row>
    <row r="181" spans="1:35" s="13" customFormat="1">
      <c r="A181" s="3" t="s">
        <v>32</v>
      </c>
      <c r="B181" s="3" t="s">
        <v>181</v>
      </c>
      <c r="C181" s="3" t="s">
        <v>182</v>
      </c>
      <c r="D181" s="3" t="s">
        <v>35</v>
      </c>
      <c r="E181" s="3" t="s">
        <v>36</v>
      </c>
      <c r="F181" s="3" t="s">
        <v>37</v>
      </c>
      <c r="G181" s="3" t="s">
        <v>38</v>
      </c>
      <c r="H181" s="3" t="s">
        <v>183</v>
      </c>
      <c r="I181" s="3" t="s">
        <v>184</v>
      </c>
      <c r="J181" s="3" t="s">
        <v>41</v>
      </c>
      <c r="K181" s="3" t="s">
        <v>42</v>
      </c>
      <c r="L181" s="3" t="s">
        <v>43</v>
      </c>
      <c r="M181" s="3" t="s">
        <v>44</v>
      </c>
      <c r="N181" s="8">
        <f t="shared" si="10"/>
        <v>10040308</v>
      </c>
      <c r="O181" s="12">
        <f t="shared" si="11"/>
        <v>0</v>
      </c>
      <c r="P181" s="8">
        <v>1907658.52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11947966.52</v>
      </c>
      <c r="AG181" s="3" t="s">
        <v>45</v>
      </c>
      <c r="AH181" s="3" t="s">
        <v>46</v>
      </c>
      <c r="AI181" s="3"/>
    </row>
    <row r="182" spans="1:35" s="13" customFormat="1">
      <c r="A182" s="3" t="s">
        <v>32</v>
      </c>
      <c r="B182" s="3" t="s">
        <v>177</v>
      </c>
      <c r="C182" s="3" t="s">
        <v>178</v>
      </c>
      <c r="D182" s="3" t="s">
        <v>35</v>
      </c>
      <c r="E182" s="3" t="s">
        <v>36</v>
      </c>
      <c r="F182" s="3" t="s">
        <v>37</v>
      </c>
      <c r="G182" s="3" t="s">
        <v>38</v>
      </c>
      <c r="H182" s="3" t="s">
        <v>179</v>
      </c>
      <c r="I182" s="3" t="s">
        <v>180</v>
      </c>
      <c r="J182" s="3" t="s">
        <v>41</v>
      </c>
      <c r="K182" s="3" t="s">
        <v>42</v>
      </c>
      <c r="L182" s="3" t="s">
        <v>43</v>
      </c>
      <c r="M182" s="3" t="s">
        <v>44</v>
      </c>
      <c r="N182" s="8">
        <f t="shared" si="10"/>
        <v>4611250</v>
      </c>
      <c r="O182" s="12">
        <f t="shared" si="11"/>
        <v>0</v>
      </c>
      <c r="P182" s="8">
        <v>876137.5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5487387.5</v>
      </c>
      <c r="AG182" s="3" t="s">
        <v>45</v>
      </c>
      <c r="AH182" s="3" t="s">
        <v>46</v>
      </c>
      <c r="AI182" s="3"/>
    </row>
    <row r="183" spans="1:35" s="13" customFormat="1">
      <c r="A183" s="3" t="s">
        <v>32</v>
      </c>
      <c r="B183" s="3" t="s">
        <v>147</v>
      </c>
      <c r="C183" s="3" t="s">
        <v>148</v>
      </c>
      <c r="D183" s="3" t="s">
        <v>35</v>
      </c>
      <c r="E183" s="3" t="s">
        <v>36</v>
      </c>
      <c r="F183" s="3" t="s">
        <v>37</v>
      </c>
      <c r="G183" s="3" t="s">
        <v>38</v>
      </c>
      <c r="H183" s="3" t="s">
        <v>145</v>
      </c>
      <c r="I183" s="3" t="s">
        <v>149</v>
      </c>
      <c r="J183" s="3" t="s">
        <v>41</v>
      </c>
      <c r="K183" s="3" t="s">
        <v>42</v>
      </c>
      <c r="L183" s="3" t="s">
        <v>43</v>
      </c>
      <c r="M183" s="3" t="s">
        <v>44</v>
      </c>
      <c r="N183" s="8">
        <f t="shared" si="10"/>
        <v>1017768.9999999999</v>
      </c>
      <c r="O183" s="12">
        <f t="shared" si="11"/>
        <v>2.3283064365386963E-10</v>
      </c>
      <c r="P183" s="8">
        <v>193376.11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1211145.1100000001</v>
      </c>
      <c r="AG183" s="3" t="s">
        <v>45</v>
      </c>
      <c r="AH183" s="3" t="s">
        <v>46</v>
      </c>
      <c r="AI183" s="3"/>
    </row>
    <row r="184" spans="1:35" s="13" customFormat="1">
      <c r="A184" s="3" t="s">
        <v>32</v>
      </c>
      <c r="B184" s="3" t="s">
        <v>143</v>
      </c>
      <c r="C184" s="3" t="s">
        <v>144</v>
      </c>
      <c r="D184" s="3" t="s">
        <v>35</v>
      </c>
      <c r="E184" s="3" t="s">
        <v>36</v>
      </c>
      <c r="F184" s="3" t="s">
        <v>37</v>
      </c>
      <c r="G184" s="3" t="s">
        <v>38</v>
      </c>
      <c r="H184" s="3" t="s">
        <v>145</v>
      </c>
      <c r="I184" s="3" t="s">
        <v>146</v>
      </c>
      <c r="J184" s="3" t="s">
        <v>41</v>
      </c>
      <c r="K184" s="3" t="s">
        <v>42</v>
      </c>
      <c r="L184" s="3" t="s">
        <v>43</v>
      </c>
      <c r="M184" s="3" t="s">
        <v>44</v>
      </c>
      <c r="N184" s="8">
        <f t="shared" si="10"/>
        <v>4044136</v>
      </c>
      <c r="O184" s="12">
        <f t="shared" si="11"/>
        <v>0</v>
      </c>
      <c r="P184" s="8">
        <v>768385.84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4812521.84</v>
      </c>
      <c r="AG184" s="3" t="s">
        <v>45</v>
      </c>
      <c r="AH184" s="3" t="s">
        <v>46</v>
      </c>
      <c r="AI184" s="3"/>
    </row>
    <row r="185" spans="1:35" s="13" customFormat="1">
      <c r="A185" s="3" t="s">
        <v>32</v>
      </c>
      <c r="B185" s="3" t="s">
        <v>33</v>
      </c>
      <c r="C185" s="3" t="s">
        <v>34</v>
      </c>
      <c r="D185" s="3" t="s">
        <v>35</v>
      </c>
      <c r="E185" s="3" t="s">
        <v>36</v>
      </c>
      <c r="F185" s="3" t="s">
        <v>37</v>
      </c>
      <c r="G185" s="3" t="s">
        <v>38</v>
      </c>
      <c r="H185" s="3" t="s">
        <v>39</v>
      </c>
      <c r="I185" s="3" t="s">
        <v>40</v>
      </c>
      <c r="J185" s="3" t="s">
        <v>41</v>
      </c>
      <c r="K185" s="3" t="s">
        <v>42</v>
      </c>
      <c r="L185" s="3" t="s">
        <v>43</v>
      </c>
      <c r="M185" s="3" t="s">
        <v>44</v>
      </c>
      <c r="N185" s="8">
        <f t="shared" si="10"/>
        <v>60973214</v>
      </c>
      <c r="O185" s="12">
        <f t="shared" si="11"/>
        <v>0</v>
      </c>
      <c r="P185" s="8">
        <v>11584910.66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72558124.659999996</v>
      </c>
      <c r="AG185" s="3" t="s">
        <v>45</v>
      </c>
      <c r="AH185" s="3" t="s">
        <v>46</v>
      </c>
      <c r="AI185" s="3"/>
    </row>
    <row r="186" spans="1:35" s="13" customForma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8">
        <f t="shared" ref="N186:AF186" si="12">SUM(N4:N185)</f>
        <v>1217026349.7894735</v>
      </c>
      <c r="O186" s="8">
        <f t="shared" si="12"/>
        <v>806164658.03052628</v>
      </c>
      <c r="P186" s="8">
        <f t="shared" si="12"/>
        <v>231235006.46000016</v>
      </c>
      <c r="Q186" s="8">
        <f t="shared" si="12"/>
        <v>0</v>
      </c>
      <c r="R186" s="8">
        <f t="shared" si="12"/>
        <v>0</v>
      </c>
      <c r="S186" s="8">
        <f t="shared" si="12"/>
        <v>0</v>
      </c>
      <c r="T186" s="8">
        <f t="shared" si="12"/>
        <v>0</v>
      </c>
      <c r="U186" s="8">
        <f t="shared" si="12"/>
        <v>0</v>
      </c>
      <c r="V186" s="8">
        <f t="shared" si="12"/>
        <v>0</v>
      </c>
      <c r="W186" s="8">
        <f t="shared" si="12"/>
        <v>0</v>
      </c>
      <c r="X186" s="8">
        <f t="shared" si="12"/>
        <v>0</v>
      </c>
      <c r="Y186" s="8">
        <f t="shared" si="12"/>
        <v>0</v>
      </c>
      <c r="Z186" s="8">
        <f t="shared" si="12"/>
        <v>0</v>
      </c>
      <c r="AA186" s="8">
        <f t="shared" si="12"/>
        <v>0</v>
      </c>
      <c r="AB186" s="8">
        <f t="shared" si="12"/>
        <v>0</v>
      </c>
      <c r="AC186" s="8">
        <f t="shared" si="12"/>
        <v>0</v>
      </c>
      <c r="AD186" s="8">
        <f t="shared" si="12"/>
        <v>0</v>
      </c>
      <c r="AE186" s="8">
        <f t="shared" si="12"/>
        <v>0</v>
      </c>
      <c r="AF186" s="8">
        <f t="shared" si="12"/>
        <v>2254426014.2799997</v>
      </c>
      <c r="AG186" s="3"/>
      <c r="AH186" s="3"/>
    </row>
    <row r="187" spans="1:35" s="13" customForma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8">
        <f t="shared" ref="N187" si="13">+P187/19*100</f>
        <v>0</v>
      </c>
      <c r="O187" s="12">
        <f t="shared" ref="O187" si="14">+AF187-N187-P187</f>
        <v>0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3"/>
      <c r="AH187" s="3"/>
    </row>
    <row r="188" spans="1:35" s="13" customFormat="1">
      <c r="N188" s="8">
        <f>+N186+O186</f>
        <v>2023191007.8199997</v>
      </c>
      <c r="O188" s="12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5" s="3" customFormat="1">
      <c r="N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5" s="3" customFormat="1">
      <c r="N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5" s="4" customFormat="1">
      <c r="A191" s="4" t="s">
        <v>32</v>
      </c>
      <c r="B191" s="4" t="s">
        <v>2799</v>
      </c>
      <c r="C191" s="4" t="s">
        <v>2800</v>
      </c>
      <c r="D191" s="4" t="s">
        <v>1850</v>
      </c>
      <c r="E191" s="4" t="s">
        <v>36</v>
      </c>
      <c r="F191" s="4" t="s">
        <v>470</v>
      </c>
      <c r="G191" s="4" t="s">
        <v>157</v>
      </c>
      <c r="H191" s="4" t="s">
        <v>2289</v>
      </c>
      <c r="I191" s="4" t="s">
        <v>2801</v>
      </c>
      <c r="J191" s="4" t="s">
        <v>2802</v>
      </c>
      <c r="K191" s="4" t="s">
        <v>2803</v>
      </c>
      <c r="L191" s="4" t="s">
        <v>41</v>
      </c>
      <c r="M191" s="4" t="s">
        <v>2804</v>
      </c>
      <c r="N191" s="10">
        <f>+P191/19*100</f>
        <v>4201.6842105263158</v>
      </c>
      <c r="O191" s="15">
        <f>+AF191-N191-P191</f>
        <v>-4.210526315887364E-3</v>
      </c>
      <c r="P191" s="10">
        <v>798.32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5000</v>
      </c>
      <c r="AG191" s="4" t="s">
        <v>45</v>
      </c>
      <c r="AH191" s="4" t="s">
        <v>1817</v>
      </c>
    </row>
    <row r="192" spans="1:35" s="4" customFormat="1">
      <c r="A192" s="4" t="s">
        <v>32</v>
      </c>
      <c r="B192" s="4" t="s">
        <v>3042</v>
      </c>
      <c r="C192" s="4" t="s">
        <v>3043</v>
      </c>
      <c r="D192" s="4" t="s">
        <v>1850</v>
      </c>
      <c r="E192" s="4" t="s">
        <v>36</v>
      </c>
      <c r="F192" s="4" t="s">
        <v>470</v>
      </c>
      <c r="G192" s="4" t="s">
        <v>1987</v>
      </c>
      <c r="H192" s="4" t="s">
        <v>3044</v>
      </c>
      <c r="I192" s="4" t="s">
        <v>3045</v>
      </c>
      <c r="J192" s="4" t="s">
        <v>2802</v>
      </c>
      <c r="K192" s="4" t="s">
        <v>2803</v>
      </c>
      <c r="L192" s="4" t="s">
        <v>41</v>
      </c>
      <c r="M192" s="4" t="s">
        <v>2804</v>
      </c>
      <c r="N192" s="10">
        <f t="shared" ref="N192:N253" si="15">+P192/19*100</f>
        <v>44117.631578947367</v>
      </c>
      <c r="O192" s="15">
        <f t="shared" ref="O192:O253" si="16">+AF192-N192-P192</f>
        <v>1.8421052633129875E-2</v>
      </c>
      <c r="P192" s="10">
        <v>8382.35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52500</v>
      </c>
      <c r="AG192" s="4" t="s">
        <v>45</v>
      </c>
      <c r="AH192" s="4" t="s">
        <v>1817</v>
      </c>
    </row>
    <row r="193" spans="1:34" s="4" customFormat="1">
      <c r="A193" s="4" t="s">
        <v>3245</v>
      </c>
      <c r="B193" s="4" t="s">
        <v>3330</v>
      </c>
      <c r="C193" s="4" t="s">
        <v>3331</v>
      </c>
      <c r="E193" s="4" t="s">
        <v>36</v>
      </c>
      <c r="H193" s="4" t="s">
        <v>3332</v>
      </c>
      <c r="I193" s="4" t="s">
        <v>3333</v>
      </c>
      <c r="J193" s="4" t="s">
        <v>3243</v>
      </c>
      <c r="K193" s="4" t="s">
        <v>3244</v>
      </c>
      <c r="L193" s="4" t="s">
        <v>41</v>
      </c>
      <c r="M193" s="4" t="s">
        <v>42</v>
      </c>
      <c r="N193" s="10">
        <f t="shared" si="15"/>
        <v>307421.05263157893</v>
      </c>
      <c r="O193" s="15">
        <f t="shared" si="16"/>
        <v>22978.947368421068</v>
      </c>
      <c r="P193" s="10">
        <v>58410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388810</v>
      </c>
      <c r="AG193" s="4" t="s">
        <v>45</v>
      </c>
      <c r="AH193" s="4" t="s">
        <v>1817</v>
      </c>
    </row>
    <row r="194" spans="1:34" s="4" customFormat="1">
      <c r="A194" s="4" t="s">
        <v>3245</v>
      </c>
      <c r="B194" s="4" t="s">
        <v>3249</v>
      </c>
      <c r="C194" s="4" t="s">
        <v>3250</v>
      </c>
      <c r="E194" s="4" t="s">
        <v>36</v>
      </c>
      <c r="H194" s="4" t="s">
        <v>1699</v>
      </c>
      <c r="I194" s="4" t="s">
        <v>3251</v>
      </c>
      <c r="J194" s="4" t="s">
        <v>3243</v>
      </c>
      <c r="K194" s="4" t="s">
        <v>3244</v>
      </c>
      <c r="L194" s="4" t="s">
        <v>41</v>
      </c>
      <c r="M194" s="4" t="s">
        <v>42</v>
      </c>
      <c r="N194" s="10">
        <f t="shared" si="15"/>
        <v>495842.10526315792</v>
      </c>
      <c r="O194" s="15">
        <f t="shared" si="16"/>
        <v>45552.894736842078</v>
      </c>
      <c r="P194" s="10">
        <v>94210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635605</v>
      </c>
      <c r="AG194" s="4" t="s">
        <v>45</v>
      </c>
      <c r="AH194" s="4" t="s">
        <v>1817</v>
      </c>
    </row>
    <row r="195" spans="1:34" s="4" customFormat="1">
      <c r="A195" s="4" t="s">
        <v>3245</v>
      </c>
      <c r="B195" s="4" t="s">
        <v>3246</v>
      </c>
      <c r="C195" s="4" t="s">
        <v>3247</v>
      </c>
      <c r="E195" s="4" t="s">
        <v>36</v>
      </c>
      <c r="H195" s="4" t="s">
        <v>1699</v>
      </c>
      <c r="I195" s="4" t="s">
        <v>3248</v>
      </c>
      <c r="J195" s="4" t="s">
        <v>3243</v>
      </c>
      <c r="K195" s="4" t="s">
        <v>3244</v>
      </c>
      <c r="L195" s="4" t="s">
        <v>41</v>
      </c>
      <c r="M195" s="4" t="s">
        <v>42</v>
      </c>
      <c r="N195" s="10">
        <f t="shared" si="15"/>
        <v>638315.78947368427</v>
      </c>
      <c r="O195" s="15">
        <f t="shared" si="16"/>
        <v>45584.210526315728</v>
      </c>
      <c r="P195" s="10">
        <v>121280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805180</v>
      </c>
      <c r="AG195" s="4" t="s">
        <v>45</v>
      </c>
      <c r="AH195" s="4" t="s">
        <v>1817</v>
      </c>
    </row>
    <row r="196" spans="1:34" s="4" customFormat="1">
      <c r="A196" s="4" t="s">
        <v>32</v>
      </c>
      <c r="B196" s="4" t="s">
        <v>3186</v>
      </c>
      <c r="C196" s="4" t="s">
        <v>2748</v>
      </c>
      <c r="D196" s="4" t="s">
        <v>2640</v>
      </c>
      <c r="E196" s="4" t="s">
        <v>36</v>
      </c>
      <c r="H196" s="4" t="s">
        <v>3176</v>
      </c>
      <c r="I196" s="4" t="s">
        <v>3187</v>
      </c>
      <c r="J196" s="4" t="s">
        <v>2642</v>
      </c>
      <c r="K196" s="4" t="s">
        <v>2643</v>
      </c>
      <c r="L196" s="4" t="s">
        <v>41</v>
      </c>
      <c r="M196" s="4" t="s">
        <v>1816</v>
      </c>
      <c r="N196" s="10">
        <f t="shared" si="15"/>
        <v>2730000</v>
      </c>
      <c r="O196" s="15">
        <f t="shared" si="16"/>
        <v>0</v>
      </c>
      <c r="P196" s="10">
        <v>518700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3248700</v>
      </c>
      <c r="AG196" s="4" t="s">
        <v>45</v>
      </c>
      <c r="AH196" s="4" t="s">
        <v>1817</v>
      </c>
    </row>
    <row r="197" spans="1:34" s="4" customFormat="1">
      <c r="A197" s="4" t="s">
        <v>32</v>
      </c>
      <c r="B197" s="4" t="s">
        <v>2650</v>
      </c>
      <c r="C197" s="4" t="s">
        <v>2651</v>
      </c>
      <c r="D197" s="4" t="s">
        <v>2640</v>
      </c>
      <c r="E197" s="4" t="s">
        <v>36</v>
      </c>
      <c r="F197" s="4" t="s">
        <v>470</v>
      </c>
      <c r="G197" s="4" t="s">
        <v>157</v>
      </c>
      <c r="H197" s="4" t="s">
        <v>2652</v>
      </c>
      <c r="I197" s="4" t="s">
        <v>2653</v>
      </c>
      <c r="J197" s="4" t="s">
        <v>2642</v>
      </c>
      <c r="K197" s="4" t="s">
        <v>2643</v>
      </c>
      <c r="L197" s="4" t="s">
        <v>41</v>
      </c>
      <c r="M197" s="4" t="s">
        <v>1816</v>
      </c>
      <c r="N197" s="10">
        <f t="shared" si="15"/>
        <v>6723000</v>
      </c>
      <c r="O197" s="15">
        <f t="shared" si="16"/>
        <v>0</v>
      </c>
      <c r="P197" s="10">
        <v>1277370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8000370</v>
      </c>
      <c r="AG197" s="4" t="s">
        <v>45</v>
      </c>
      <c r="AH197" s="4" t="s">
        <v>1817</v>
      </c>
    </row>
    <row r="198" spans="1:34" s="4" customFormat="1">
      <c r="A198" s="4" t="s">
        <v>32</v>
      </c>
      <c r="B198" s="4" t="s">
        <v>3198</v>
      </c>
      <c r="C198" s="4" t="s">
        <v>2757</v>
      </c>
      <c r="D198" s="4" t="s">
        <v>2640</v>
      </c>
      <c r="E198" s="4" t="s">
        <v>36</v>
      </c>
      <c r="H198" s="4" t="s">
        <v>3190</v>
      </c>
      <c r="I198" s="4" t="s">
        <v>3199</v>
      </c>
      <c r="J198" s="4" t="s">
        <v>2642</v>
      </c>
      <c r="K198" s="4" t="s">
        <v>2643</v>
      </c>
      <c r="L198" s="4" t="s">
        <v>41</v>
      </c>
      <c r="M198" s="4" t="s">
        <v>1816</v>
      </c>
      <c r="N198" s="10">
        <f t="shared" si="15"/>
        <v>6990000</v>
      </c>
      <c r="O198" s="15">
        <f t="shared" si="16"/>
        <v>0</v>
      </c>
      <c r="P198" s="10">
        <v>1328100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8318100</v>
      </c>
      <c r="AG198" s="4" t="s">
        <v>45</v>
      </c>
      <c r="AH198" s="4" t="s">
        <v>1817</v>
      </c>
    </row>
    <row r="199" spans="1:34" s="4" customFormat="1">
      <c r="A199" s="4" t="s">
        <v>32</v>
      </c>
      <c r="B199" s="4" t="s">
        <v>3196</v>
      </c>
      <c r="C199" s="4" t="s">
        <v>2754</v>
      </c>
      <c r="D199" s="4" t="s">
        <v>2640</v>
      </c>
      <c r="E199" s="4" t="s">
        <v>36</v>
      </c>
      <c r="H199" s="4" t="s">
        <v>3190</v>
      </c>
      <c r="I199" s="4" t="s">
        <v>3197</v>
      </c>
      <c r="J199" s="4" t="s">
        <v>2642</v>
      </c>
      <c r="K199" s="4" t="s">
        <v>2643</v>
      </c>
      <c r="L199" s="4" t="s">
        <v>41</v>
      </c>
      <c r="M199" s="4" t="s">
        <v>1816</v>
      </c>
      <c r="N199" s="10">
        <f t="shared" si="15"/>
        <v>7540000</v>
      </c>
      <c r="O199" s="15">
        <f t="shared" si="16"/>
        <v>0</v>
      </c>
      <c r="P199" s="10">
        <v>1432600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8972600</v>
      </c>
      <c r="AG199" s="4" t="s">
        <v>45</v>
      </c>
      <c r="AH199" s="4" t="s">
        <v>1817</v>
      </c>
    </row>
    <row r="200" spans="1:34" s="4" customFormat="1">
      <c r="A200" s="4" t="s">
        <v>32</v>
      </c>
      <c r="B200" s="4" t="s">
        <v>2966</v>
      </c>
      <c r="C200" s="4" t="s">
        <v>2116</v>
      </c>
      <c r="D200" s="4" t="s">
        <v>2640</v>
      </c>
      <c r="E200" s="4" t="s">
        <v>36</v>
      </c>
      <c r="F200" s="4" t="s">
        <v>470</v>
      </c>
      <c r="G200" s="4" t="s">
        <v>157</v>
      </c>
      <c r="H200" s="4" t="s">
        <v>2352</v>
      </c>
      <c r="I200" s="4" t="s">
        <v>2967</v>
      </c>
      <c r="J200" s="4" t="s">
        <v>2642</v>
      </c>
      <c r="K200" s="4" t="s">
        <v>2643</v>
      </c>
      <c r="L200" s="4" t="s">
        <v>41</v>
      </c>
      <c r="M200" s="4" t="s">
        <v>1816</v>
      </c>
      <c r="N200" s="10">
        <f t="shared" si="15"/>
        <v>8019659.9999999991</v>
      </c>
      <c r="O200" s="15">
        <f t="shared" si="16"/>
        <v>0</v>
      </c>
      <c r="P200" s="10">
        <v>1523735.4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9543395.4000000004</v>
      </c>
      <c r="AG200" s="4" t="s">
        <v>45</v>
      </c>
      <c r="AH200" s="4" t="s">
        <v>1817</v>
      </c>
    </row>
    <row r="201" spans="1:34" s="4" customFormat="1">
      <c r="A201" s="4" t="s">
        <v>32</v>
      </c>
      <c r="B201" s="4" t="s">
        <v>2977</v>
      </c>
      <c r="C201" s="4" t="s">
        <v>2978</v>
      </c>
      <c r="D201" s="4" t="s">
        <v>2640</v>
      </c>
      <c r="E201" s="4" t="s">
        <v>36</v>
      </c>
      <c r="F201" s="4" t="s">
        <v>470</v>
      </c>
      <c r="G201" s="4" t="s">
        <v>157</v>
      </c>
      <c r="H201" s="4" t="s">
        <v>2979</v>
      </c>
      <c r="I201" s="4" t="s">
        <v>2980</v>
      </c>
      <c r="J201" s="4" t="s">
        <v>2642</v>
      </c>
      <c r="K201" s="4" t="s">
        <v>2643</v>
      </c>
      <c r="L201" s="4" t="s">
        <v>41</v>
      </c>
      <c r="M201" s="4" t="s">
        <v>1816</v>
      </c>
      <c r="N201" s="10">
        <f t="shared" si="15"/>
        <v>8100000</v>
      </c>
      <c r="O201" s="15">
        <f t="shared" si="16"/>
        <v>0</v>
      </c>
      <c r="P201" s="10">
        <v>1539000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9639000</v>
      </c>
      <c r="AG201" s="4" t="s">
        <v>45</v>
      </c>
      <c r="AH201" s="4" t="s">
        <v>1817</v>
      </c>
    </row>
    <row r="202" spans="1:34" s="4" customFormat="1">
      <c r="A202" s="4" t="s">
        <v>32</v>
      </c>
      <c r="B202" s="4" t="s">
        <v>2993</v>
      </c>
      <c r="C202" s="4" t="s">
        <v>2994</v>
      </c>
      <c r="D202" s="4" t="s">
        <v>2640</v>
      </c>
      <c r="E202" s="4" t="s">
        <v>36</v>
      </c>
      <c r="F202" s="4" t="s">
        <v>470</v>
      </c>
      <c r="G202" s="4" t="s">
        <v>157</v>
      </c>
      <c r="H202" s="4" t="s">
        <v>2356</v>
      </c>
      <c r="I202" s="4" t="s">
        <v>2995</v>
      </c>
      <c r="J202" s="4" t="s">
        <v>2642</v>
      </c>
      <c r="K202" s="4" t="s">
        <v>2643</v>
      </c>
      <c r="L202" s="4" t="s">
        <v>41</v>
      </c>
      <c r="M202" s="4" t="s">
        <v>1816</v>
      </c>
      <c r="N202" s="10">
        <f t="shared" si="15"/>
        <v>8117600</v>
      </c>
      <c r="O202" s="15">
        <f t="shared" si="16"/>
        <v>0</v>
      </c>
      <c r="P202" s="10">
        <v>1542344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9659944</v>
      </c>
      <c r="AG202" s="4" t="s">
        <v>45</v>
      </c>
      <c r="AH202" s="4" t="s">
        <v>1817</v>
      </c>
    </row>
    <row r="203" spans="1:34" s="4" customFormat="1">
      <c r="A203" s="4" t="s">
        <v>32</v>
      </c>
      <c r="B203" s="4" t="s">
        <v>2962</v>
      </c>
      <c r="C203" s="4" t="s">
        <v>2963</v>
      </c>
      <c r="D203" s="4" t="s">
        <v>2640</v>
      </c>
      <c r="E203" s="4" t="s">
        <v>36</v>
      </c>
      <c r="F203" s="4" t="s">
        <v>470</v>
      </c>
      <c r="G203" s="4" t="s">
        <v>157</v>
      </c>
      <c r="H203" s="4" t="s">
        <v>2964</v>
      </c>
      <c r="I203" s="4" t="s">
        <v>2965</v>
      </c>
      <c r="J203" s="4" t="s">
        <v>2642</v>
      </c>
      <c r="K203" s="4" t="s">
        <v>2643</v>
      </c>
      <c r="L203" s="4" t="s">
        <v>41</v>
      </c>
      <c r="M203" s="4" t="s">
        <v>1816</v>
      </c>
      <c r="N203" s="10">
        <f t="shared" si="15"/>
        <v>8520000</v>
      </c>
      <c r="O203" s="15">
        <f t="shared" si="16"/>
        <v>0</v>
      </c>
      <c r="P203" s="10">
        <v>1618800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10138800</v>
      </c>
      <c r="AG203" s="4" t="s">
        <v>45</v>
      </c>
      <c r="AH203" s="4" t="s">
        <v>1817</v>
      </c>
    </row>
    <row r="204" spans="1:34" s="4" customFormat="1">
      <c r="A204" s="4" t="s">
        <v>32</v>
      </c>
      <c r="B204" s="4" t="s">
        <v>2647</v>
      </c>
      <c r="C204" s="4" t="s">
        <v>2648</v>
      </c>
      <c r="D204" s="4" t="s">
        <v>2640</v>
      </c>
      <c r="E204" s="4" t="s">
        <v>36</v>
      </c>
      <c r="F204" s="4" t="s">
        <v>470</v>
      </c>
      <c r="G204" s="4" t="s">
        <v>157</v>
      </c>
      <c r="H204" s="4" t="s">
        <v>1049</v>
      </c>
      <c r="I204" s="4" t="s">
        <v>2649</v>
      </c>
      <c r="J204" s="4" t="s">
        <v>2642</v>
      </c>
      <c r="K204" s="4" t="s">
        <v>2643</v>
      </c>
      <c r="L204" s="4" t="s">
        <v>41</v>
      </c>
      <c r="M204" s="4" t="s">
        <v>1816</v>
      </c>
      <c r="N204" s="10">
        <f t="shared" si="15"/>
        <v>9922000</v>
      </c>
      <c r="O204" s="15">
        <f t="shared" si="16"/>
        <v>0</v>
      </c>
      <c r="P204" s="10">
        <v>1885180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11807180</v>
      </c>
      <c r="AG204" s="4" t="s">
        <v>45</v>
      </c>
      <c r="AH204" s="4" t="s">
        <v>1817</v>
      </c>
    </row>
    <row r="205" spans="1:34" s="4" customFormat="1">
      <c r="A205" s="4" t="s">
        <v>32</v>
      </c>
      <c r="B205" s="4" t="s">
        <v>2638</v>
      </c>
      <c r="C205" s="4" t="s">
        <v>2639</v>
      </c>
      <c r="D205" s="4" t="s">
        <v>2640</v>
      </c>
      <c r="E205" s="4" t="s">
        <v>36</v>
      </c>
      <c r="F205" s="4" t="s">
        <v>470</v>
      </c>
      <c r="G205" s="4" t="s">
        <v>157</v>
      </c>
      <c r="H205" s="4" t="s">
        <v>1049</v>
      </c>
      <c r="I205" s="4" t="s">
        <v>2641</v>
      </c>
      <c r="J205" s="4" t="s">
        <v>2642</v>
      </c>
      <c r="K205" s="4" t="s">
        <v>2643</v>
      </c>
      <c r="L205" s="4" t="s">
        <v>41</v>
      </c>
      <c r="M205" s="4" t="s">
        <v>1816</v>
      </c>
      <c r="N205" s="10">
        <f t="shared" si="15"/>
        <v>9941480</v>
      </c>
      <c r="O205" s="15">
        <f t="shared" si="16"/>
        <v>0</v>
      </c>
      <c r="P205" s="10">
        <v>1888881.2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11830361.199999999</v>
      </c>
      <c r="AG205" s="4" t="s">
        <v>45</v>
      </c>
      <c r="AH205" s="4" t="s">
        <v>1817</v>
      </c>
    </row>
    <row r="206" spans="1:34" s="4" customFormat="1">
      <c r="A206" s="4" t="s">
        <v>32</v>
      </c>
      <c r="B206" s="4" t="s">
        <v>2644</v>
      </c>
      <c r="C206" s="4" t="s">
        <v>2645</v>
      </c>
      <c r="D206" s="4" t="s">
        <v>2640</v>
      </c>
      <c r="E206" s="4" t="s">
        <v>36</v>
      </c>
      <c r="F206" s="4" t="s">
        <v>470</v>
      </c>
      <c r="G206" s="4" t="s">
        <v>157</v>
      </c>
      <c r="H206" s="4" t="s">
        <v>1049</v>
      </c>
      <c r="I206" s="4" t="s">
        <v>2646</v>
      </c>
      <c r="J206" s="4" t="s">
        <v>2642</v>
      </c>
      <c r="K206" s="4" t="s">
        <v>2643</v>
      </c>
      <c r="L206" s="4" t="s">
        <v>41</v>
      </c>
      <c r="M206" s="4" t="s">
        <v>1816</v>
      </c>
      <c r="N206" s="10">
        <f t="shared" si="15"/>
        <v>9970000</v>
      </c>
      <c r="O206" s="15">
        <f t="shared" si="16"/>
        <v>0</v>
      </c>
      <c r="P206" s="10">
        <v>1894300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11864300</v>
      </c>
      <c r="AG206" s="4" t="s">
        <v>45</v>
      </c>
      <c r="AH206" s="4" t="s">
        <v>1817</v>
      </c>
    </row>
    <row r="207" spans="1:34" s="4" customFormat="1">
      <c r="A207" s="4" t="s">
        <v>32</v>
      </c>
      <c r="B207" s="4" t="s">
        <v>3184</v>
      </c>
      <c r="C207" s="4" t="s">
        <v>2745</v>
      </c>
      <c r="D207" s="4" t="s">
        <v>2640</v>
      </c>
      <c r="E207" s="4" t="s">
        <v>36</v>
      </c>
      <c r="H207" s="4" t="s">
        <v>3176</v>
      </c>
      <c r="I207" s="4" t="s">
        <v>3185</v>
      </c>
      <c r="J207" s="4" t="s">
        <v>2642</v>
      </c>
      <c r="K207" s="4" t="s">
        <v>2643</v>
      </c>
      <c r="L207" s="4" t="s">
        <v>41</v>
      </c>
      <c r="M207" s="4" t="s">
        <v>1816</v>
      </c>
      <c r="N207" s="10">
        <f t="shared" si="15"/>
        <v>10996000</v>
      </c>
      <c r="O207" s="15">
        <f t="shared" si="16"/>
        <v>0</v>
      </c>
      <c r="P207" s="10">
        <v>2089240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13085240</v>
      </c>
      <c r="AG207" s="4" t="s">
        <v>45</v>
      </c>
      <c r="AH207" s="4" t="s">
        <v>1817</v>
      </c>
    </row>
    <row r="208" spans="1:34" s="4" customFormat="1">
      <c r="A208" s="4" t="s">
        <v>32</v>
      </c>
      <c r="B208" s="4" t="s">
        <v>3298</v>
      </c>
      <c r="C208" s="4" t="s">
        <v>2767</v>
      </c>
      <c r="D208" s="4" t="s">
        <v>2640</v>
      </c>
      <c r="E208" s="4" t="s">
        <v>36</v>
      </c>
      <c r="H208" s="4" t="s">
        <v>3299</v>
      </c>
      <c r="I208" s="4" t="s">
        <v>3300</v>
      </c>
      <c r="J208" s="4" t="s">
        <v>2642</v>
      </c>
      <c r="K208" s="4" t="s">
        <v>2643</v>
      </c>
      <c r="L208" s="4" t="s">
        <v>41</v>
      </c>
      <c r="M208" s="4" t="s">
        <v>1816</v>
      </c>
      <c r="N208" s="10">
        <f t="shared" si="15"/>
        <v>11000000</v>
      </c>
      <c r="O208" s="15">
        <f t="shared" si="16"/>
        <v>0</v>
      </c>
      <c r="P208" s="10">
        <v>2090000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13090000</v>
      </c>
      <c r="AG208" s="4" t="s">
        <v>45</v>
      </c>
      <c r="AH208" s="4" t="s">
        <v>1817</v>
      </c>
    </row>
    <row r="209" spans="1:34" s="4" customFormat="1">
      <c r="A209" s="4" t="s">
        <v>32</v>
      </c>
      <c r="B209" s="4" t="s">
        <v>3288</v>
      </c>
      <c r="C209" s="4" t="s">
        <v>2764</v>
      </c>
      <c r="D209" s="4" t="s">
        <v>2640</v>
      </c>
      <c r="E209" s="4" t="s">
        <v>36</v>
      </c>
      <c r="H209" s="4" t="s">
        <v>3289</v>
      </c>
      <c r="I209" s="4" t="s">
        <v>3290</v>
      </c>
      <c r="J209" s="4" t="s">
        <v>2642</v>
      </c>
      <c r="K209" s="4" t="s">
        <v>2643</v>
      </c>
      <c r="L209" s="4" t="s">
        <v>41</v>
      </c>
      <c r="M209" s="4" t="s">
        <v>1816</v>
      </c>
      <c r="N209" s="10">
        <f t="shared" si="15"/>
        <v>12000000</v>
      </c>
      <c r="O209" s="15">
        <f t="shared" si="16"/>
        <v>0</v>
      </c>
      <c r="P209" s="10">
        <v>2280000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14280000</v>
      </c>
      <c r="AG209" s="4" t="s">
        <v>45</v>
      </c>
      <c r="AH209" s="4" t="s">
        <v>1817</v>
      </c>
    </row>
    <row r="210" spans="1:34" s="4" customFormat="1">
      <c r="A210" s="4" t="s">
        <v>32</v>
      </c>
      <c r="B210" s="4" t="s">
        <v>3284</v>
      </c>
      <c r="C210" s="4" t="s">
        <v>3285</v>
      </c>
      <c r="D210" s="4" t="s">
        <v>2640</v>
      </c>
      <c r="E210" s="4" t="s">
        <v>36</v>
      </c>
      <c r="H210" s="4" t="s">
        <v>3286</v>
      </c>
      <c r="I210" s="4" t="s">
        <v>3287</v>
      </c>
      <c r="J210" s="4" t="s">
        <v>2642</v>
      </c>
      <c r="K210" s="4" t="s">
        <v>2643</v>
      </c>
      <c r="L210" s="4" t="s">
        <v>41</v>
      </c>
      <c r="M210" s="4" t="s">
        <v>1816</v>
      </c>
      <c r="N210" s="10">
        <f t="shared" si="15"/>
        <v>15514000</v>
      </c>
      <c r="O210" s="15">
        <f t="shared" si="16"/>
        <v>0</v>
      </c>
      <c r="P210" s="10">
        <v>2947660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18461660</v>
      </c>
      <c r="AG210" s="4" t="s">
        <v>45</v>
      </c>
      <c r="AH210" s="4" t="s">
        <v>1817</v>
      </c>
    </row>
    <row r="211" spans="1:34" s="4" customFormat="1">
      <c r="A211" s="4" t="s">
        <v>2494</v>
      </c>
      <c r="B211" s="4" t="s">
        <v>2495</v>
      </c>
      <c r="C211" s="4" t="s">
        <v>2496</v>
      </c>
      <c r="D211" s="4" t="s">
        <v>2497</v>
      </c>
      <c r="E211" s="4" t="s">
        <v>36</v>
      </c>
      <c r="F211" s="4" t="s">
        <v>470</v>
      </c>
      <c r="G211" s="4" t="s">
        <v>157</v>
      </c>
      <c r="H211" s="4" t="s">
        <v>2498</v>
      </c>
      <c r="I211" s="4" t="s">
        <v>2499</v>
      </c>
      <c r="J211" s="4" t="s">
        <v>2500</v>
      </c>
      <c r="K211" s="4" t="s">
        <v>2501</v>
      </c>
      <c r="L211" s="4" t="s">
        <v>41</v>
      </c>
      <c r="M211" s="4" t="s">
        <v>2502</v>
      </c>
      <c r="N211" s="10">
        <f t="shared" si="15"/>
        <v>25294.736842105263</v>
      </c>
      <c r="O211" s="15">
        <f t="shared" si="16"/>
        <v>-0.616842105264368</v>
      </c>
      <c r="P211" s="10">
        <v>4806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30100.12</v>
      </c>
      <c r="AG211" s="4" t="s">
        <v>45</v>
      </c>
      <c r="AH211" s="4" t="s">
        <v>1817</v>
      </c>
    </row>
    <row r="212" spans="1:34" s="4" customFormat="1">
      <c r="A212" s="4" t="s">
        <v>2494</v>
      </c>
      <c r="B212" s="4" t="s">
        <v>2621</v>
      </c>
      <c r="C212" s="4" t="s">
        <v>2622</v>
      </c>
      <c r="D212" s="4" t="s">
        <v>2497</v>
      </c>
      <c r="E212" s="4" t="s">
        <v>36</v>
      </c>
      <c r="F212" s="4" t="s">
        <v>470</v>
      </c>
      <c r="G212" s="4" t="s">
        <v>157</v>
      </c>
      <c r="H212" s="4" t="s">
        <v>2616</v>
      </c>
      <c r="I212" s="4" t="s">
        <v>2623</v>
      </c>
      <c r="J212" s="4" t="s">
        <v>2500</v>
      </c>
      <c r="K212" s="4" t="s">
        <v>2501</v>
      </c>
      <c r="L212" s="4" t="s">
        <v>41</v>
      </c>
      <c r="M212" s="4" t="s">
        <v>2502</v>
      </c>
      <c r="N212" s="10">
        <f t="shared" si="15"/>
        <v>67731.578947368413</v>
      </c>
      <c r="O212" s="15">
        <f t="shared" si="16"/>
        <v>-0.4889473684161203</v>
      </c>
      <c r="P212" s="10">
        <v>12869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80600.09</v>
      </c>
      <c r="AG212" s="4" t="s">
        <v>45</v>
      </c>
      <c r="AH212" s="4" t="s">
        <v>1817</v>
      </c>
    </row>
    <row r="213" spans="1:34" s="4" customFormat="1">
      <c r="A213" s="4" t="s">
        <v>32</v>
      </c>
      <c r="B213" s="4" t="s">
        <v>2787</v>
      </c>
      <c r="C213" s="4" t="s">
        <v>2788</v>
      </c>
      <c r="D213" s="4" t="s">
        <v>2789</v>
      </c>
      <c r="E213" s="4" t="s">
        <v>36</v>
      </c>
      <c r="F213" s="4" t="s">
        <v>470</v>
      </c>
      <c r="G213" s="4" t="s">
        <v>1861</v>
      </c>
      <c r="H213" s="4" t="s">
        <v>2270</v>
      </c>
      <c r="I213" s="4" t="s">
        <v>2790</v>
      </c>
      <c r="J213" s="4" t="s">
        <v>2791</v>
      </c>
      <c r="K213" s="4" t="s">
        <v>2792</v>
      </c>
      <c r="L213" s="4" t="s">
        <v>41</v>
      </c>
      <c r="M213" s="4" t="s">
        <v>1816</v>
      </c>
      <c r="N213" s="10">
        <f t="shared" si="15"/>
        <v>0</v>
      </c>
      <c r="O213" s="15">
        <f t="shared" si="16"/>
        <v>2622841.3199999998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2622841.3199999998</v>
      </c>
      <c r="AG213" s="4" t="s">
        <v>45</v>
      </c>
      <c r="AH213" s="4" t="s">
        <v>1817</v>
      </c>
    </row>
    <row r="214" spans="1:34" s="4" customFormat="1">
      <c r="A214" s="4" t="s">
        <v>32</v>
      </c>
      <c r="B214" s="4" t="s">
        <v>3095</v>
      </c>
      <c r="C214" s="4" t="s">
        <v>3096</v>
      </c>
      <c r="D214" s="4" t="s">
        <v>2789</v>
      </c>
      <c r="E214" s="4" t="s">
        <v>36</v>
      </c>
      <c r="F214" s="4" t="s">
        <v>470</v>
      </c>
      <c r="G214" s="4" t="s">
        <v>1861</v>
      </c>
      <c r="H214" s="4" t="s">
        <v>3097</v>
      </c>
      <c r="I214" s="4" t="s">
        <v>3098</v>
      </c>
      <c r="J214" s="4" t="s">
        <v>2791</v>
      </c>
      <c r="K214" s="4" t="s">
        <v>2792</v>
      </c>
      <c r="L214" s="4" t="s">
        <v>41</v>
      </c>
      <c r="M214" s="4" t="s">
        <v>1816</v>
      </c>
      <c r="N214" s="10">
        <f t="shared" si="15"/>
        <v>0</v>
      </c>
      <c r="O214" s="15">
        <f t="shared" si="16"/>
        <v>6859485.3600000003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6859485.3600000003</v>
      </c>
      <c r="AG214" s="4" t="s">
        <v>45</v>
      </c>
      <c r="AH214" s="4" t="s">
        <v>1817</v>
      </c>
    </row>
    <row r="215" spans="1:34" s="4" customFormat="1">
      <c r="A215" s="4" t="s">
        <v>422</v>
      </c>
      <c r="B215" s="4" t="s">
        <v>2069</v>
      </c>
      <c r="C215" s="4" t="s">
        <v>2070</v>
      </c>
      <c r="E215" s="4" t="s">
        <v>36</v>
      </c>
      <c r="F215" s="4" t="s">
        <v>470</v>
      </c>
      <c r="G215" s="4" t="s">
        <v>1998</v>
      </c>
      <c r="H215" s="4" t="s">
        <v>2071</v>
      </c>
      <c r="I215" s="4" t="s">
        <v>2072</v>
      </c>
      <c r="J215" s="4" t="s">
        <v>2073</v>
      </c>
      <c r="K215" s="4" t="s">
        <v>2074</v>
      </c>
      <c r="L215" s="4" t="s">
        <v>41</v>
      </c>
      <c r="M215" s="4" t="s">
        <v>1816</v>
      </c>
      <c r="N215" s="10">
        <f t="shared" si="15"/>
        <v>3440000</v>
      </c>
      <c r="O215" s="15">
        <f t="shared" si="16"/>
        <v>0</v>
      </c>
      <c r="P215" s="10">
        <v>653600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4093600</v>
      </c>
      <c r="AG215" s="4" t="s">
        <v>45</v>
      </c>
      <c r="AH215" s="4" t="s">
        <v>1817</v>
      </c>
    </row>
    <row r="216" spans="1:34" s="4" customFormat="1">
      <c r="A216" s="4" t="s">
        <v>32</v>
      </c>
      <c r="B216" s="4" t="s">
        <v>2075</v>
      </c>
      <c r="C216" s="4" t="s">
        <v>2076</v>
      </c>
      <c r="D216" s="4" t="s">
        <v>2077</v>
      </c>
      <c r="E216" s="4" t="s">
        <v>36</v>
      </c>
      <c r="F216" s="4" t="s">
        <v>470</v>
      </c>
      <c r="G216" s="4" t="s">
        <v>1998</v>
      </c>
      <c r="H216" s="4" t="s">
        <v>2071</v>
      </c>
      <c r="I216" s="4" t="s">
        <v>2078</v>
      </c>
      <c r="J216" s="4" t="s">
        <v>2073</v>
      </c>
      <c r="K216" s="4" t="s">
        <v>2074</v>
      </c>
      <c r="L216" s="4" t="s">
        <v>41</v>
      </c>
      <c r="M216" s="4" t="s">
        <v>1816</v>
      </c>
      <c r="N216" s="10">
        <f t="shared" si="15"/>
        <v>3440000</v>
      </c>
      <c r="O216" s="15">
        <f t="shared" si="16"/>
        <v>0</v>
      </c>
      <c r="P216" s="10">
        <v>653600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4093600</v>
      </c>
      <c r="AG216" s="4" t="s">
        <v>45</v>
      </c>
      <c r="AH216" s="4" t="s">
        <v>1817</v>
      </c>
    </row>
    <row r="217" spans="1:34" s="4" customFormat="1">
      <c r="A217" s="4" t="s">
        <v>32</v>
      </c>
      <c r="B217" s="4" t="s">
        <v>3080</v>
      </c>
      <c r="C217" s="4" t="s">
        <v>3081</v>
      </c>
      <c r="D217" s="4" t="s">
        <v>1860</v>
      </c>
      <c r="E217" s="4" t="s">
        <v>36</v>
      </c>
      <c r="F217" s="4" t="s">
        <v>37</v>
      </c>
      <c r="G217" s="4" t="s">
        <v>470</v>
      </c>
      <c r="H217" s="4" t="s">
        <v>1402</v>
      </c>
      <c r="I217" s="4" t="s">
        <v>3082</v>
      </c>
      <c r="J217" s="4" t="s">
        <v>386</v>
      </c>
      <c r="K217" s="4" t="s">
        <v>3083</v>
      </c>
      <c r="L217" s="4" t="s">
        <v>41</v>
      </c>
      <c r="M217" s="4" t="s">
        <v>1816</v>
      </c>
      <c r="N217" s="10">
        <f t="shared" si="15"/>
        <v>0</v>
      </c>
      <c r="O217" s="15">
        <f t="shared" si="16"/>
        <v>124899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124899</v>
      </c>
      <c r="AG217" s="4" t="s">
        <v>45</v>
      </c>
      <c r="AH217" s="4" t="s">
        <v>1817</v>
      </c>
    </row>
    <row r="218" spans="1:34" s="4" customFormat="1">
      <c r="A218" s="4" t="s">
        <v>32</v>
      </c>
      <c r="B218" s="4" t="s">
        <v>1858</v>
      </c>
      <c r="C218" s="4" t="s">
        <v>1859</v>
      </c>
      <c r="D218" s="4" t="s">
        <v>1860</v>
      </c>
      <c r="E218" s="4" t="s">
        <v>36</v>
      </c>
      <c r="F218" s="4" t="s">
        <v>37</v>
      </c>
      <c r="G218" s="4" t="s">
        <v>1861</v>
      </c>
      <c r="H218" s="4" t="s">
        <v>1862</v>
      </c>
      <c r="I218" s="4" t="s">
        <v>1863</v>
      </c>
      <c r="J218" s="4" t="s">
        <v>386</v>
      </c>
      <c r="K218" s="4" t="s">
        <v>387</v>
      </c>
      <c r="L218" s="4" t="s">
        <v>41</v>
      </c>
      <c r="M218" s="4" t="s">
        <v>1816</v>
      </c>
      <c r="N218" s="10">
        <f t="shared" si="15"/>
        <v>0</v>
      </c>
      <c r="O218" s="15">
        <f t="shared" si="16"/>
        <v>109445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109445</v>
      </c>
      <c r="AG218" s="4" t="s">
        <v>45</v>
      </c>
      <c r="AH218" s="4" t="s">
        <v>1817</v>
      </c>
    </row>
    <row r="219" spans="1:34" s="4" customFormat="1">
      <c r="A219" s="4" t="s">
        <v>32</v>
      </c>
      <c r="B219" s="4" t="s">
        <v>2171</v>
      </c>
      <c r="C219" s="4" t="s">
        <v>2172</v>
      </c>
      <c r="D219" s="4" t="s">
        <v>1860</v>
      </c>
      <c r="E219" s="4" t="s">
        <v>36</v>
      </c>
      <c r="F219" s="4" t="s">
        <v>37</v>
      </c>
      <c r="G219" s="4" t="s">
        <v>1861</v>
      </c>
      <c r="H219" s="4" t="s">
        <v>555</v>
      </c>
      <c r="I219" s="4" t="s">
        <v>2173</v>
      </c>
      <c r="J219" s="4" t="s">
        <v>386</v>
      </c>
      <c r="K219" s="4" t="s">
        <v>387</v>
      </c>
      <c r="L219" s="4" t="s">
        <v>41</v>
      </c>
      <c r="M219" s="4" t="s">
        <v>1816</v>
      </c>
      <c r="N219" s="10">
        <f t="shared" si="15"/>
        <v>0</v>
      </c>
      <c r="O219" s="15">
        <f t="shared" si="16"/>
        <v>124900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124900</v>
      </c>
      <c r="AG219" s="4" t="s">
        <v>45</v>
      </c>
      <c r="AH219" s="4" t="s">
        <v>1817</v>
      </c>
    </row>
    <row r="220" spans="1:34" s="4" customFormat="1">
      <c r="A220" s="4" t="s">
        <v>32</v>
      </c>
      <c r="B220" s="4" t="s">
        <v>3171</v>
      </c>
      <c r="C220" s="4" t="s">
        <v>3172</v>
      </c>
      <c r="D220" s="4" t="s">
        <v>1860</v>
      </c>
      <c r="E220" s="4" t="s">
        <v>36</v>
      </c>
      <c r="H220" s="4" t="s">
        <v>3169</v>
      </c>
      <c r="I220" s="4" t="s">
        <v>3173</v>
      </c>
      <c r="J220" s="4" t="s">
        <v>386</v>
      </c>
      <c r="K220" s="4" t="s">
        <v>387</v>
      </c>
      <c r="L220" s="4" t="s">
        <v>41</v>
      </c>
      <c r="M220" s="4" t="s">
        <v>1816</v>
      </c>
      <c r="N220" s="10">
        <f t="shared" si="15"/>
        <v>0</v>
      </c>
      <c r="O220" s="15">
        <f t="shared" si="16"/>
        <v>196141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196141</v>
      </c>
      <c r="AG220" s="4" t="s">
        <v>45</v>
      </c>
      <c r="AH220" s="4" t="s">
        <v>1817</v>
      </c>
    </row>
    <row r="221" spans="1:34" s="4" customFormat="1">
      <c r="A221" s="4" t="s">
        <v>32</v>
      </c>
      <c r="B221" s="4" t="s">
        <v>2418</v>
      </c>
      <c r="C221" s="4" t="s">
        <v>2419</v>
      </c>
      <c r="D221" s="4" t="s">
        <v>2420</v>
      </c>
      <c r="E221" s="4" t="s">
        <v>36</v>
      </c>
      <c r="F221" s="4" t="s">
        <v>470</v>
      </c>
      <c r="G221" s="4" t="s">
        <v>157</v>
      </c>
      <c r="H221" s="4" t="s">
        <v>2416</v>
      </c>
      <c r="I221" s="4" t="s">
        <v>2421</v>
      </c>
      <c r="J221" s="4" t="s">
        <v>2422</v>
      </c>
      <c r="K221" s="4" t="s">
        <v>2423</v>
      </c>
      <c r="L221" s="4" t="s">
        <v>41</v>
      </c>
      <c r="M221" s="4" t="s">
        <v>1816</v>
      </c>
      <c r="N221" s="10">
        <f t="shared" si="15"/>
        <v>0</v>
      </c>
      <c r="O221" s="15">
        <f t="shared" si="16"/>
        <v>362000</v>
      </c>
      <c r="P221" s="10">
        <v>0</v>
      </c>
      <c r="Q221" s="10">
        <v>0</v>
      </c>
      <c r="R221" s="10">
        <v>0</v>
      </c>
      <c r="S221" s="10">
        <v>26814.81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362000</v>
      </c>
      <c r="AG221" s="4" t="s">
        <v>45</v>
      </c>
      <c r="AH221" s="4" t="s">
        <v>1817</v>
      </c>
    </row>
    <row r="222" spans="1:34" s="4" customFormat="1">
      <c r="A222" s="4" t="s">
        <v>32</v>
      </c>
      <c r="B222" s="4" t="s">
        <v>2424</v>
      </c>
      <c r="C222" s="4" t="s">
        <v>2425</v>
      </c>
      <c r="D222" s="4" t="s">
        <v>2420</v>
      </c>
      <c r="E222" s="4" t="s">
        <v>36</v>
      </c>
      <c r="F222" s="4" t="s">
        <v>470</v>
      </c>
      <c r="G222" s="4" t="s">
        <v>157</v>
      </c>
      <c r="H222" s="4" t="s">
        <v>2426</v>
      </c>
      <c r="I222" s="4" t="s">
        <v>2427</v>
      </c>
      <c r="J222" s="4" t="s">
        <v>2422</v>
      </c>
      <c r="K222" s="4" t="s">
        <v>2423</v>
      </c>
      <c r="L222" s="4" t="s">
        <v>41</v>
      </c>
      <c r="M222" s="4" t="s">
        <v>1816</v>
      </c>
      <c r="N222" s="10">
        <f t="shared" si="15"/>
        <v>0</v>
      </c>
      <c r="O222" s="15">
        <f t="shared" si="16"/>
        <v>110000</v>
      </c>
      <c r="P222" s="10">
        <v>0</v>
      </c>
      <c r="Q222" s="10">
        <v>0</v>
      </c>
      <c r="R222" s="10">
        <v>0</v>
      </c>
      <c r="S222" s="10">
        <v>8148.15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110000</v>
      </c>
      <c r="AG222" s="4" t="s">
        <v>45</v>
      </c>
      <c r="AH222" s="4" t="s">
        <v>1817</v>
      </c>
    </row>
    <row r="223" spans="1:34" s="4" customFormat="1">
      <c r="A223" s="4" t="s">
        <v>32</v>
      </c>
      <c r="B223" s="4" t="s">
        <v>1984</v>
      </c>
      <c r="C223" s="4" t="s">
        <v>1985</v>
      </c>
      <c r="D223" s="4" t="s">
        <v>1986</v>
      </c>
      <c r="E223" s="4" t="s">
        <v>36</v>
      </c>
      <c r="F223" s="4" t="s">
        <v>470</v>
      </c>
      <c r="G223" s="4" t="s">
        <v>1987</v>
      </c>
      <c r="H223" s="4" t="s">
        <v>1973</v>
      </c>
      <c r="I223" s="4" t="s">
        <v>1988</v>
      </c>
      <c r="J223" s="4" t="s">
        <v>1989</v>
      </c>
      <c r="K223" s="4" t="s">
        <v>1990</v>
      </c>
      <c r="L223" s="4" t="s">
        <v>41</v>
      </c>
      <c r="M223" s="4" t="s">
        <v>1991</v>
      </c>
      <c r="N223" s="10">
        <f t="shared" si="15"/>
        <v>66680.68421052632</v>
      </c>
      <c r="O223" s="15">
        <f t="shared" si="16"/>
        <v>-1.4210526320312056E-2</v>
      </c>
      <c r="P223" s="10">
        <v>12669.33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79350</v>
      </c>
      <c r="AG223" s="4" t="s">
        <v>45</v>
      </c>
      <c r="AH223" s="4" t="s">
        <v>1817</v>
      </c>
    </row>
    <row r="224" spans="1:34" s="4" customFormat="1">
      <c r="A224" s="4" t="s">
        <v>32</v>
      </c>
      <c r="B224" s="4" t="s">
        <v>3309</v>
      </c>
      <c r="C224" s="4" t="s">
        <v>3310</v>
      </c>
      <c r="D224" s="4" t="s">
        <v>1986</v>
      </c>
      <c r="E224" s="4" t="s">
        <v>36</v>
      </c>
      <c r="H224" s="4" t="s">
        <v>3306</v>
      </c>
      <c r="I224" s="4" t="s">
        <v>3311</v>
      </c>
      <c r="J224" s="4" t="s">
        <v>1989</v>
      </c>
      <c r="K224" s="4" t="s">
        <v>1990</v>
      </c>
      <c r="L224" s="4" t="s">
        <v>41</v>
      </c>
      <c r="M224" s="4" t="s">
        <v>1991</v>
      </c>
      <c r="N224" s="10">
        <f t="shared" si="15"/>
        <v>42983.210526315794</v>
      </c>
      <c r="O224" s="15">
        <f t="shared" si="16"/>
        <v>-2.0526315794086258E-2</v>
      </c>
      <c r="P224" s="10">
        <v>8166.81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51150</v>
      </c>
      <c r="AG224" s="4" t="s">
        <v>45</v>
      </c>
      <c r="AH224" s="4" t="s">
        <v>1817</v>
      </c>
    </row>
    <row r="225" spans="1:34" s="4" customFormat="1">
      <c r="A225" s="4" t="s">
        <v>422</v>
      </c>
      <c r="B225" s="4" t="s">
        <v>1908</v>
      </c>
      <c r="C225" s="4" t="s">
        <v>1909</v>
      </c>
      <c r="E225" s="4" t="s">
        <v>36</v>
      </c>
      <c r="F225" s="4" t="s">
        <v>470</v>
      </c>
      <c r="G225" s="4" t="s">
        <v>470</v>
      </c>
      <c r="H225" s="4" t="s">
        <v>1910</v>
      </c>
      <c r="I225" s="4" t="s">
        <v>1911</v>
      </c>
      <c r="J225" s="4" t="s">
        <v>195</v>
      </c>
      <c r="K225" s="4" t="s">
        <v>196</v>
      </c>
      <c r="L225" s="4" t="s">
        <v>41</v>
      </c>
      <c r="M225" s="4" t="s">
        <v>1816</v>
      </c>
      <c r="N225" s="10">
        <f t="shared" si="15"/>
        <v>164700</v>
      </c>
      <c r="O225" s="15">
        <f t="shared" si="16"/>
        <v>0</v>
      </c>
      <c r="P225" s="10">
        <v>31293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195993</v>
      </c>
      <c r="AG225" s="4" t="s">
        <v>45</v>
      </c>
      <c r="AH225" s="4" t="s">
        <v>1817</v>
      </c>
    </row>
    <row r="226" spans="1:34" s="4" customFormat="1">
      <c r="A226" s="4" t="s">
        <v>32</v>
      </c>
      <c r="B226" s="4" t="s">
        <v>1912</v>
      </c>
      <c r="C226" s="4" t="s">
        <v>1913</v>
      </c>
      <c r="D226" s="4" t="s">
        <v>1850</v>
      </c>
      <c r="E226" s="4" t="s">
        <v>36</v>
      </c>
      <c r="F226" s="4" t="s">
        <v>37</v>
      </c>
      <c r="G226" s="4" t="s">
        <v>1861</v>
      </c>
      <c r="H226" s="4" t="s">
        <v>183</v>
      </c>
      <c r="I226" s="4" t="s">
        <v>1914</v>
      </c>
      <c r="J226" s="4" t="s">
        <v>195</v>
      </c>
      <c r="K226" s="4" t="s">
        <v>196</v>
      </c>
      <c r="L226" s="4" t="s">
        <v>41</v>
      </c>
      <c r="M226" s="4" t="s">
        <v>1816</v>
      </c>
      <c r="N226" s="10">
        <f t="shared" si="15"/>
        <v>164700</v>
      </c>
      <c r="O226" s="15">
        <f t="shared" si="16"/>
        <v>0</v>
      </c>
      <c r="P226" s="10">
        <v>31293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195993</v>
      </c>
      <c r="AG226" s="4" t="s">
        <v>45</v>
      </c>
      <c r="AH226" s="4" t="s">
        <v>1817</v>
      </c>
    </row>
    <row r="227" spans="1:34" s="4" customFormat="1">
      <c r="A227" s="4" t="s">
        <v>32</v>
      </c>
      <c r="B227" s="4" t="s">
        <v>1992</v>
      </c>
      <c r="C227" s="4" t="s">
        <v>1993</v>
      </c>
      <c r="D227" s="4" t="s">
        <v>1850</v>
      </c>
      <c r="E227" s="4" t="s">
        <v>36</v>
      </c>
      <c r="F227" s="4" t="s">
        <v>37</v>
      </c>
      <c r="G227" s="4" t="s">
        <v>1861</v>
      </c>
      <c r="H227" s="4" t="s">
        <v>1994</v>
      </c>
      <c r="I227" s="4" t="s">
        <v>1995</v>
      </c>
      <c r="J227" s="4" t="s">
        <v>195</v>
      </c>
      <c r="K227" s="4" t="s">
        <v>196</v>
      </c>
      <c r="L227" s="4" t="s">
        <v>41</v>
      </c>
      <c r="M227" s="4" t="s">
        <v>1816</v>
      </c>
      <c r="N227" s="10">
        <f t="shared" si="15"/>
        <v>1424900</v>
      </c>
      <c r="O227" s="15">
        <f t="shared" si="16"/>
        <v>0</v>
      </c>
      <c r="P227" s="10">
        <v>270731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1695631</v>
      </c>
      <c r="AG227" s="4" t="s">
        <v>45</v>
      </c>
      <c r="AH227" s="4" t="s">
        <v>1817</v>
      </c>
    </row>
    <row r="228" spans="1:34" s="4" customFormat="1">
      <c r="A228" s="4" t="s">
        <v>32</v>
      </c>
      <c r="B228" s="4" t="s">
        <v>2159</v>
      </c>
      <c r="C228" s="4" t="s">
        <v>2160</v>
      </c>
      <c r="D228" s="4" t="s">
        <v>1850</v>
      </c>
      <c r="E228" s="4" t="s">
        <v>36</v>
      </c>
      <c r="F228" s="4" t="s">
        <v>37</v>
      </c>
      <c r="G228" s="4" t="s">
        <v>1861</v>
      </c>
      <c r="H228" s="4" t="s">
        <v>332</v>
      </c>
      <c r="I228" s="4" t="s">
        <v>2161</v>
      </c>
      <c r="J228" s="4" t="s">
        <v>195</v>
      </c>
      <c r="K228" s="4" t="s">
        <v>196</v>
      </c>
      <c r="L228" s="4" t="s">
        <v>41</v>
      </c>
      <c r="M228" s="4" t="s">
        <v>1816</v>
      </c>
      <c r="N228" s="10">
        <f t="shared" si="15"/>
        <v>134000</v>
      </c>
      <c r="O228" s="15">
        <f t="shared" si="16"/>
        <v>0</v>
      </c>
      <c r="P228" s="10">
        <v>25460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159460</v>
      </c>
      <c r="AG228" s="4" t="s">
        <v>45</v>
      </c>
      <c r="AH228" s="4" t="s">
        <v>1817</v>
      </c>
    </row>
    <row r="229" spans="1:34" s="4" customFormat="1">
      <c r="A229" s="4" t="s">
        <v>32</v>
      </c>
      <c r="B229" s="4" t="s">
        <v>2177</v>
      </c>
      <c r="C229" s="4" t="s">
        <v>2178</v>
      </c>
      <c r="D229" s="4" t="s">
        <v>1850</v>
      </c>
      <c r="E229" s="4" t="s">
        <v>36</v>
      </c>
      <c r="F229" s="4" t="s">
        <v>37</v>
      </c>
      <c r="G229" s="4" t="s">
        <v>1861</v>
      </c>
      <c r="H229" s="4" t="s">
        <v>660</v>
      </c>
      <c r="I229" s="4" t="s">
        <v>2179</v>
      </c>
      <c r="J229" s="4" t="s">
        <v>195</v>
      </c>
      <c r="K229" s="4" t="s">
        <v>196</v>
      </c>
      <c r="L229" s="4" t="s">
        <v>41</v>
      </c>
      <c r="M229" s="4" t="s">
        <v>1816</v>
      </c>
      <c r="N229" s="10">
        <f t="shared" si="15"/>
        <v>115599</v>
      </c>
      <c r="O229" s="15">
        <f t="shared" si="16"/>
        <v>0</v>
      </c>
      <c r="P229" s="10">
        <v>21963.81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137562.81</v>
      </c>
      <c r="AG229" s="4" t="s">
        <v>45</v>
      </c>
      <c r="AH229" s="4" t="s">
        <v>1817</v>
      </c>
    </row>
    <row r="230" spans="1:34" s="4" customFormat="1">
      <c r="A230" s="4" t="s">
        <v>32</v>
      </c>
      <c r="B230" s="4" t="s">
        <v>2183</v>
      </c>
      <c r="C230" s="4" t="s">
        <v>2184</v>
      </c>
      <c r="D230" s="4" t="s">
        <v>1850</v>
      </c>
      <c r="E230" s="4" t="s">
        <v>36</v>
      </c>
      <c r="F230" s="4" t="s">
        <v>37</v>
      </c>
      <c r="G230" s="4" t="s">
        <v>1861</v>
      </c>
      <c r="H230" s="4" t="s">
        <v>381</v>
      </c>
      <c r="I230" s="4" t="s">
        <v>2185</v>
      </c>
      <c r="J230" s="4" t="s">
        <v>195</v>
      </c>
      <c r="K230" s="4" t="s">
        <v>196</v>
      </c>
      <c r="L230" s="4" t="s">
        <v>41</v>
      </c>
      <c r="M230" s="4" t="s">
        <v>1816</v>
      </c>
      <c r="N230" s="10">
        <f t="shared" si="15"/>
        <v>134000</v>
      </c>
      <c r="O230" s="15">
        <f t="shared" si="16"/>
        <v>0</v>
      </c>
      <c r="P230" s="10">
        <v>25460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159460</v>
      </c>
      <c r="AG230" s="4" t="s">
        <v>45</v>
      </c>
      <c r="AH230" s="4" t="s">
        <v>1817</v>
      </c>
    </row>
    <row r="231" spans="1:34" s="4" customFormat="1">
      <c r="A231" s="4" t="s">
        <v>32</v>
      </c>
      <c r="B231" s="4" t="s">
        <v>2192</v>
      </c>
      <c r="C231" s="4" t="s">
        <v>2193</v>
      </c>
      <c r="D231" s="4" t="s">
        <v>1850</v>
      </c>
      <c r="E231" s="4" t="s">
        <v>36</v>
      </c>
      <c r="F231" s="4" t="s">
        <v>37</v>
      </c>
      <c r="G231" s="4" t="s">
        <v>1861</v>
      </c>
      <c r="H231" s="4" t="s">
        <v>2194</v>
      </c>
      <c r="I231" s="4" t="s">
        <v>2195</v>
      </c>
      <c r="J231" s="4" t="s">
        <v>195</v>
      </c>
      <c r="K231" s="4" t="s">
        <v>196</v>
      </c>
      <c r="L231" s="4" t="s">
        <v>41</v>
      </c>
      <c r="M231" s="4" t="s">
        <v>1816</v>
      </c>
      <c r="N231" s="10">
        <f t="shared" si="15"/>
        <v>134000</v>
      </c>
      <c r="O231" s="15">
        <f t="shared" si="16"/>
        <v>0</v>
      </c>
      <c r="P231" s="10">
        <v>25460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159460</v>
      </c>
      <c r="AG231" s="4" t="s">
        <v>45</v>
      </c>
      <c r="AH231" s="4" t="s">
        <v>1817</v>
      </c>
    </row>
    <row r="232" spans="1:34" s="4" customFormat="1">
      <c r="A232" s="4" t="s">
        <v>32</v>
      </c>
      <c r="B232" s="4" t="s">
        <v>2217</v>
      </c>
      <c r="C232" s="4" t="s">
        <v>2218</v>
      </c>
      <c r="D232" s="4" t="s">
        <v>1850</v>
      </c>
      <c r="E232" s="4" t="s">
        <v>36</v>
      </c>
      <c r="F232" s="4" t="s">
        <v>37</v>
      </c>
      <c r="G232" s="4" t="s">
        <v>1861</v>
      </c>
      <c r="H232" s="4" t="s">
        <v>1049</v>
      </c>
      <c r="I232" s="4" t="s">
        <v>2219</v>
      </c>
      <c r="J232" s="4" t="s">
        <v>195</v>
      </c>
      <c r="K232" s="4" t="s">
        <v>196</v>
      </c>
      <c r="L232" s="4" t="s">
        <v>41</v>
      </c>
      <c r="M232" s="4" t="s">
        <v>1816</v>
      </c>
      <c r="N232" s="10">
        <f t="shared" si="15"/>
        <v>134000</v>
      </c>
      <c r="O232" s="15">
        <f t="shared" si="16"/>
        <v>0</v>
      </c>
      <c r="P232" s="10">
        <v>25460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159460</v>
      </c>
      <c r="AG232" s="4" t="s">
        <v>45</v>
      </c>
      <c r="AH232" s="4" t="s">
        <v>1817</v>
      </c>
    </row>
    <row r="233" spans="1:34" s="4" customFormat="1">
      <c r="A233" s="4" t="s">
        <v>32</v>
      </c>
      <c r="B233" s="4" t="s">
        <v>2224</v>
      </c>
      <c r="C233" s="4" t="s">
        <v>2225</v>
      </c>
      <c r="D233" s="4" t="s">
        <v>1850</v>
      </c>
      <c r="E233" s="4" t="s">
        <v>36</v>
      </c>
      <c r="F233" s="4" t="s">
        <v>37</v>
      </c>
      <c r="G233" s="4" t="s">
        <v>1861</v>
      </c>
      <c r="H233" s="4" t="s">
        <v>2226</v>
      </c>
      <c r="I233" s="4" t="s">
        <v>2227</v>
      </c>
      <c r="J233" s="4" t="s">
        <v>195</v>
      </c>
      <c r="K233" s="4" t="s">
        <v>196</v>
      </c>
      <c r="L233" s="4" t="s">
        <v>41</v>
      </c>
      <c r="M233" s="4" t="s">
        <v>1816</v>
      </c>
      <c r="N233" s="10">
        <f t="shared" si="15"/>
        <v>164700</v>
      </c>
      <c r="O233" s="15">
        <f t="shared" si="16"/>
        <v>0</v>
      </c>
      <c r="P233" s="10">
        <v>31293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195993</v>
      </c>
      <c r="AG233" s="4" t="s">
        <v>45</v>
      </c>
      <c r="AH233" s="4" t="s">
        <v>1817</v>
      </c>
    </row>
    <row r="234" spans="1:34" s="4" customFormat="1">
      <c r="A234" s="4" t="s">
        <v>32</v>
      </c>
      <c r="B234" s="4" t="s">
        <v>2243</v>
      </c>
      <c r="C234" s="4" t="s">
        <v>2244</v>
      </c>
      <c r="D234" s="4" t="s">
        <v>1850</v>
      </c>
      <c r="E234" s="4" t="s">
        <v>36</v>
      </c>
      <c r="F234" s="4" t="s">
        <v>37</v>
      </c>
      <c r="G234" s="4" t="s">
        <v>1861</v>
      </c>
      <c r="H234" s="4" t="s">
        <v>2245</v>
      </c>
      <c r="I234" s="4" t="s">
        <v>2246</v>
      </c>
      <c r="J234" s="4" t="s">
        <v>195</v>
      </c>
      <c r="K234" s="4" t="s">
        <v>196</v>
      </c>
      <c r="L234" s="4" t="s">
        <v>41</v>
      </c>
      <c r="M234" s="4" t="s">
        <v>1816</v>
      </c>
      <c r="N234" s="10">
        <f t="shared" si="15"/>
        <v>134000</v>
      </c>
      <c r="O234" s="15">
        <f t="shared" si="16"/>
        <v>0</v>
      </c>
      <c r="P234" s="10">
        <v>25460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159460</v>
      </c>
      <c r="AG234" s="4" t="s">
        <v>45</v>
      </c>
      <c r="AH234" s="4" t="s">
        <v>1817</v>
      </c>
    </row>
    <row r="235" spans="1:34" s="4" customFormat="1">
      <c r="A235" s="4" t="s">
        <v>32</v>
      </c>
      <c r="B235" s="4" t="s">
        <v>2284</v>
      </c>
      <c r="C235" s="4" t="s">
        <v>2285</v>
      </c>
      <c r="D235" s="4" t="s">
        <v>1850</v>
      </c>
      <c r="E235" s="4" t="s">
        <v>36</v>
      </c>
      <c r="F235" s="4" t="s">
        <v>37</v>
      </c>
      <c r="G235" s="4" t="s">
        <v>1861</v>
      </c>
      <c r="H235" s="4" t="s">
        <v>1095</v>
      </c>
      <c r="I235" s="4" t="s">
        <v>2286</v>
      </c>
      <c r="J235" s="4" t="s">
        <v>195</v>
      </c>
      <c r="K235" s="4" t="s">
        <v>196</v>
      </c>
      <c r="L235" s="4" t="s">
        <v>41</v>
      </c>
      <c r="M235" s="4" t="s">
        <v>1816</v>
      </c>
      <c r="N235" s="10">
        <f t="shared" si="15"/>
        <v>164700</v>
      </c>
      <c r="O235" s="15">
        <f t="shared" si="16"/>
        <v>0</v>
      </c>
      <c r="P235" s="10">
        <v>31293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195993</v>
      </c>
      <c r="AG235" s="4" t="s">
        <v>45</v>
      </c>
      <c r="AH235" s="4" t="s">
        <v>1817</v>
      </c>
    </row>
    <row r="236" spans="1:34" s="4" customFormat="1">
      <c r="A236" s="4" t="s">
        <v>32</v>
      </c>
      <c r="B236" s="4" t="s">
        <v>2291</v>
      </c>
      <c r="C236" s="4" t="s">
        <v>2292</v>
      </c>
      <c r="D236" s="4" t="s">
        <v>1850</v>
      </c>
      <c r="E236" s="4" t="s">
        <v>36</v>
      </c>
      <c r="F236" s="4" t="s">
        <v>37</v>
      </c>
      <c r="G236" s="4" t="s">
        <v>1861</v>
      </c>
      <c r="H236" s="4" t="s">
        <v>2293</v>
      </c>
      <c r="I236" s="4" t="s">
        <v>2294</v>
      </c>
      <c r="J236" s="4" t="s">
        <v>195</v>
      </c>
      <c r="K236" s="4" t="s">
        <v>196</v>
      </c>
      <c r="L236" s="4" t="s">
        <v>41</v>
      </c>
      <c r="M236" s="4" t="s">
        <v>1816</v>
      </c>
      <c r="N236" s="10">
        <f t="shared" si="15"/>
        <v>134000</v>
      </c>
      <c r="O236" s="15">
        <f t="shared" si="16"/>
        <v>0</v>
      </c>
      <c r="P236" s="10">
        <v>25460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159460</v>
      </c>
      <c r="AG236" s="4" t="s">
        <v>45</v>
      </c>
      <c r="AH236" s="4" t="s">
        <v>1817</v>
      </c>
    </row>
    <row r="237" spans="1:34" s="4" customFormat="1">
      <c r="A237" s="4" t="s">
        <v>32</v>
      </c>
      <c r="B237" s="4" t="s">
        <v>2309</v>
      </c>
      <c r="C237" s="4" t="s">
        <v>2310</v>
      </c>
      <c r="D237" s="4" t="s">
        <v>1850</v>
      </c>
      <c r="E237" s="4" t="s">
        <v>36</v>
      </c>
      <c r="F237" s="4" t="s">
        <v>37</v>
      </c>
      <c r="G237" s="4" t="s">
        <v>1861</v>
      </c>
      <c r="H237" s="4" t="s">
        <v>2311</v>
      </c>
      <c r="I237" s="4" t="s">
        <v>2312</v>
      </c>
      <c r="J237" s="4" t="s">
        <v>195</v>
      </c>
      <c r="K237" s="4" t="s">
        <v>196</v>
      </c>
      <c r="L237" s="4" t="s">
        <v>41</v>
      </c>
      <c r="M237" s="4" t="s">
        <v>1816</v>
      </c>
      <c r="N237" s="10">
        <f t="shared" si="15"/>
        <v>329400</v>
      </c>
      <c r="O237" s="15">
        <f t="shared" si="16"/>
        <v>0</v>
      </c>
      <c r="P237" s="10">
        <v>62586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391986</v>
      </c>
      <c r="AG237" s="4" t="s">
        <v>45</v>
      </c>
      <c r="AH237" s="4" t="s">
        <v>1817</v>
      </c>
    </row>
    <row r="238" spans="1:34" s="4" customFormat="1">
      <c r="A238" s="4" t="s">
        <v>32</v>
      </c>
      <c r="B238" s="4" t="s">
        <v>2319</v>
      </c>
      <c r="C238" s="4" t="s">
        <v>2320</v>
      </c>
      <c r="D238" s="4" t="s">
        <v>1850</v>
      </c>
      <c r="E238" s="4" t="s">
        <v>36</v>
      </c>
      <c r="F238" s="4" t="s">
        <v>37</v>
      </c>
      <c r="G238" s="4" t="s">
        <v>1861</v>
      </c>
      <c r="H238" s="4" t="s">
        <v>2321</v>
      </c>
      <c r="I238" s="4" t="s">
        <v>2322</v>
      </c>
      <c r="J238" s="4" t="s">
        <v>195</v>
      </c>
      <c r="K238" s="4" t="s">
        <v>196</v>
      </c>
      <c r="L238" s="4" t="s">
        <v>41</v>
      </c>
      <c r="M238" s="4" t="s">
        <v>1816</v>
      </c>
      <c r="N238" s="10">
        <f t="shared" si="15"/>
        <v>100500</v>
      </c>
      <c r="O238" s="15">
        <f t="shared" si="16"/>
        <v>0</v>
      </c>
      <c r="P238" s="10">
        <v>19095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119595</v>
      </c>
      <c r="AG238" s="4" t="s">
        <v>45</v>
      </c>
      <c r="AH238" s="4" t="s">
        <v>1817</v>
      </c>
    </row>
    <row r="239" spans="1:34" s="4" customFormat="1">
      <c r="A239" s="4" t="s">
        <v>32</v>
      </c>
      <c r="B239" s="4" t="s">
        <v>2334</v>
      </c>
      <c r="C239" s="4" t="s">
        <v>2335</v>
      </c>
      <c r="D239" s="4" t="s">
        <v>1850</v>
      </c>
      <c r="E239" s="4" t="s">
        <v>36</v>
      </c>
      <c r="F239" s="4" t="s">
        <v>37</v>
      </c>
      <c r="G239" s="4" t="s">
        <v>1861</v>
      </c>
      <c r="H239" s="4" t="s">
        <v>1406</v>
      </c>
      <c r="I239" s="4" t="s">
        <v>2336</v>
      </c>
      <c r="J239" s="4" t="s">
        <v>195</v>
      </c>
      <c r="K239" s="4" t="s">
        <v>196</v>
      </c>
      <c r="L239" s="4" t="s">
        <v>41</v>
      </c>
      <c r="M239" s="4" t="s">
        <v>1816</v>
      </c>
      <c r="N239" s="10">
        <f t="shared" si="15"/>
        <v>494100</v>
      </c>
      <c r="O239" s="15">
        <f t="shared" si="16"/>
        <v>0</v>
      </c>
      <c r="P239" s="10">
        <v>93879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587979</v>
      </c>
      <c r="AG239" s="4" t="s">
        <v>45</v>
      </c>
      <c r="AH239" s="4" t="s">
        <v>1817</v>
      </c>
    </row>
    <row r="240" spans="1:34" s="4" customFormat="1">
      <c r="A240" s="4" t="s">
        <v>32</v>
      </c>
      <c r="B240" s="4" t="s">
        <v>2337</v>
      </c>
      <c r="C240" s="4" t="s">
        <v>2338</v>
      </c>
      <c r="D240" s="4" t="s">
        <v>1850</v>
      </c>
      <c r="E240" s="4" t="s">
        <v>36</v>
      </c>
      <c r="F240" s="4" t="s">
        <v>37</v>
      </c>
      <c r="G240" s="4" t="s">
        <v>1861</v>
      </c>
      <c r="H240" s="4" t="s">
        <v>693</v>
      </c>
      <c r="I240" s="4" t="s">
        <v>2339</v>
      </c>
      <c r="J240" s="4" t="s">
        <v>195</v>
      </c>
      <c r="K240" s="4" t="s">
        <v>196</v>
      </c>
      <c r="L240" s="4" t="s">
        <v>41</v>
      </c>
      <c r="M240" s="4" t="s">
        <v>1816</v>
      </c>
      <c r="N240" s="10">
        <f t="shared" si="15"/>
        <v>100500</v>
      </c>
      <c r="O240" s="15">
        <f t="shared" si="16"/>
        <v>0</v>
      </c>
      <c r="P240" s="10">
        <v>19095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119595</v>
      </c>
      <c r="AG240" s="4" t="s">
        <v>45</v>
      </c>
      <c r="AH240" s="4" t="s">
        <v>1817</v>
      </c>
    </row>
    <row r="241" spans="1:34" s="4" customFormat="1">
      <c r="A241" s="4" t="s">
        <v>32</v>
      </c>
      <c r="B241" s="4" t="s">
        <v>2340</v>
      </c>
      <c r="C241" s="4" t="s">
        <v>2341</v>
      </c>
      <c r="D241" s="4" t="s">
        <v>1850</v>
      </c>
      <c r="E241" s="4" t="s">
        <v>36</v>
      </c>
      <c r="F241" s="4" t="s">
        <v>37</v>
      </c>
      <c r="G241" s="4" t="s">
        <v>1861</v>
      </c>
      <c r="H241" s="4" t="s">
        <v>693</v>
      </c>
      <c r="I241" s="4" t="s">
        <v>2342</v>
      </c>
      <c r="J241" s="4" t="s">
        <v>195</v>
      </c>
      <c r="K241" s="4" t="s">
        <v>196</v>
      </c>
      <c r="L241" s="4" t="s">
        <v>41</v>
      </c>
      <c r="M241" s="4" t="s">
        <v>1816</v>
      </c>
      <c r="N241" s="10">
        <f t="shared" si="15"/>
        <v>164700</v>
      </c>
      <c r="O241" s="15">
        <f t="shared" si="16"/>
        <v>0</v>
      </c>
      <c r="P241" s="10">
        <v>31293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195993</v>
      </c>
      <c r="AG241" s="4" t="s">
        <v>45</v>
      </c>
      <c r="AH241" s="4" t="s">
        <v>1817</v>
      </c>
    </row>
    <row r="242" spans="1:34" s="4" customFormat="1">
      <c r="A242" s="4" t="s">
        <v>32</v>
      </c>
      <c r="B242" s="4" t="s">
        <v>2358</v>
      </c>
      <c r="C242" s="4" t="s">
        <v>2359</v>
      </c>
      <c r="D242" s="4" t="s">
        <v>1850</v>
      </c>
      <c r="E242" s="4" t="s">
        <v>36</v>
      </c>
      <c r="F242" s="4" t="s">
        <v>37</v>
      </c>
      <c r="G242" s="4" t="s">
        <v>1861</v>
      </c>
      <c r="H242" s="4" t="s">
        <v>1338</v>
      </c>
      <c r="I242" s="4" t="s">
        <v>2360</v>
      </c>
      <c r="J242" s="4" t="s">
        <v>195</v>
      </c>
      <c r="K242" s="4" t="s">
        <v>196</v>
      </c>
      <c r="L242" s="4" t="s">
        <v>41</v>
      </c>
      <c r="M242" s="4" t="s">
        <v>1816</v>
      </c>
      <c r="N242" s="10">
        <f t="shared" si="15"/>
        <v>823500</v>
      </c>
      <c r="O242" s="15">
        <f t="shared" si="16"/>
        <v>0</v>
      </c>
      <c r="P242" s="10">
        <v>156465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979965</v>
      </c>
      <c r="AG242" s="4" t="s">
        <v>45</v>
      </c>
      <c r="AH242" s="4" t="s">
        <v>1817</v>
      </c>
    </row>
    <row r="243" spans="1:34" s="4" customFormat="1">
      <c r="A243" s="4" t="s">
        <v>32</v>
      </c>
      <c r="B243" s="4" t="s">
        <v>3121</v>
      </c>
      <c r="C243" s="4" t="s">
        <v>3122</v>
      </c>
      <c r="D243" s="4" t="s">
        <v>1850</v>
      </c>
      <c r="E243" s="4" t="s">
        <v>36</v>
      </c>
      <c r="H243" s="4" t="s">
        <v>3123</v>
      </c>
      <c r="I243" s="4" t="s">
        <v>3124</v>
      </c>
      <c r="J243" s="4" t="s">
        <v>195</v>
      </c>
      <c r="K243" s="4" t="s">
        <v>196</v>
      </c>
      <c r="L243" s="4" t="s">
        <v>41</v>
      </c>
      <c r="M243" s="4" t="s">
        <v>1816</v>
      </c>
      <c r="N243" s="10">
        <f t="shared" si="15"/>
        <v>115599</v>
      </c>
      <c r="O243" s="15">
        <f t="shared" si="16"/>
        <v>0</v>
      </c>
      <c r="P243" s="10">
        <v>21963.81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137562.81</v>
      </c>
      <c r="AG243" s="4" t="s">
        <v>45</v>
      </c>
      <c r="AH243" s="4" t="s">
        <v>1817</v>
      </c>
    </row>
    <row r="244" spans="1:34" s="4" customFormat="1">
      <c r="A244" s="4" t="s">
        <v>32</v>
      </c>
      <c r="B244" s="4" t="s">
        <v>3160</v>
      </c>
      <c r="C244" s="4" t="s">
        <v>3161</v>
      </c>
      <c r="D244" s="4" t="s">
        <v>1850</v>
      </c>
      <c r="E244" s="4" t="s">
        <v>36</v>
      </c>
      <c r="H244" s="4" t="s">
        <v>3162</v>
      </c>
      <c r="I244" s="4" t="s">
        <v>3163</v>
      </c>
      <c r="J244" s="4" t="s">
        <v>195</v>
      </c>
      <c r="K244" s="4" t="s">
        <v>196</v>
      </c>
      <c r="L244" s="4" t="s">
        <v>41</v>
      </c>
      <c r="M244" s="4" t="s">
        <v>1816</v>
      </c>
      <c r="N244" s="10">
        <f t="shared" si="15"/>
        <v>134000</v>
      </c>
      <c r="O244" s="15">
        <f t="shared" si="16"/>
        <v>0</v>
      </c>
      <c r="P244" s="10">
        <v>25460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159460</v>
      </c>
      <c r="AG244" s="4" t="s">
        <v>45</v>
      </c>
      <c r="AH244" s="4" t="s">
        <v>1817</v>
      </c>
    </row>
    <row r="245" spans="1:34" s="4" customFormat="1">
      <c r="A245" s="4" t="s">
        <v>32</v>
      </c>
      <c r="B245" s="4" t="s">
        <v>3315</v>
      </c>
      <c r="C245" s="4" t="s">
        <v>3316</v>
      </c>
      <c r="D245" s="4" t="s">
        <v>1850</v>
      </c>
      <c r="E245" s="4" t="s">
        <v>36</v>
      </c>
      <c r="H245" s="4" t="s">
        <v>1711</v>
      </c>
      <c r="I245" s="4" t="s">
        <v>3317</v>
      </c>
      <c r="J245" s="4" t="s">
        <v>195</v>
      </c>
      <c r="K245" s="4" t="s">
        <v>196</v>
      </c>
      <c r="L245" s="4" t="s">
        <v>41</v>
      </c>
      <c r="M245" s="4" t="s">
        <v>1816</v>
      </c>
      <c r="N245" s="10">
        <f t="shared" si="15"/>
        <v>134000</v>
      </c>
      <c r="O245" s="15">
        <f t="shared" si="16"/>
        <v>0</v>
      </c>
      <c r="P245" s="10">
        <v>25460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159460</v>
      </c>
      <c r="AG245" s="4" t="s">
        <v>45</v>
      </c>
      <c r="AH245" s="4" t="s">
        <v>1817</v>
      </c>
    </row>
    <row r="246" spans="1:34" s="4" customFormat="1">
      <c r="A246" s="4" t="s">
        <v>32</v>
      </c>
      <c r="B246" s="4" t="s">
        <v>3219</v>
      </c>
      <c r="C246" s="4" t="s">
        <v>3220</v>
      </c>
      <c r="D246" s="4" t="s">
        <v>1850</v>
      </c>
      <c r="E246" s="4" t="s">
        <v>36</v>
      </c>
      <c r="H246" s="4" t="s">
        <v>3221</v>
      </c>
      <c r="I246" s="4" t="s">
        <v>3222</v>
      </c>
      <c r="J246" s="4" t="s">
        <v>195</v>
      </c>
      <c r="K246" s="4" t="s">
        <v>196</v>
      </c>
      <c r="L246" s="4" t="s">
        <v>41</v>
      </c>
      <c r="M246" s="4" t="s">
        <v>1816</v>
      </c>
      <c r="N246" s="10">
        <f t="shared" si="15"/>
        <v>163829</v>
      </c>
      <c r="O246" s="15">
        <f t="shared" si="16"/>
        <v>0</v>
      </c>
      <c r="P246" s="10">
        <v>31127.51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194956.51</v>
      </c>
      <c r="AG246" s="4" t="s">
        <v>45</v>
      </c>
      <c r="AH246" s="4" t="s">
        <v>1817</v>
      </c>
    </row>
    <row r="247" spans="1:34" s="4" customFormat="1">
      <c r="A247" s="4" t="s">
        <v>32</v>
      </c>
      <c r="B247" s="4" t="s">
        <v>3046</v>
      </c>
      <c r="C247" s="4" t="s">
        <v>3047</v>
      </c>
      <c r="D247" s="4" t="s">
        <v>1850</v>
      </c>
      <c r="E247" s="4" t="s">
        <v>36</v>
      </c>
      <c r="F247" s="4" t="s">
        <v>37</v>
      </c>
      <c r="G247" s="4" t="s">
        <v>1861</v>
      </c>
      <c r="H247" s="4" t="s">
        <v>1392</v>
      </c>
      <c r="I247" s="4" t="s">
        <v>3048</v>
      </c>
      <c r="J247" s="4" t="s">
        <v>195</v>
      </c>
      <c r="K247" s="4" t="s">
        <v>196</v>
      </c>
      <c r="L247" s="4" t="s">
        <v>41</v>
      </c>
      <c r="M247" s="4" t="s">
        <v>1816</v>
      </c>
      <c r="N247" s="10">
        <f t="shared" si="15"/>
        <v>197625</v>
      </c>
      <c r="O247" s="15">
        <f t="shared" si="16"/>
        <v>0</v>
      </c>
      <c r="P247" s="10">
        <v>37548.75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235173.75</v>
      </c>
      <c r="AG247" s="4" t="s">
        <v>45</v>
      </c>
      <c r="AH247" s="4" t="s">
        <v>1817</v>
      </c>
    </row>
    <row r="248" spans="1:34" s="4" customFormat="1">
      <c r="A248" s="4" t="s">
        <v>32</v>
      </c>
      <c r="B248" s="4" t="s">
        <v>2017</v>
      </c>
      <c r="C248" s="4" t="s">
        <v>2018</v>
      </c>
      <c r="D248" s="4" t="s">
        <v>2019</v>
      </c>
      <c r="E248" s="4" t="s">
        <v>36</v>
      </c>
      <c r="F248" s="4" t="s">
        <v>470</v>
      </c>
      <c r="G248" s="4" t="s">
        <v>2020</v>
      </c>
      <c r="H248" s="4" t="s">
        <v>197</v>
      </c>
      <c r="I248" s="4" t="s">
        <v>2021</v>
      </c>
      <c r="J248" s="4" t="s">
        <v>2022</v>
      </c>
      <c r="K248" s="4" t="s">
        <v>2023</v>
      </c>
      <c r="L248" s="4" t="s">
        <v>41</v>
      </c>
      <c r="M248" s="4" t="s">
        <v>1816</v>
      </c>
      <c r="N248" s="10">
        <f t="shared" si="15"/>
        <v>0</v>
      </c>
      <c r="O248" s="15">
        <f t="shared" si="16"/>
        <v>11600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11600</v>
      </c>
      <c r="AG248" s="4" t="s">
        <v>45</v>
      </c>
      <c r="AH248" s="4" t="s">
        <v>1817</v>
      </c>
    </row>
    <row r="249" spans="1:34" s="4" customFormat="1">
      <c r="A249" s="4" t="s">
        <v>32</v>
      </c>
      <c r="B249" s="4" t="s">
        <v>2465</v>
      </c>
      <c r="C249" s="4" t="s">
        <v>2466</v>
      </c>
      <c r="D249" s="4" t="s">
        <v>2019</v>
      </c>
      <c r="E249" s="4" t="s">
        <v>36</v>
      </c>
      <c r="F249" s="4" t="s">
        <v>470</v>
      </c>
      <c r="G249" s="4" t="s">
        <v>2020</v>
      </c>
      <c r="H249" s="4" t="s">
        <v>2463</v>
      </c>
      <c r="I249" s="4" t="s">
        <v>2467</v>
      </c>
      <c r="J249" s="4" t="s">
        <v>2022</v>
      </c>
      <c r="K249" s="4" t="s">
        <v>2023</v>
      </c>
      <c r="L249" s="4" t="s">
        <v>41</v>
      </c>
      <c r="M249" s="4" t="s">
        <v>1816</v>
      </c>
      <c r="N249" s="10">
        <f t="shared" si="15"/>
        <v>0</v>
      </c>
      <c r="O249" s="15">
        <f t="shared" si="16"/>
        <v>11600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11600</v>
      </c>
      <c r="AG249" s="4" t="s">
        <v>45</v>
      </c>
      <c r="AH249" s="4" t="s">
        <v>1817</v>
      </c>
    </row>
    <row r="250" spans="1:34" s="4" customFormat="1">
      <c r="A250" s="4" t="s">
        <v>32</v>
      </c>
      <c r="B250" s="4" t="s">
        <v>2608</v>
      </c>
      <c r="C250" s="4" t="s">
        <v>2609</v>
      </c>
      <c r="D250" s="4" t="s">
        <v>2019</v>
      </c>
      <c r="E250" s="4" t="s">
        <v>36</v>
      </c>
      <c r="F250" s="4" t="s">
        <v>470</v>
      </c>
      <c r="G250" s="4" t="s">
        <v>2020</v>
      </c>
      <c r="H250" s="4" t="s">
        <v>1025</v>
      </c>
      <c r="I250" s="4" t="s">
        <v>2610</v>
      </c>
      <c r="J250" s="4" t="s">
        <v>2022</v>
      </c>
      <c r="K250" s="4" t="s">
        <v>2023</v>
      </c>
      <c r="L250" s="4" t="s">
        <v>41</v>
      </c>
      <c r="M250" s="4" t="s">
        <v>1816</v>
      </c>
      <c r="N250" s="10">
        <f t="shared" si="15"/>
        <v>0</v>
      </c>
      <c r="O250" s="15">
        <f t="shared" si="16"/>
        <v>11600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11600</v>
      </c>
      <c r="AG250" s="4" t="s">
        <v>45</v>
      </c>
      <c r="AH250" s="4" t="s">
        <v>1817</v>
      </c>
    </row>
    <row r="251" spans="1:34" s="4" customFormat="1">
      <c r="A251" s="4" t="s">
        <v>32</v>
      </c>
      <c r="B251" s="4" t="s">
        <v>2908</v>
      </c>
      <c r="C251" s="4" t="s">
        <v>2909</v>
      </c>
      <c r="D251" s="4" t="s">
        <v>2019</v>
      </c>
      <c r="E251" s="4" t="s">
        <v>36</v>
      </c>
      <c r="F251" s="4" t="s">
        <v>470</v>
      </c>
      <c r="G251" s="4" t="s">
        <v>2020</v>
      </c>
      <c r="H251" s="4" t="s">
        <v>1091</v>
      </c>
      <c r="I251" s="4" t="s">
        <v>2910</v>
      </c>
      <c r="J251" s="4" t="s">
        <v>2022</v>
      </c>
      <c r="K251" s="4" t="s">
        <v>2023</v>
      </c>
      <c r="L251" s="4" t="s">
        <v>41</v>
      </c>
      <c r="M251" s="4" t="s">
        <v>1816</v>
      </c>
      <c r="N251" s="10">
        <f t="shared" si="15"/>
        <v>0</v>
      </c>
      <c r="O251" s="15">
        <f t="shared" si="16"/>
        <v>11600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11600</v>
      </c>
      <c r="AG251" s="4" t="s">
        <v>45</v>
      </c>
      <c r="AH251" s="4" t="s">
        <v>1817</v>
      </c>
    </row>
    <row r="252" spans="1:34" s="4" customFormat="1">
      <c r="A252" s="4" t="s">
        <v>32</v>
      </c>
      <c r="B252" s="4" t="s">
        <v>3063</v>
      </c>
      <c r="C252" s="4" t="s">
        <v>3064</v>
      </c>
      <c r="D252" s="4" t="s">
        <v>2019</v>
      </c>
      <c r="E252" s="4" t="s">
        <v>36</v>
      </c>
      <c r="F252" s="4" t="s">
        <v>470</v>
      </c>
      <c r="G252" s="4" t="s">
        <v>2020</v>
      </c>
      <c r="H252" s="4" t="s">
        <v>3053</v>
      </c>
      <c r="I252" s="4" t="s">
        <v>3065</v>
      </c>
      <c r="J252" s="4" t="s">
        <v>2022</v>
      </c>
      <c r="K252" s="4" t="s">
        <v>2023</v>
      </c>
      <c r="L252" s="4" t="s">
        <v>41</v>
      </c>
      <c r="M252" s="4" t="s">
        <v>1816</v>
      </c>
      <c r="N252" s="10">
        <f t="shared" si="15"/>
        <v>0</v>
      </c>
      <c r="O252" s="15">
        <f t="shared" si="16"/>
        <v>11600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11600</v>
      </c>
      <c r="AG252" s="4" t="s">
        <v>45</v>
      </c>
      <c r="AH252" s="4" t="s">
        <v>1817</v>
      </c>
    </row>
    <row r="253" spans="1:34" s="4" customFormat="1">
      <c r="A253" s="4" t="s">
        <v>32</v>
      </c>
      <c r="B253" s="4" t="s">
        <v>3233</v>
      </c>
      <c r="C253" s="4" t="s">
        <v>3234</v>
      </c>
      <c r="D253" s="4" t="s">
        <v>2019</v>
      </c>
      <c r="E253" s="4" t="s">
        <v>36</v>
      </c>
      <c r="H253" s="4" t="s">
        <v>1707</v>
      </c>
      <c r="I253" s="4" t="s">
        <v>3235</v>
      </c>
      <c r="J253" s="4" t="s">
        <v>2022</v>
      </c>
      <c r="K253" s="4" t="s">
        <v>2023</v>
      </c>
      <c r="L253" s="4" t="s">
        <v>41</v>
      </c>
      <c r="M253" s="4" t="s">
        <v>1816</v>
      </c>
      <c r="N253" s="10">
        <f t="shared" si="15"/>
        <v>0</v>
      </c>
      <c r="O253" s="15">
        <f t="shared" si="16"/>
        <v>11600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11600</v>
      </c>
      <c r="AG253" s="4" t="s">
        <v>45</v>
      </c>
      <c r="AH253" s="4" t="s">
        <v>1817</v>
      </c>
    </row>
    <row r="254" spans="1:34" s="4" customFormat="1">
      <c r="A254" s="4" t="s">
        <v>32</v>
      </c>
      <c r="B254" s="4" t="s">
        <v>3353</v>
      </c>
      <c r="C254" s="4" t="s">
        <v>3354</v>
      </c>
      <c r="D254" s="4" t="s">
        <v>2019</v>
      </c>
      <c r="E254" s="4" t="s">
        <v>36</v>
      </c>
      <c r="H254" s="4" t="s">
        <v>1754</v>
      </c>
      <c r="I254" s="4" t="s">
        <v>3355</v>
      </c>
      <c r="J254" s="4" t="s">
        <v>2022</v>
      </c>
      <c r="K254" s="4" t="s">
        <v>2023</v>
      </c>
      <c r="L254" s="4" t="s">
        <v>41</v>
      </c>
      <c r="M254" s="4" t="s">
        <v>1816</v>
      </c>
      <c r="N254" s="10">
        <f t="shared" ref="N254:N317" si="17">+P254/19*100</f>
        <v>0</v>
      </c>
      <c r="O254" s="15">
        <f t="shared" ref="O254:O317" si="18">+AF254-N254-P254</f>
        <v>11600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11600</v>
      </c>
      <c r="AG254" s="4" t="s">
        <v>45</v>
      </c>
      <c r="AH254" s="4" t="s">
        <v>1817</v>
      </c>
    </row>
    <row r="255" spans="1:34" s="4" customFormat="1">
      <c r="A255" s="4" t="s">
        <v>32</v>
      </c>
      <c r="B255" s="4" t="s">
        <v>3027</v>
      </c>
      <c r="C255" s="4" t="s">
        <v>3028</v>
      </c>
      <c r="D255" s="4" t="s">
        <v>2019</v>
      </c>
      <c r="E255" s="4" t="s">
        <v>36</v>
      </c>
      <c r="F255" s="4" t="s">
        <v>470</v>
      </c>
      <c r="G255" s="4" t="s">
        <v>2020</v>
      </c>
      <c r="H255" s="4" t="s">
        <v>1523</v>
      </c>
      <c r="I255" s="4" t="s">
        <v>3029</v>
      </c>
      <c r="J255" s="4" t="s">
        <v>2022</v>
      </c>
      <c r="K255" s="4" t="s">
        <v>2023</v>
      </c>
      <c r="L255" s="4" t="s">
        <v>41</v>
      </c>
      <c r="M255" s="4" t="s">
        <v>1816</v>
      </c>
      <c r="N255" s="10">
        <f t="shared" si="17"/>
        <v>0</v>
      </c>
      <c r="O255" s="15">
        <f t="shared" si="18"/>
        <v>2149100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2149100</v>
      </c>
      <c r="AG255" s="4" t="s">
        <v>45</v>
      </c>
      <c r="AH255" s="4" t="s">
        <v>1817</v>
      </c>
    </row>
    <row r="256" spans="1:34" s="4" customFormat="1">
      <c r="A256" s="4" t="s">
        <v>32</v>
      </c>
      <c r="B256" s="4" t="s">
        <v>3226</v>
      </c>
      <c r="C256" s="4" t="s">
        <v>3227</v>
      </c>
      <c r="D256" s="4" t="s">
        <v>3228</v>
      </c>
      <c r="E256" s="4" t="s">
        <v>36</v>
      </c>
      <c r="H256" s="4" t="s">
        <v>1707</v>
      </c>
      <c r="I256" s="4" t="s">
        <v>3229</v>
      </c>
      <c r="J256" s="4" t="s">
        <v>3230</v>
      </c>
      <c r="K256" s="4" t="s">
        <v>3231</v>
      </c>
      <c r="L256" s="4" t="s">
        <v>41</v>
      </c>
      <c r="M256" s="4" t="s">
        <v>3232</v>
      </c>
      <c r="N256" s="10">
        <f t="shared" si="17"/>
        <v>54786.894736842114</v>
      </c>
      <c r="O256" s="15">
        <f t="shared" si="18"/>
        <v>-4.7368421128339833E-3</v>
      </c>
      <c r="P256" s="10">
        <v>10409.51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65196.4</v>
      </c>
      <c r="AG256" s="4" t="s">
        <v>45</v>
      </c>
      <c r="AH256" s="4" t="s">
        <v>1817</v>
      </c>
    </row>
    <row r="257" spans="1:34" s="4" customFormat="1">
      <c r="A257" s="4" t="s">
        <v>32</v>
      </c>
      <c r="B257" s="4" t="s">
        <v>3252</v>
      </c>
      <c r="C257" s="4" t="s">
        <v>3253</v>
      </c>
      <c r="D257" s="4" t="s">
        <v>3254</v>
      </c>
      <c r="E257" s="4" t="s">
        <v>36</v>
      </c>
      <c r="H257" s="4" t="s">
        <v>1699</v>
      </c>
      <c r="I257" s="4" t="s">
        <v>3255</v>
      </c>
      <c r="J257" s="4" t="s">
        <v>3256</v>
      </c>
      <c r="K257" s="4" t="s">
        <v>3257</v>
      </c>
      <c r="L257" s="4" t="s">
        <v>41</v>
      </c>
      <c r="M257" s="4" t="s">
        <v>3258</v>
      </c>
      <c r="N257" s="10">
        <f t="shared" si="17"/>
        <v>255000</v>
      </c>
      <c r="O257" s="15">
        <f t="shared" si="18"/>
        <v>0</v>
      </c>
      <c r="P257" s="10">
        <v>48450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303450</v>
      </c>
      <c r="AG257" s="4" t="s">
        <v>45</v>
      </c>
      <c r="AH257" s="4" t="s">
        <v>1817</v>
      </c>
    </row>
    <row r="258" spans="1:34" s="4" customFormat="1">
      <c r="A258" s="4" t="s">
        <v>32</v>
      </c>
      <c r="B258" s="4" t="s">
        <v>1943</v>
      </c>
      <c r="C258" s="4" t="s">
        <v>1944</v>
      </c>
      <c r="D258" s="4" t="s">
        <v>1945</v>
      </c>
      <c r="E258" s="4" t="s">
        <v>36</v>
      </c>
      <c r="F258" s="4" t="s">
        <v>37</v>
      </c>
      <c r="G258" s="4" t="s">
        <v>470</v>
      </c>
      <c r="H258" s="4" t="s">
        <v>190</v>
      </c>
      <c r="I258" s="4" t="s">
        <v>1946</v>
      </c>
      <c r="J258" s="4" t="s">
        <v>1947</v>
      </c>
      <c r="K258" s="4" t="s">
        <v>1948</v>
      </c>
      <c r="L258" s="4" t="s">
        <v>41</v>
      </c>
      <c r="M258" s="4" t="s">
        <v>1816</v>
      </c>
      <c r="N258" s="10">
        <f t="shared" si="17"/>
        <v>311400</v>
      </c>
      <c r="O258" s="15">
        <f t="shared" si="18"/>
        <v>0</v>
      </c>
      <c r="P258" s="10">
        <v>59166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370566</v>
      </c>
      <c r="AG258" s="4" t="s">
        <v>45</v>
      </c>
      <c r="AH258" s="4" t="s">
        <v>1817</v>
      </c>
    </row>
    <row r="259" spans="1:34" s="4" customFormat="1">
      <c r="A259" s="4" t="s">
        <v>32</v>
      </c>
      <c r="B259" s="4" t="s">
        <v>3145</v>
      </c>
      <c r="C259" s="4" t="s">
        <v>3146</v>
      </c>
      <c r="D259" s="4" t="s">
        <v>1945</v>
      </c>
      <c r="E259" s="4" t="s">
        <v>36</v>
      </c>
      <c r="H259" s="4" t="s">
        <v>3147</v>
      </c>
      <c r="I259" s="4" t="s">
        <v>3148</v>
      </c>
      <c r="J259" s="4" t="s">
        <v>1947</v>
      </c>
      <c r="K259" s="4" t="s">
        <v>1948</v>
      </c>
      <c r="L259" s="4" t="s">
        <v>41</v>
      </c>
      <c r="M259" s="4" t="s">
        <v>1816</v>
      </c>
      <c r="N259" s="10">
        <f t="shared" si="17"/>
        <v>107400</v>
      </c>
      <c r="O259" s="15">
        <f t="shared" si="18"/>
        <v>0</v>
      </c>
      <c r="P259" s="10">
        <v>20406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127806</v>
      </c>
      <c r="AG259" s="4" t="s">
        <v>45</v>
      </c>
      <c r="AH259" s="4" t="s">
        <v>1817</v>
      </c>
    </row>
    <row r="260" spans="1:34" s="4" customFormat="1">
      <c r="A260" s="4" t="s">
        <v>32</v>
      </c>
      <c r="B260" s="4" t="s">
        <v>3301</v>
      </c>
      <c r="C260" s="4" t="s">
        <v>3302</v>
      </c>
      <c r="D260" s="4" t="s">
        <v>1945</v>
      </c>
      <c r="E260" s="4" t="s">
        <v>36</v>
      </c>
      <c r="H260" s="4" t="s">
        <v>1703</v>
      </c>
      <c r="I260" s="4" t="s">
        <v>3303</v>
      </c>
      <c r="J260" s="4" t="s">
        <v>1947</v>
      </c>
      <c r="K260" s="4" t="s">
        <v>1948</v>
      </c>
      <c r="L260" s="4" t="s">
        <v>41</v>
      </c>
      <c r="M260" s="4" t="s">
        <v>1816</v>
      </c>
      <c r="N260" s="10">
        <f t="shared" si="17"/>
        <v>107400</v>
      </c>
      <c r="O260" s="15">
        <f t="shared" si="18"/>
        <v>0</v>
      </c>
      <c r="P260" s="10">
        <v>20406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127806</v>
      </c>
      <c r="AG260" s="4" t="s">
        <v>45</v>
      </c>
      <c r="AH260" s="4" t="s">
        <v>1817</v>
      </c>
    </row>
    <row r="261" spans="1:34" s="4" customFormat="1">
      <c r="A261" s="4" t="s">
        <v>32</v>
      </c>
      <c r="B261" s="4" t="s">
        <v>2010</v>
      </c>
      <c r="C261" s="4" t="s">
        <v>2011</v>
      </c>
      <c r="D261" s="4" t="s">
        <v>2012</v>
      </c>
      <c r="E261" s="4" t="s">
        <v>36</v>
      </c>
      <c r="F261" s="4" t="s">
        <v>37</v>
      </c>
      <c r="G261" s="4" t="s">
        <v>470</v>
      </c>
      <c r="H261" s="4" t="s">
        <v>197</v>
      </c>
      <c r="I261" s="4" t="s">
        <v>2013</v>
      </c>
      <c r="J261" s="4" t="s">
        <v>198</v>
      </c>
      <c r="K261" s="4" t="s">
        <v>200</v>
      </c>
      <c r="L261" s="4" t="s">
        <v>41</v>
      </c>
      <c r="M261" s="4" t="s">
        <v>1816</v>
      </c>
      <c r="N261" s="10">
        <f t="shared" si="17"/>
        <v>0</v>
      </c>
      <c r="O261" s="15">
        <f t="shared" si="18"/>
        <v>160000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160000</v>
      </c>
      <c r="AG261" s="4" t="s">
        <v>45</v>
      </c>
      <c r="AH261" s="4" t="s">
        <v>1817</v>
      </c>
    </row>
    <row r="262" spans="1:34" s="4" customFormat="1">
      <c r="A262" s="4" t="s">
        <v>32</v>
      </c>
      <c r="B262" s="4" t="s">
        <v>2014</v>
      </c>
      <c r="C262" s="4" t="s">
        <v>2015</v>
      </c>
      <c r="D262" s="4" t="s">
        <v>2012</v>
      </c>
      <c r="E262" s="4" t="s">
        <v>36</v>
      </c>
      <c r="F262" s="4" t="s">
        <v>37</v>
      </c>
      <c r="G262" s="4" t="s">
        <v>470</v>
      </c>
      <c r="H262" s="4" t="s">
        <v>197</v>
      </c>
      <c r="I262" s="4" t="s">
        <v>2016</v>
      </c>
      <c r="J262" s="4" t="s">
        <v>198</v>
      </c>
      <c r="K262" s="4" t="s">
        <v>200</v>
      </c>
      <c r="L262" s="4" t="s">
        <v>41</v>
      </c>
      <c r="M262" s="4" t="s">
        <v>1816</v>
      </c>
      <c r="N262" s="10">
        <f t="shared" si="17"/>
        <v>0</v>
      </c>
      <c r="O262" s="15">
        <f t="shared" si="18"/>
        <v>160000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160000</v>
      </c>
      <c r="AG262" s="4" t="s">
        <v>45</v>
      </c>
      <c r="AH262" s="4" t="s">
        <v>1817</v>
      </c>
    </row>
    <row r="263" spans="1:34" s="4" customFormat="1">
      <c r="A263" s="4" t="s">
        <v>32</v>
      </c>
      <c r="B263" s="4" t="s">
        <v>1854</v>
      </c>
      <c r="C263" s="4" t="s">
        <v>1855</v>
      </c>
      <c r="D263" s="4" t="s">
        <v>1856</v>
      </c>
      <c r="E263" s="4" t="s">
        <v>36</v>
      </c>
      <c r="F263" s="4" t="s">
        <v>470</v>
      </c>
      <c r="G263" s="4" t="s">
        <v>470</v>
      </c>
      <c r="H263" s="4" t="s">
        <v>1844</v>
      </c>
      <c r="I263" s="4" t="s">
        <v>1857</v>
      </c>
      <c r="J263" s="4" t="s">
        <v>198</v>
      </c>
      <c r="K263" s="4" t="s">
        <v>199</v>
      </c>
      <c r="L263" s="4" t="s">
        <v>41</v>
      </c>
      <c r="M263" s="4" t="s">
        <v>1816</v>
      </c>
      <c r="N263" s="10">
        <f t="shared" si="17"/>
        <v>500000</v>
      </c>
      <c r="O263" s="15">
        <f t="shared" si="18"/>
        <v>0</v>
      </c>
      <c r="P263" s="10">
        <v>95000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595000</v>
      </c>
      <c r="AG263" s="4" t="s">
        <v>45</v>
      </c>
      <c r="AH263" s="4" t="s">
        <v>1817</v>
      </c>
    </row>
    <row r="264" spans="1:34" s="4" customFormat="1">
      <c r="A264" s="4" t="s">
        <v>32</v>
      </c>
      <c r="B264" s="4" t="s">
        <v>1885</v>
      </c>
      <c r="C264" s="4" t="s">
        <v>1886</v>
      </c>
      <c r="D264" s="4" t="s">
        <v>1856</v>
      </c>
      <c r="E264" s="4" t="s">
        <v>36</v>
      </c>
      <c r="F264" s="4" t="s">
        <v>37</v>
      </c>
      <c r="G264" s="4" t="s">
        <v>470</v>
      </c>
      <c r="H264" s="4" t="s">
        <v>51</v>
      </c>
      <c r="I264" s="4" t="s">
        <v>1887</v>
      </c>
      <c r="J264" s="4" t="s">
        <v>198</v>
      </c>
      <c r="K264" s="4" t="s">
        <v>199</v>
      </c>
      <c r="L264" s="4" t="s">
        <v>41</v>
      </c>
      <c r="M264" s="4" t="s">
        <v>1816</v>
      </c>
      <c r="N264" s="10">
        <f t="shared" si="17"/>
        <v>0</v>
      </c>
      <c r="O264" s="15">
        <f t="shared" si="18"/>
        <v>60000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60000</v>
      </c>
      <c r="AG264" s="4" t="s">
        <v>45</v>
      </c>
      <c r="AH264" s="4" t="s">
        <v>1817</v>
      </c>
    </row>
    <row r="265" spans="1:34" s="4" customFormat="1">
      <c r="A265" s="4" t="s">
        <v>32</v>
      </c>
      <c r="B265" s="4" t="s">
        <v>2007</v>
      </c>
      <c r="C265" s="4" t="s">
        <v>2008</v>
      </c>
      <c r="D265" s="4" t="s">
        <v>1856</v>
      </c>
      <c r="E265" s="4" t="s">
        <v>36</v>
      </c>
      <c r="F265" s="4" t="s">
        <v>37</v>
      </c>
      <c r="G265" s="4" t="s">
        <v>470</v>
      </c>
      <c r="H265" s="4" t="s">
        <v>197</v>
      </c>
      <c r="I265" s="4" t="s">
        <v>2009</v>
      </c>
      <c r="J265" s="4" t="s">
        <v>198</v>
      </c>
      <c r="K265" s="4" t="s">
        <v>199</v>
      </c>
      <c r="L265" s="4" t="s">
        <v>41</v>
      </c>
      <c r="M265" s="4" t="s">
        <v>1816</v>
      </c>
      <c r="N265" s="10">
        <f t="shared" si="17"/>
        <v>0</v>
      </c>
      <c r="O265" s="15">
        <f t="shared" si="18"/>
        <v>140000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140000</v>
      </c>
      <c r="AG265" s="4" t="s">
        <v>45</v>
      </c>
      <c r="AH265" s="4" t="s">
        <v>1817</v>
      </c>
    </row>
    <row r="266" spans="1:34" s="4" customFormat="1">
      <c r="A266" s="4" t="s">
        <v>32</v>
      </c>
      <c r="B266" s="4" t="s">
        <v>2153</v>
      </c>
      <c r="C266" s="4" t="s">
        <v>2154</v>
      </c>
      <c r="D266" s="4" t="s">
        <v>1856</v>
      </c>
      <c r="E266" s="4" t="s">
        <v>36</v>
      </c>
      <c r="F266" s="4" t="s">
        <v>37</v>
      </c>
      <c r="G266" s="4" t="s">
        <v>470</v>
      </c>
      <c r="H266" s="4" t="s">
        <v>370</v>
      </c>
      <c r="I266" s="4" t="s">
        <v>2155</v>
      </c>
      <c r="J266" s="4" t="s">
        <v>198</v>
      </c>
      <c r="K266" s="4" t="s">
        <v>199</v>
      </c>
      <c r="L266" s="4" t="s">
        <v>41</v>
      </c>
      <c r="M266" s="4" t="s">
        <v>1816</v>
      </c>
      <c r="N266" s="10">
        <f t="shared" si="17"/>
        <v>0</v>
      </c>
      <c r="O266" s="15">
        <f t="shared" si="18"/>
        <v>150000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150000</v>
      </c>
      <c r="AG266" s="4" t="s">
        <v>45</v>
      </c>
      <c r="AH266" s="4" t="s">
        <v>1817</v>
      </c>
    </row>
    <row r="267" spans="1:34" s="4" customFormat="1">
      <c r="A267" s="4" t="s">
        <v>32</v>
      </c>
      <c r="B267" s="4" t="s">
        <v>2186</v>
      </c>
      <c r="C267" s="4" t="s">
        <v>2187</v>
      </c>
      <c r="D267" s="4" t="s">
        <v>1856</v>
      </c>
      <c r="E267" s="4" t="s">
        <v>36</v>
      </c>
      <c r="F267" s="4" t="s">
        <v>37</v>
      </c>
      <c r="G267" s="4" t="s">
        <v>470</v>
      </c>
      <c r="H267" s="4" t="s">
        <v>759</v>
      </c>
      <c r="I267" s="4" t="s">
        <v>2188</v>
      </c>
      <c r="J267" s="4" t="s">
        <v>198</v>
      </c>
      <c r="K267" s="4" t="s">
        <v>199</v>
      </c>
      <c r="L267" s="4" t="s">
        <v>41</v>
      </c>
      <c r="M267" s="4" t="s">
        <v>1816</v>
      </c>
      <c r="N267" s="10">
        <f t="shared" si="17"/>
        <v>0</v>
      </c>
      <c r="O267" s="15">
        <f t="shared" si="18"/>
        <v>130000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130000</v>
      </c>
      <c r="AG267" s="4" t="s">
        <v>45</v>
      </c>
      <c r="AH267" s="4" t="s">
        <v>1817</v>
      </c>
    </row>
    <row r="268" spans="1:34" s="4" customFormat="1">
      <c r="A268" s="4" t="s">
        <v>32</v>
      </c>
      <c r="B268" s="4" t="s">
        <v>2209</v>
      </c>
      <c r="C268" s="4" t="s">
        <v>2210</v>
      </c>
      <c r="D268" s="4" t="s">
        <v>1856</v>
      </c>
      <c r="E268" s="4" t="s">
        <v>36</v>
      </c>
      <c r="F268" s="4" t="s">
        <v>37</v>
      </c>
      <c r="G268" s="4" t="s">
        <v>470</v>
      </c>
      <c r="H268" s="4" t="s">
        <v>2211</v>
      </c>
      <c r="I268" s="4" t="s">
        <v>2212</v>
      </c>
      <c r="J268" s="4" t="s">
        <v>198</v>
      </c>
      <c r="K268" s="4" t="s">
        <v>199</v>
      </c>
      <c r="L268" s="4" t="s">
        <v>41</v>
      </c>
      <c r="M268" s="4" t="s">
        <v>1816</v>
      </c>
      <c r="N268" s="10">
        <f t="shared" si="17"/>
        <v>0</v>
      </c>
      <c r="O268" s="15">
        <f t="shared" si="18"/>
        <v>60000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60000</v>
      </c>
      <c r="AG268" s="4" t="s">
        <v>45</v>
      </c>
      <c r="AH268" s="4" t="s">
        <v>1817</v>
      </c>
    </row>
    <row r="269" spans="1:34" s="4" customFormat="1">
      <c r="A269" s="4" t="s">
        <v>32</v>
      </c>
      <c r="B269" s="4" t="s">
        <v>2251</v>
      </c>
      <c r="C269" s="4" t="s">
        <v>2252</v>
      </c>
      <c r="D269" s="4" t="s">
        <v>1856</v>
      </c>
      <c r="E269" s="4" t="s">
        <v>36</v>
      </c>
      <c r="F269" s="4" t="s">
        <v>37</v>
      </c>
      <c r="G269" s="4" t="s">
        <v>470</v>
      </c>
      <c r="H269" s="4" t="s">
        <v>2253</v>
      </c>
      <c r="I269" s="4" t="s">
        <v>2254</v>
      </c>
      <c r="J269" s="4" t="s">
        <v>198</v>
      </c>
      <c r="K269" s="4" t="s">
        <v>199</v>
      </c>
      <c r="L269" s="4" t="s">
        <v>41</v>
      </c>
      <c r="M269" s="4" t="s">
        <v>1816</v>
      </c>
      <c r="N269" s="10">
        <f t="shared" si="17"/>
        <v>0</v>
      </c>
      <c r="O269" s="15">
        <f t="shared" si="18"/>
        <v>240000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240000</v>
      </c>
      <c r="AG269" s="4" t="s">
        <v>45</v>
      </c>
      <c r="AH269" s="4" t="s">
        <v>1817</v>
      </c>
    </row>
    <row r="270" spans="1:34" s="4" customFormat="1">
      <c r="A270" s="4" t="s">
        <v>32</v>
      </c>
      <c r="B270" s="4" t="s">
        <v>2331</v>
      </c>
      <c r="C270" s="4" t="s">
        <v>2332</v>
      </c>
      <c r="D270" s="4" t="s">
        <v>1856</v>
      </c>
      <c r="E270" s="4" t="s">
        <v>36</v>
      </c>
      <c r="F270" s="4" t="s">
        <v>37</v>
      </c>
      <c r="G270" s="4" t="s">
        <v>470</v>
      </c>
      <c r="H270" s="4" t="s">
        <v>2329</v>
      </c>
      <c r="I270" s="4" t="s">
        <v>2333</v>
      </c>
      <c r="J270" s="4" t="s">
        <v>198</v>
      </c>
      <c r="K270" s="4" t="s">
        <v>199</v>
      </c>
      <c r="L270" s="4" t="s">
        <v>41</v>
      </c>
      <c r="M270" s="4" t="s">
        <v>1816</v>
      </c>
      <c r="N270" s="10">
        <f t="shared" si="17"/>
        <v>0</v>
      </c>
      <c r="O270" s="15">
        <f t="shared" si="18"/>
        <v>60000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60000</v>
      </c>
      <c r="AG270" s="4" t="s">
        <v>45</v>
      </c>
      <c r="AH270" s="4" t="s">
        <v>1817</v>
      </c>
    </row>
    <row r="271" spans="1:34" s="4" customFormat="1">
      <c r="A271" s="4" t="s">
        <v>32</v>
      </c>
      <c r="B271" s="4" t="s">
        <v>3069</v>
      </c>
      <c r="C271" s="4" t="s">
        <v>503</v>
      </c>
      <c r="D271" s="4" t="s">
        <v>1856</v>
      </c>
      <c r="E271" s="4" t="s">
        <v>36</v>
      </c>
      <c r="F271" s="4" t="s">
        <v>37</v>
      </c>
      <c r="G271" s="4" t="s">
        <v>470</v>
      </c>
      <c r="H271" s="4" t="s">
        <v>1402</v>
      </c>
      <c r="I271" s="4" t="s">
        <v>3070</v>
      </c>
      <c r="J271" s="4" t="s">
        <v>198</v>
      </c>
      <c r="K271" s="4" t="s">
        <v>199</v>
      </c>
      <c r="L271" s="4" t="s">
        <v>41</v>
      </c>
      <c r="M271" s="4" t="s">
        <v>1816</v>
      </c>
      <c r="N271" s="10">
        <f t="shared" si="17"/>
        <v>0</v>
      </c>
      <c r="O271" s="15">
        <f t="shared" si="18"/>
        <v>60000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60000</v>
      </c>
      <c r="AG271" s="4" t="s">
        <v>45</v>
      </c>
      <c r="AH271" s="4" t="s">
        <v>1817</v>
      </c>
    </row>
    <row r="272" spans="1:34" s="4" customFormat="1">
      <c r="A272" s="4" t="s">
        <v>32</v>
      </c>
      <c r="B272" s="4" t="s">
        <v>3318</v>
      </c>
      <c r="C272" s="4" t="s">
        <v>3319</v>
      </c>
      <c r="D272" s="4" t="s">
        <v>1856</v>
      </c>
      <c r="E272" s="4" t="s">
        <v>36</v>
      </c>
      <c r="H272" s="4" t="s">
        <v>1620</v>
      </c>
      <c r="I272" s="4" t="s">
        <v>3320</v>
      </c>
      <c r="J272" s="4" t="s">
        <v>198</v>
      </c>
      <c r="K272" s="4" t="s">
        <v>199</v>
      </c>
      <c r="L272" s="4" t="s">
        <v>41</v>
      </c>
      <c r="M272" s="4" t="s">
        <v>1816</v>
      </c>
      <c r="N272" s="10">
        <f t="shared" si="17"/>
        <v>0</v>
      </c>
      <c r="O272" s="15">
        <f t="shared" si="18"/>
        <v>120000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120000</v>
      </c>
      <c r="AG272" s="4" t="s">
        <v>45</v>
      </c>
      <c r="AH272" s="4" t="s">
        <v>1817</v>
      </c>
    </row>
    <row r="273" spans="1:34" s="4" customFormat="1">
      <c r="A273" s="4" t="s">
        <v>32</v>
      </c>
      <c r="B273" s="4" t="s">
        <v>3223</v>
      </c>
      <c r="C273" s="4" t="s">
        <v>3224</v>
      </c>
      <c r="D273" s="4" t="s">
        <v>1856</v>
      </c>
      <c r="E273" s="4" t="s">
        <v>36</v>
      </c>
      <c r="H273" s="4" t="s">
        <v>3221</v>
      </c>
      <c r="I273" s="4" t="s">
        <v>3225</v>
      </c>
      <c r="J273" s="4" t="s">
        <v>198</v>
      </c>
      <c r="K273" s="4" t="s">
        <v>199</v>
      </c>
      <c r="L273" s="4" t="s">
        <v>41</v>
      </c>
      <c r="M273" s="4" t="s">
        <v>1816</v>
      </c>
      <c r="N273" s="10">
        <f t="shared" si="17"/>
        <v>0</v>
      </c>
      <c r="O273" s="15">
        <f t="shared" si="18"/>
        <v>310000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310000</v>
      </c>
      <c r="AG273" s="4" t="s">
        <v>45</v>
      </c>
      <c r="AH273" s="4" t="s">
        <v>1817</v>
      </c>
    </row>
    <row r="274" spans="1:34" s="4" customFormat="1">
      <c r="A274" s="4" t="s">
        <v>32</v>
      </c>
      <c r="B274" s="4" t="s">
        <v>1834</v>
      </c>
      <c r="C274" s="4" t="s">
        <v>1835</v>
      </c>
      <c r="D274" s="4" t="s">
        <v>1836</v>
      </c>
      <c r="E274" s="4" t="s">
        <v>36</v>
      </c>
      <c r="F274" s="4" t="s">
        <v>37</v>
      </c>
      <c r="G274" s="4" t="s">
        <v>470</v>
      </c>
      <c r="H274" s="4" t="s">
        <v>1826</v>
      </c>
      <c r="I274" s="4" t="s">
        <v>1837</v>
      </c>
      <c r="J274" s="4" t="s">
        <v>1838</v>
      </c>
      <c r="K274" s="4" t="s">
        <v>1839</v>
      </c>
      <c r="L274" s="4" t="s">
        <v>41</v>
      </c>
      <c r="M274" s="4" t="s">
        <v>1840</v>
      </c>
      <c r="N274" s="10">
        <f t="shared" si="17"/>
        <v>403137.26315789478</v>
      </c>
      <c r="O274" s="15">
        <f t="shared" si="18"/>
        <v>23273.446842105201</v>
      </c>
      <c r="P274" s="10">
        <v>76596.08</v>
      </c>
      <c r="Q274" s="10">
        <v>0</v>
      </c>
      <c r="R274" s="10">
        <v>0</v>
      </c>
      <c r="S274" s="10">
        <v>3116.62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503006.79</v>
      </c>
      <c r="AG274" s="4" t="s">
        <v>45</v>
      </c>
      <c r="AH274" s="4" t="s">
        <v>1817</v>
      </c>
    </row>
    <row r="275" spans="1:34" s="4" customFormat="1">
      <c r="A275" s="4" t="s">
        <v>32</v>
      </c>
      <c r="B275" s="4" t="s">
        <v>1949</v>
      </c>
      <c r="C275" s="4" t="s">
        <v>1950</v>
      </c>
      <c r="D275" s="4" t="s">
        <v>1836</v>
      </c>
      <c r="E275" s="4" t="s">
        <v>36</v>
      </c>
      <c r="F275" s="4" t="s">
        <v>37</v>
      </c>
      <c r="G275" s="4" t="s">
        <v>470</v>
      </c>
      <c r="H275" s="4" t="s">
        <v>1951</v>
      </c>
      <c r="I275" s="4" t="s">
        <v>1952</v>
      </c>
      <c r="J275" s="4" t="s">
        <v>1838</v>
      </c>
      <c r="K275" s="4" t="s">
        <v>1839</v>
      </c>
      <c r="L275" s="4" t="s">
        <v>41</v>
      </c>
      <c r="M275" s="4" t="s">
        <v>1840</v>
      </c>
      <c r="N275" s="10">
        <f t="shared" si="17"/>
        <v>403137.26315789478</v>
      </c>
      <c r="O275" s="15">
        <f t="shared" si="18"/>
        <v>3116.5868421052146</v>
      </c>
      <c r="P275" s="10">
        <v>76596.08</v>
      </c>
      <c r="Q275" s="10">
        <v>0</v>
      </c>
      <c r="R275" s="10">
        <v>0</v>
      </c>
      <c r="S275" s="10">
        <v>3116.62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482849.93</v>
      </c>
      <c r="AG275" s="4" t="s">
        <v>45</v>
      </c>
      <c r="AH275" s="4" t="s">
        <v>1817</v>
      </c>
    </row>
    <row r="276" spans="1:34" s="4" customFormat="1">
      <c r="A276" s="4" t="s">
        <v>32</v>
      </c>
      <c r="B276" s="4" t="s">
        <v>2144</v>
      </c>
      <c r="C276" s="4" t="s">
        <v>2145</v>
      </c>
      <c r="D276" s="4" t="s">
        <v>1836</v>
      </c>
      <c r="E276" s="4" t="s">
        <v>36</v>
      </c>
      <c r="F276" s="4" t="s">
        <v>37</v>
      </c>
      <c r="G276" s="4" t="s">
        <v>470</v>
      </c>
      <c r="H276" s="4" t="s">
        <v>381</v>
      </c>
      <c r="I276" s="4" t="s">
        <v>2146</v>
      </c>
      <c r="J276" s="4" t="s">
        <v>1838</v>
      </c>
      <c r="K276" s="4" t="s">
        <v>1839</v>
      </c>
      <c r="L276" s="4" t="s">
        <v>41</v>
      </c>
      <c r="M276" s="4" t="s">
        <v>1840</v>
      </c>
      <c r="N276" s="10">
        <f t="shared" si="17"/>
        <v>403137.26315789478</v>
      </c>
      <c r="O276" s="15">
        <f t="shared" si="18"/>
        <v>3116.5868421052146</v>
      </c>
      <c r="P276" s="10">
        <v>76596.08</v>
      </c>
      <c r="Q276" s="10">
        <v>0</v>
      </c>
      <c r="R276" s="10">
        <v>0</v>
      </c>
      <c r="S276" s="10">
        <v>3116.62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482849.93</v>
      </c>
      <c r="AG276" s="4" t="s">
        <v>45</v>
      </c>
      <c r="AH276" s="4" t="s">
        <v>1817</v>
      </c>
    </row>
    <row r="277" spans="1:34" s="4" customFormat="1">
      <c r="A277" s="4" t="s">
        <v>32</v>
      </c>
      <c r="B277" s="4" t="s">
        <v>2956</v>
      </c>
      <c r="C277" s="4" t="s">
        <v>2957</v>
      </c>
      <c r="D277" s="4" t="s">
        <v>1836</v>
      </c>
      <c r="E277" s="4" t="s">
        <v>36</v>
      </c>
      <c r="F277" s="4" t="s">
        <v>37</v>
      </c>
      <c r="G277" s="4" t="s">
        <v>470</v>
      </c>
      <c r="H277" s="4" t="s">
        <v>2939</v>
      </c>
      <c r="I277" s="4" t="s">
        <v>2958</v>
      </c>
      <c r="J277" s="4" t="s">
        <v>1838</v>
      </c>
      <c r="K277" s="4" t="s">
        <v>1839</v>
      </c>
      <c r="L277" s="4" t="s">
        <v>41</v>
      </c>
      <c r="M277" s="4" t="s">
        <v>1840</v>
      </c>
      <c r="N277" s="10">
        <f t="shared" si="17"/>
        <v>282196.21052631579</v>
      </c>
      <c r="O277" s="15">
        <f t="shared" si="18"/>
        <v>2181.4894736841961</v>
      </c>
      <c r="P277" s="10">
        <v>53617.279999999999</v>
      </c>
      <c r="Q277" s="10">
        <v>0</v>
      </c>
      <c r="R277" s="10">
        <v>0</v>
      </c>
      <c r="S277" s="10">
        <v>2181.63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337994.98</v>
      </c>
      <c r="AG277" s="4" t="s">
        <v>45</v>
      </c>
      <c r="AH277" s="4" t="s">
        <v>1817</v>
      </c>
    </row>
    <row r="278" spans="1:34" s="4" customFormat="1">
      <c r="A278" s="4" t="s">
        <v>32</v>
      </c>
      <c r="B278" s="4" t="s">
        <v>3291</v>
      </c>
      <c r="C278" s="4" t="s">
        <v>3292</v>
      </c>
      <c r="D278" s="4" t="s">
        <v>1836</v>
      </c>
      <c r="E278" s="4" t="s">
        <v>36</v>
      </c>
      <c r="H278" s="4" t="s">
        <v>3293</v>
      </c>
      <c r="I278" s="4" t="s">
        <v>3294</v>
      </c>
      <c r="J278" s="4" t="s">
        <v>1838</v>
      </c>
      <c r="K278" s="4" t="s">
        <v>1839</v>
      </c>
      <c r="L278" s="4" t="s">
        <v>41</v>
      </c>
      <c r="M278" s="4" t="s">
        <v>1840</v>
      </c>
      <c r="N278" s="10">
        <f t="shared" si="17"/>
        <v>324398.05263157893</v>
      </c>
      <c r="O278" s="15">
        <f t="shared" si="18"/>
        <v>2873.5673684210706</v>
      </c>
      <c r="P278" s="10">
        <v>61635.63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388907.25</v>
      </c>
      <c r="AG278" s="4" t="s">
        <v>45</v>
      </c>
      <c r="AH278" s="4" t="s">
        <v>1817</v>
      </c>
    </row>
    <row r="279" spans="1:34" s="4" customFormat="1">
      <c r="A279" s="4" t="s">
        <v>32</v>
      </c>
      <c r="B279" s="4" t="s">
        <v>3084</v>
      </c>
      <c r="C279" s="4" t="s">
        <v>3085</v>
      </c>
      <c r="D279" s="4" t="s">
        <v>1836</v>
      </c>
      <c r="E279" s="4" t="s">
        <v>36</v>
      </c>
      <c r="F279" s="4" t="s">
        <v>37</v>
      </c>
      <c r="G279" s="4" t="s">
        <v>470</v>
      </c>
      <c r="H279" s="4" t="s">
        <v>3086</v>
      </c>
      <c r="I279" s="4" t="s">
        <v>3087</v>
      </c>
      <c r="J279" s="4" t="s">
        <v>1838</v>
      </c>
      <c r="K279" s="4" t="s">
        <v>1839</v>
      </c>
      <c r="L279" s="4" t="s">
        <v>41</v>
      </c>
      <c r="M279" s="4" t="s">
        <v>1840</v>
      </c>
      <c r="N279" s="10">
        <f t="shared" si="17"/>
        <v>341267</v>
      </c>
      <c r="O279" s="15">
        <f t="shared" si="18"/>
        <v>3349.8799999999828</v>
      </c>
      <c r="P279" s="10">
        <v>64840.73</v>
      </c>
      <c r="Q279" s="10">
        <v>0</v>
      </c>
      <c r="R279" s="10">
        <v>0</v>
      </c>
      <c r="S279" s="10">
        <v>3350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409457.61</v>
      </c>
      <c r="AG279" s="4" t="s">
        <v>45</v>
      </c>
      <c r="AH279" s="4" t="s">
        <v>1817</v>
      </c>
    </row>
    <row r="280" spans="1:34" s="4" customFormat="1">
      <c r="A280" s="4" t="s">
        <v>32</v>
      </c>
      <c r="B280" s="4" t="s">
        <v>3157</v>
      </c>
      <c r="C280" s="4" t="s">
        <v>3158</v>
      </c>
      <c r="D280" s="4" t="s">
        <v>1836</v>
      </c>
      <c r="E280" s="4" t="s">
        <v>36</v>
      </c>
      <c r="H280" s="4" t="s">
        <v>3155</v>
      </c>
      <c r="I280" s="4" t="s">
        <v>3159</v>
      </c>
      <c r="J280" s="4" t="s">
        <v>1838</v>
      </c>
      <c r="K280" s="4" t="s">
        <v>1839</v>
      </c>
      <c r="L280" s="4" t="s">
        <v>41</v>
      </c>
      <c r="M280" s="4" t="s">
        <v>1840</v>
      </c>
      <c r="N280" s="10">
        <f t="shared" si="17"/>
        <v>352927.47368421056</v>
      </c>
      <c r="O280" s="15">
        <f t="shared" si="18"/>
        <v>3457.2863157894171</v>
      </c>
      <c r="P280" s="10">
        <v>67056.22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423440.98</v>
      </c>
      <c r="AG280" s="4" t="s">
        <v>45</v>
      </c>
      <c r="AH280" s="4" t="s">
        <v>1817</v>
      </c>
    </row>
    <row r="281" spans="1:34" s="4" customFormat="1">
      <c r="A281" s="4" t="s">
        <v>32</v>
      </c>
      <c r="B281" s="4" t="s">
        <v>2451</v>
      </c>
      <c r="C281" s="4" t="s">
        <v>2452</v>
      </c>
      <c r="D281" s="4" t="s">
        <v>1836</v>
      </c>
      <c r="E281" s="4" t="s">
        <v>36</v>
      </c>
      <c r="F281" s="4" t="s">
        <v>37</v>
      </c>
      <c r="G281" s="4" t="s">
        <v>470</v>
      </c>
      <c r="H281" s="4" t="s">
        <v>575</v>
      </c>
      <c r="I281" s="4" t="s">
        <v>2453</v>
      </c>
      <c r="J281" s="4" t="s">
        <v>1838</v>
      </c>
      <c r="K281" s="4" t="s">
        <v>1839</v>
      </c>
      <c r="L281" s="4" t="s">
        <v>41</v>
      </c>
      <c r="M281" s="4" t="s">
        <v>1840</v>
      </c>
      <c r="N281" s="10">
        <f t="shared" si="17"/>
        <v>403137.26315789478</v>
      </c>
      <c r="O281" s="15">
        <f t="shared" si="18"/>
        <v>3116.5868421052146</v>
      </c>
      <c r="P281" s="10">
        <v>76596.08</v>
      </c>
      <c r="Q281" s="10">
        <v>0</v>
      </c>
      <c r="R281" s="10">
        <v>0</v>
      </c>
      <c r="S281" s="10">
        <v>3116.62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482849.93</v>
      </c>
      <c r="AG281" s="4" t="s">
        <v>45</v>
      </c>
      <c r="AH281" s="4" t="s">
        <v>1817</v>
      </c>
    </row>
    <row r="282" spans="1:34" s="4" customFormat="1">
      <c r="A282" s="4" t="s">
        <v>32</v>
      </c>
      <c r="B282" s="4" t="s">
        <v>2543</v>
      </c>
      <c r="C282" s="4" t="s">
        <v>2544</v>
      </c>
      <c r="D282" s="4" t="s">
        <v>1836</v>
      </c>
      <c r="E282" s="4" t="s">
        <v>36</v>
      </c>
      <c r="F282" s="4" t="s">
        <v>37</v>
      </c>
      <c r="G282" s="4" t="s">
        <v>470</v>
      </c>
      <c r="H282" s="4" t="s">
        <v>809</v>
      </c>
      <c r="I282" s="4" t="s">
        <v>2545</v>
      </c>
      <c r="J282" s="4" t="s">
        <v>1838</v>
      </c>
      <c r="K282" s="4" t="s">
        <v>1839</v>
      </c>
      <c r="L282" s="4" t="s">
        <v>41</v>
      </c>
      <c r="M282" s="4" t="s">
        <v>1840</v>
      </c>
      <c r="N282" s="10">
        <f t="shared" si="17"/>
        <v>403137.26315789478</v>
      </c>
      <c r="O282" s="15">
        <f t="shared" si="18"/>
        <v>3116.5868421052146</v>
      </c>
      <c r="P282" s="10">
        <v>76596.08</v>
      </c>
      <c r="Q282" s="10">
        <v>0</v>
      </c>
      <c r="R282" s="10">
        <v>0</v>
      </c>
      <c r="S282" s="10">
        <v>3116.62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482849.93</v>
      </c>
      <c r="AG282" s="4" t="s">
        <v>45</v>
      </c>
      <c r="AH282" s="4" t="s">
        <v>1817</v>
      </c>
    </row>
    <row r="283" spans="1:34" s="4" customFormat="1">
      <c r="A283" s="4" t="s">
        <v>32</v>
      </c>
      <c r="B283" s="4" t="s">
        <v>2667</v>
      </c>
      <c r="C283" s="4" t="s">
        <v>2668</v>
      </c>
      <c r="D283" s="4" t="s">
        <v>1836</v>
      </c>
      <c r="E283" s="4" t="s">
        <v>36</v>
      </c>
      <c r="F283" s="4" t="s">
        <v>37</v>
      </c>
      <c r="G283" s="4" t="s">
        <v>470</v>
      </c>
      <c r="H283" s="4" t="s">
        <v>2662</v>
      </c>
      <c r="I283" s="4" t="s">
        <v>2669</v>
      </c>
      <c r="J283" s="4" t="s">
        <v>1838</v>
      </c>
      <c r="K283" s="4" t="s">
        <v>1839</v>
      </c>
      <c r="L283" s="4" t="s">
        <v>41</v>
      </c>
      <c r="M283" s="4" t="s">
        <v>1840</v>
      </c>
      <c r="N283" s="10">
        <f t="shared" si="17"/>
        <v>403137.26315789478</v>
      </c>
      <c r="O283" s="15">
        <f t="shared" si="18"/>
        <v>3116.5868421052146</v>
      </c>
      <c r="P283" s="10">
        <v>76596.08</v>
      </c>
      <c r="Q283" s="10">
        <v>0</v>
      </c>
      <c r="R283" s="10">
        <v>0</v>
      </c>
      <c r="S283" s="10">
        <v>3116.62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482849.93</v>
      </c>
      <c r="AG283" s="4" t="s">
        <v>45</v>
      </c>
      <c r="AH283" s="4" t="s">
        <v>1817</v>
      </c>
    </row>
    <row r="284" spans="1:34" s="4" customFormat="1">
      <c r="A284" s="4" t="s">
        <v>32</v>
      </c>
      <c r="B284" s="4" t="s">
        <v>2724</v>
      </c>
      <c r="C284" s="4" t="s">
        <v>2725</v>
      </c>
      <c r="D284" s="4" t="s">
        <v>1836</v>
      </c>
      <c r="E284" s="4" t="s">
        <v>36</v>
      </c>
      <c r="F284" s="4" t="s">
        <v>37</v>
      </c>
      <c r="G284" s="4" t="s">
        <v>470</v>
      </c>
      <c r="H284" s="4" t="s">
        <v>2726</v>
      </c>
      <c r="I284" s="4" t="s">
        <v>2727</v>
      </c>
      <c r="J284" s="4" t="s">
        <v>1838</v>
      </c>
      <c r="K284" s="4" t="s">
        <v>1839</v>
      </c>
      <c r="L284" s="4" t="s">
        <v>41</v>
      </c>
      <c r="M284" s="4" t="s">
        <v>1840</v>
      </c>
      <c r="N284" s="10">
        <f t="shared" si="17"/>
        <v>403137.26315789478</v>
      </c>
      <c r="O284" s="15">
        <f t="shared" si="18"/>
        <v>3116.5868421052146</v>
      </c>
      <c r="P284" s="10">
        <v>76596.08</v>
      </c>
      <c r="Q284" s="10">
        <v>0</v>
      </c>
      <c r="R284" s="10">
        <v>0</v>
      </c>
      <c r="S284" s="10">
        <v>3116.62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482849.93</v>
      </c>
      <c r="AG284" s="4" t="s">
        <v>45</v>
      </c>
      <c r="AH284" s="4" t="s">
        <v>1817</v>
      </c>
    </row>
    <row r="285" spans="1:34" s="4" customFormat="1">
      <c r="A285" s="4" t="s">
        <v>32</v>
      </c>
      <c r="B285" s="4" t="s">
        <v>2862</v>
      </c>
      <c r="C285" s="4" t="s">
        <v>2863</v>
      </c>
      <c r="D285" s="4" t="s">
        <v>1836</v>
      </c>
      <c r="E285" s="4" t="s">
        <v>36</v>
      </c>
      <c r="F285" s="4" t="s">
        <v>37</v>
      </c>
      <c r="G285" s="4" t="s">
        <v>470</v>
      </c>
      <c r="H285" s="4" t="s">
        <v>2311</v>
      </c>
      <c r="I285" s="4" t="s">
        <v>2864</v>
      </c>
      <c r="J285" s="4" t="s">
        <v>1838</v>
      </c>
      <c r="K285" s="4" t="s">
        <v>1839</v>
      </c>
      <c r="L285" s="4" t="s">
        <v>41</v>
      </c>
      <c r="M285" s="4" t="s">
        <v>1840</v>
      </c>
      <c r="N285" s="10">
        <f t="shared" si="17"/>
        <v>403137.26315789478</v>
      </c>
      <c r="O285" s="15">
        <f t="shared" si="18"/>
        <v>3116.5868421052146</v>
      </c>
      <c r="P285" s="10">
        <v>76596.08</v>
      </c>
      <c r="Q285" s="10">
        <v>0</v>
      </c>
      <c r="R285" s="10">
        <v>0</v>
      </c>
      <c r="S285" s="10">
        <v>3116.62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482849.93</v>
      </c>
      <c r="AG285" s="4" t="s">
        <v>45</v>
      </c>
      <c r="AH285" s="4" t="s">
        <v>1817</v>
      </c>
    </row>
    <row r="286" spans="1:34" s="4" customFormat="1">
      <c r="A286" s="4" t="s">
        <v>32</v>
      </c>
      <c r="B286" s="4" t="s">
        <v>2844</v>
      </c>
      <c r="C286" s="4" t="s">
        <v>2845</v>
      </c>
      <c r="D286" s="4" t="s">
        <v>2846</v>
      </c>
      <c r="E286" s="4" t="s">
        <v>36</v>
      </c>
      <c r="F286" s="4" t="s">
        <v>470</v>
      </c>
      <c r="G286" s="4" t="s">
        <v>470</v>
      </c>
      <c r="H286" s="4" t="s">
        <v>2847</v>
      </c>
      <c r="I286" s="4" t="s">
        <v>2848</v>
      </c>
      <c r="J286" s="4" t="s">
        <v>2849</v>
      </c>
      <c r="K286" s="19" t="s">
        <v>2896</v>
      </c>
      <c r="L286" s="4" t="s">
        <v>41</v>
      </c>
      <c r="M286" s="4" t="s">
        <v>42</v>
      </c>
      <c r="N286" s="10">
        <f t="shared" si="17"/>
        <v>31008.42105263158</v>
      </c>
      <c r="O286" s="15">
        <f t="shared" si="18"/>
        <v>-2.1052631580460002E-2</v>
      </c>
      <c r="P286" s="10">
        <v>5891.6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36900</v>
      </c>
      <c r="AG286" s="4" t="s">
        <v>45</v>
      </c>
      <c r="AH286" s="4" t="s">
        <v>1817</v>
      </c>
    </row>
    <row r="287" spans="1:34" s="4" customFormat="1">
      <c r="A287" s="4" t="s">
        <v>32</v>
      </c>
      <c r="B287" s="4" t="s">
        <v>2059</v>
      </c>
      <c r="C287" s="4" t="s">
        <v>2060</v>
      </c>
      <c r="D287" s="4" t="s">
        <v>2061</v>
      </c>
      <c r="E287" s="4" t="s">
        <v>36</v>
      </c>
      <c r="F287" s="4" t="s">
        <v>37</v>
      </c>
      <c r="G287" s="4" t="s">
        <v>1861</v>
      </c>
      <c r="H287" s="4" t="s">
        <v>363</v>
      </c>
      <c r="I287" s="4" t="s">
        <v>2062</v>
      </c>
      <c r="J287" s="4" t="s">
        <v>335</v>
      </c>
      <c r="K287" s="4" t="s">
        <v>336</v>
      </c>
      <c r="L287" s="4" t="s">
        <v>41</v>
      </c>
      <c r="M287" s="4" t="s">
        <v>1816</v>
      </c>
      <c r="N287" s="10">
        <f t="shared" si="17"/>
        <v>1268000</v>
      </c>
      <c r="O287" s="15">
        <f t="shared" si="18"/>
        <v>0</v>
      </c>
      <c r="P287" s="10">
        <v>240920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1508920</v>
      </c>
      <c r="AG287" s="4" t="s">
        <v>45</v>
      </c>
      <c r="AH287" s="4" t="s">
        <v>1817</v>
      </c>
    </row>
    <row r="288" spans="1:34" s="4" customFormat="1">
      <c r="A288" s="4" t="s">
        <v>32</v>
      </c>
      <c r="B288" s="4" t="s">
        <v>2189</v>
      </c>
      <c r="C288" s="4" t="s">
        <v>2190</v>
      </c>
      <c r="D288" s="4" t="s">
        <v>2061</v>
      </c>
      <c r="E288" s="4" t="s">
        <v>36</v>
      </c>
      <c r="F288" s="4" t="s">
        <v>37</v>
      </c>
      <c r="G288" s="4" t="s">
        <v>1861</v>
      </c>
      <c r="H288" s="4" t="s">
        <v>759</v>
      </c>
      <c r="I288" s="4" t="s">
        <v>2191</v>
      </c>
      <c r="J288" s="4" t="s">
        <v>335</v>
      </c>
      <c r="K288" s="4" t="s">
        <v>336</v>
      </c>
      <c r="L288" s="4" t="s">
        <v>41</v>
      </c>
      <c r="M288" s="4" t="s">
        <v>1816</v>
      </c>
      <c r="N288" s="10">
        <f t="shared" si="17"/>
        <v>186000</v>
      </c>
      <c r="O288" s="15">
        <f t="shared" si="18"/>
        <v>0</v>
      </c>
      <c r="P288" s="10">
        <v>35340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221340</v>
      </c>
      <c r="AG288" s="4" t="s">
        <v>45</v>
      </c>
      <c r="AH288" s="4" t="s">
        <v>1817</v>
      </c>
    </row>
    <row r="289" spans="1:34" s="4" customFormat="1">
      <c r="A289" s="4" t="s">
        <v>32</v>
      </c>
      <c r="B289" s="4" t="s">
        <v>2202</v>
      </c>
      <c r="C289" s="4" t="s">
        <v>2203</v>
      </c>
      <c r="D289" s="4" t="s">
        <v>2061</v>
      </c>
      <c r="E289" s="4" t="s">
        <v>36</v>
      </c>
      <c r="F289" s="4" t="s">
        <v>37</v>
      </c>
      <c r="G289" s="4" t="s">
        <v>1861</v>
      </c>
      <c r="H289" s="4" t="s">
        <v>1058</v>
      </c>
      <c r="I289" s="4" t="s">
        <v>2204</v>
      </c>
      <c r="J289" s="4" t="s">
        <v>335</v>
      </c>
      <c r="K289" s="4" t="s">
        <v>336</v>
      </c>
      <c r="L289" s="4" t="s">
        <v>41</v>
      </c>
      <c r="M289" s="4" t="s">
        <v>1816</v>
      </c>
      <c r="N289" s="10">
        <f t="shared" si="17"/>
        <v>3444000</v>
      </c>
      <c r="O289" s="15">
        <f t="shared" si="18"/>
        <v>0</v>
      </c>
      <c r="P289" s="10">
        <v>654360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4098360</v>
      </c>
      <c r="AG289" s="4" t="s">
        <v>45</v>
      </c>
      <c r="AH289" s="4" t="s">
        <v>1817</v>
      </c>
    </row>
    <row r="290" spans="1:34" s="4" customFormat="1">
      <c r="A290" s="4" t="s">
        <v>32</v>
      </c>
      <c r="B290" s="4" t="s">
        <v>2247</v>
      </c>
      <c r="C290" s="4" t="s">
        <v>2248</v>
      </c>
      <c r="D290" s="4" t="s">
        <v>2061</v>
      </c>
      <c r="E290" s="4" t="s">
        <v>36</v>
      </c>
      <c r="F290" s="4" t="s">
        <v>37</v>
      </c>
      <c r="G290" s="4" t="s">
        <v>1861</v>
      </c>
      <c r="H290" s="4" t="s">
        <v>2249</v>
      </c>
      <c r="I290" s="4" t="s">
        <v>2250</v>
      </c>
      <c r="J290" s="4" t="s">
        <v>335</v>
      </c>
      <c r="K290" s="4" t="s">
        <v>336</v>
      </c>
      <c r="L290" s="4" t="s">
        <v>41</v>
      </c>
      <c r="M290" s="4" t="s">
        <v>1816</v>
      </c>
      <c r="N290" s="10">
        <f t="shared" si="17"/>
        <v>492000</v>
      </c>
      <c r="O290" s="15">
        <f t="shared" si="18"/>
        <v>0</v>
      </c>
      <c r="P290" s="10">
        <v>93480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585480</v>
      </c>
      <c r="AG290" s="4" t="s">
        <v>45</v>
      </c>
      <c r="AH290" s="4" t="s">
        <v>1817</v>
      </c>
    </row>
    <row r="291" spans="1:34" s="4" customFormat="1">
      <c r="A291" s="4" t="s">
        <v>32</v>
      </c>
      <c r="B291" s="4" t="s">
        <v>2272</v>
      </c>
      <c r="C291" s="4" t="s">
        <v>2273</v>
      </c>
      <c r="D291" s="4" t="s">
        <v>2061</v>
      </c>
      <c r="E291" s="4" t="s">
        <v>36</v>
      </c>
      <c r="F291" s="4" t="s">
        <v>37</v>
      </c>
      <c r="G291" s="4" t="s">
        <v>1861</v>
      </c>
      <c r="H291" s="4" t="s">
        <v>1116</v>
      </c>
      <c r="I291" s="4" t="s">
        <v>2274</v>
      </c>
      <c r="J291" s="4" t="s">
        <v>335</v>
      </c>
      <c r="K291" s="4" t="s">
        <v>336</v>
      </c>
      <c r="L291" s="4" t="s">
        <v>41</v>
      </c>
      <c r="M291" s="4" t="s">
        <v>1816</v>
      </c>
      <c r="N291" s="10">
        <f t="shared" si="17"/>
        <v>186000</v>
      </c>
      <c r="O291" s="15">
        <f t="shared" si="18"/>
        <v>0</v>
      </c>
      <c r="P291" s="10">
        <v>35340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221340</v>
      </c>
      <c r="AG291" s="4" t="s">
        <v>45</v>
      </c>
      <c r="AH291" s="4" t="s">
        <v>1817</v>
      </c>
    </row>
    <row r="292" spans="1:34" s="4" customFormat="1">
      <c r="A292" s="4" t="s">
        <v>32</v>
      </c>
      <c r="B292" s="4" t="s">
        <v>2295</v>
      </c>
      <c r="C292" s="4" t="s">
        <v>2296</v>
      </c>
      <c r="D292" s="4" t="s">
        <v>2061</v>
      </c>
      <c r="E292" s="4" t="s">
        <v>36</v>
      </c>
      <c r="F292" s="4" t="s">
        <v>37</v>
      </c>
      <c r="G292" s="4" t="s">
        <v>1861</v>
      </c>
      <c r="H292" s="4" t="s">
        <v>2297</v>
      </c>
      <c r="I292" s="4" t="s">
        <v>2298</v>
      </c>
      <c r="J292" s="4" t="s">
        <v>335</v>
      </c>
      <c r="K292" s="4" t="s">
        <v>336</v>
      </c>
      <c r="L292" s="4" t="s">
        <v>41</v>
      </c>
      <c r="M292" s="4" t="s">
        <v>1816</v>
      </c>
      <c r="N292" s="10">
        <f t="shared" si="17"/>
        <v>297000</v>
      </c>
      <c r="O292" s="15">
        <f t="shared" si="18"/>
        <v>0</v>
      </c>
      <c r="P292" s="10">
        <v>56430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353430</v>
      </c>
      <c r="AG292" s="4" t="s">
        <v>45</v>
      </c>
      <c r="AH292" s="4" t="s">
        <v>1817</v>
      </c>
    </row>
    <row r="293" spans="1:34" s="4" customFormat="1">
      <c r="A293" s="4" t="s">
        <v>32</v>
      </c>
      <c r="B293" s="4" t="s">
        <v>2299</v>
      </c>
      <c r="C293" s="4" t="s">
        <v>2300</v>
      </c>
      <c r="D293" s="4" t="s">
        <v>2061</v>
      </c>
      <c r="E293" s="4" t="s">
        <v>36</v>
      </c>
      <c r="F293" s="4" t="s">
        <v>37</v>
      </c>
      <c r="G293" s="4" t="s">
        <v>1861</v>
      </c>
      <c r="H293" s="4" t="s">
        <v>2297</v>
      </c>
      <c r="I293" s="4" t="s">
        <v>2301</v>
      </c>
      <c r="J293" s="4" t="s">
        <v>335</v>
      </c>
      <c r="K293" s="4" t="s">
        <v>336</v>
      </c>
      <c r="L293" s="4" t="s">
        <v>41</v>
      </c>
      <c r="M293" s="4" t="s">
        <v>1816</v>
      </c>
      <c r="N293" s="10">
        <f t="shared" si="17"/>
        <v>124000</v>
      </c>
      <c r="O293" s="15">
        <f t="shared" si="18"/>
        <v>0</v>
      </c>
      <c r="P293" s="10">
        <v>23560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147560</v>
      </c>
      <c r="AG293" s="4" t="s">
        <v>45</v>
      </c>
      <c r="AH293" s="4" t="s">
        <v>1817</v>
      </c>
    </row>
    <row r="294" spans="1:34" s="4" customFormat="1">
      <c r="A294" s="4" t="s">
        <v>32</v>
      </c>
      <c r="B294" s="4" t="s">
        <v>2361</v>
      </c>
      <c r="C294" s="4" t="s">
        <v>2362</v>
      </c>
      <c r="D294" s="4" t="s">
        <v>2061</v>
      </c>
      <c r="E294" s="4" t="s">
        <v>36</v>
      </c>
      <c r="F294" s="4" t="s">
        <v>37</v>
      </c>
      <c r="G294" s="4" t="s">
        <v>1861</v>
      </c>
      <c r="H294" s="4" t="s">
        <v>1338</v>
      </c>
      <c r="I294" s="4" t="s">
        <v>2363</v>
      </c>
      <c r="J294" s="4" t="s">
        <v>335</v>
      </c>
      <c r="K294" s="4" t="s">
        <v>336</v>
      </c>
      <c r="L294" s="4" t="s">
        <v>41</v>
      </c>
      <c r="M294" s="4" t="s">
        <v>1816</v>
      </c>
      <c r="N294" s="10">
        <f t="shared" si="17"/>
        <v>224000</v>
      </c>
      <c r="O294" s="15">
        <f t="shared" si="18"/>
        <v>0</v>
      </c>
      <c r="P294" s="10">
        <v>42560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266560</v>
      </c>
      <c r="AG294" s="4" t="s">
        <v>45</v>
      </c>
      <c r="AH294" s="4" t="s">
        <v>1817</v>
      </c>
    </row>
    <row r="295" spans="1:34" s="4" customFormat="1">
      <c r="A295" s="4" t="s">
        <v>32</v>
      </c>
      <c r="B295" s="4" t="s">
        <v>2364</v>
      </c>
      <c r="C295" s="4" t="s">
        <v>2365</v>
      </c>
      <c r="D295" s="4" t="s">
        <v>2061</v>
      </c>
      <c r="E295" s="4" t="s">
        <v>36</v>
      </c>
      <c r="F295" s="4" t="s">
        <v>37</v>
      </c>
      <c r="G295" s="4" t="s">
        <v>1861</v>
      </c>
      <c r="H295" s="4" t="s">
        <v>1535</v>
      </c>
      <c r="I295" s="4" t="s">
        <v>2366</v>
      </c>
      <c r="J295" s="4" t="s">
        <v>335</v>
      </c>
      <c r="K295" s="4" t="s">
        <v>336</v>
      </c>
      <c r="L295" s="4" t="s">
        <v>41</v>
      </c>
      <c r="M295" s="4" t="s">
        <v>1816</v>
      </c>
      <c r="N295" s="10">
        <f t="shared" si="17"/>
        <v>111000</v>
      </c>
      <c r="O295" s="15">
        <f t="shared" si="18"/>
        <v>0</v>
      </c>
      <c r="P295" s="10">
        <v>21090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132090</v>
      </c>
      <c r="AG295" s="4" t="s">
        <v>45</v>
      </c>
      <c r="AH295" s="4" t="s">
        <v>1817</v>
      </c>
    </row>
    <row r="296" spans="1:34" s="4" customFormat="1">
      <c r="A296" s="4" t="s">
        <v>32</v>
      </c>
      <c r="B296" s="4" t="s">
        <v>3099</v>
      </c>
      <c r="C296" s="4" t="s">
        <v>3100</v>
      </c>
      <c r="D296" s="4" t="s">
        <v>2061</v>
      </c>
      <c r="E296" s="4" t="s">
        <v>36</v>
      </c>
      <c r="F296" s="4" t="s">
        <v>37</v>
      </c>
      <c r="G296" s="4" t="s">
        <v>1861</v>
      </c>
      <c r="H296" s="4" t="s">
        <v>1362</v>
      </c>
      <c r="I296" s="4" t="s">
        <v>3101</v>
      </c>
      <c r="J296" s="4" t="s">
        <v>335</v>
      </c>
      <c r="K296" s="4" t="s">
        <v>336</v>
      </c>
      <c r="L296" s="4" t="s">
        <v>41</v>
      </c>
      <c r="M296" s="4" t="s">
        <v>1816</v>
      </c>
      <c r="N296" s="10">
        <f t="shared" si="17"/>
        <v>124000</v>
      </c>
      <c r="O296" s="15">
        <f t="shared" si="18"/>
        <v>0</v>
      </c>
      <c r="P296" s="10">
        <v>23560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147560</v>
      </c>
      <c r="AG296" s="4" t="s">
        <v>45</v>
      </c>
      <c r="AH296" s="4" t="s">
        <v>1817</v>
      </c>
    </row>
    <row r="297" spans="1:34" s="4" customFormat="1">
      <c r="A297" s="4" t="s">
        <v>32</v>
      </c>
      <c r="B297" s="4" t="s">
        <v>3204</v>
      </c>
      <c r="C297" s="4" t="s">
        <v>3205</v>
      </c>
      <c r="D297" s="4" t="s">
        <v>2061</v>
      </c>
      <c r="E297" s="4" t="s">
        <v>36</v>
      </c>
      <c r="H297" s="4" t="s">
        <v>3202</v>
      </c>
      <c r="I297" s="4" t="s">
        <v>3206</v>
      </c>
      <c r="J297" s="4" t="s">
        <v>335</v>
      </c>
      <c r="K297" s="4" t="s">
        <v>336</v>
      </c>
      <c r="L297" s="4" t="s">
        <v>41</v>
      </c>
      <c r="M297" s="4" t="s">
        <v>1816</v>
      </c>
      <c r="N297" s="10">
        <f t="shared" si="17"/>
        <v>297000</v>
      </c>
      <c r="O297" s="15">
        <f t="shared" si="18"/>
        <v>0</v>
      </c>
      <c r="P297" s="10">
        <v>56430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353430</v>
      </c>
      <c r="AG297" s="4" t="s">
        <v>45</v>
      </c>
      <c r="AH297" s="4" t="s">
        <v>1817</v>
      </c>
    </row>
    <row r="298" spans="1:34" s="4" customFormat="1">
      <c r="A298" s="4" t="s">
        <v>32</v>
      </c>
      <c r="B298" s="4" t="s">
        <v>3236</v>
      </c>
      <c r="C298" s="4" t="s">
        <v>3237</v>
      </c>
      <c r="D298" s="4" t="s">
        <v>2061</v>
      </c>
      <c r="E298" s="4" t="s">
        <v>36</v>
      </c>
      <c r="H298" s="4" t="s">
        <v>1695</v>
      </c>
      <c r="I298" s="4" t="s">
        <v>3238</v>
      </c>
      <c r="J298" s="4" t="s">
        <v>335</v>
      </c>
      <c r="K298" s="4" t="s">
        <v>336</v>
      </c>
      <c r="L298" s="4" t="s">
        <v>41</v>
      </c>
      <c r="M298" s="4" t="s">
        <v>1816</v>
      </c>
      <c r="N298" s="10">
        <f t="shared" si="17"/>
        <v>2077000</v>
      </c>
      <c r="O298" s="15">
        <f t="shared" si="18"/>
        <v>0</v>
      </c>
      <c r="P298" s="10">
        <v>394630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2471630</v>
      </c>
      <c r="AG298" s="4" t="s">
        <v>45</v>
      </c>
      <c r="AH298" s="4" t="s">
        <v>1817</v>
      </c>
    </row>
    <row r="299" spans="1:34" s="4" customFormat="1">
      <c r="A299" s="4" t="s">
        <v>32</v>
      </c>
      <c r="B299" s="4" t="s">
        <v>3174</v>
      </c>
      <c r="C299" s="4" t="s">
        <v>3175</v>
      </c>
      <c r="D299" s="4" t="s">
        <v>2061</v>
      </c>
      <c r="E299" s="4" t="s">
        <v>36</v>
      </c>
      <c r="H299" s="4" t="s">
        <v>3176</v>
      </c>
      <c r="I299" s="4" t="s">
        <v>3177</v>
      </c>
      <c r="J299" s="4" t="s">
        <v>335</v>
      </c>
      <c r="K299" s="4" t="s">
        <v>336</v>
      </c>
      <c r="L299" s="4" t="s">
        <v>41</v>
      </c>
      <c r="M299" s="4" t="s">
        <v>1816</v>
      </c>
      <c r="N299" s="10">
        <f t="shared" si="17"/>
        <v>2305000</v>
      </c>
      <c r="O299" s="15">
        <f t="shared" si="18"/>
        <v>0</v>
      </c>
      <c r="P299" s="10">
        <v>437950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2742950</v>
      </c>
      <c r="AG299" s="4" t="s">
        <v>45</v>
      </c>
      <c r="AH299" s="4" t="s">
        <v>1817</v>
      </c>
    </row>
    <row r="300" spans="1:34" s="4" customFormat="1">
      <c r="A300" s="4" t="s">
        <v>32</v>
      </c>
      <c r="B300" s="4" t="s">
        <v>3346</v>
      </c>
      <c r="C300" s="4" t="s">
        <v>3347</v>
      </c>
      <c r="D300" s="4" t="s">
        <v>3348</v>
      </c>
      <c r="E300" s="4" t="s">
        <v>36</v>
      </c>
      <c r="H300" s="4" t="s">
        <v>1584</v>
      </c>
      <c r="I300" s="4" t="s">
        <v>3349</v>
      </c>
      <c r="J300" s="4" t="s">
        <v>3350</v>
      </c>
      <c r="K300" s="4" t="s">
        <v>3351</v>
      </c>
      <c r="L300" s="4" t="s">
        <v>41</v>
      </c>
      <c r="M300" s="4" t="s">
        <v>3352</v>
      </c>
      <c r="N300" s="10">
        <f t="shared" si="17"/>
        <v>463156.00000000006</v>
      </c>
      <c r="O300" s="15">
        <f t="shared" si="18"/>
        <v>0.35999999994237442</v>
      </c>
      <c r="P300" s="10">
        <v>87999.64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551156</v>
      </c>
      <c r="AG300" s="4" t="s">
        <v>45</v>
      </c>
      <c r="AH300" s="4" t="s">
        <v>1817</v>
      </c>
    </row>
    <row r="301" spans="1:34" s="4" customFormat="1">
      <c r="A301" s="4" t="s">
        <v>32</v>
      </c>
      <c r="B301" s="4" t="s">
        <v>2030</v>
      </c>
      <c r="C301" s="4" t="s">
        <v>2031</v>
      </c>
      <c r="D301" s="4" t="s">
        <v>1850</v>
      </c>
      <c r="E301" s="4" t="s">
        <v>36</v>
      </c>
      <c r="F301" s="4" t="s">
        <v>37</v>
      </c>
      <c r="G301" s="4" t="s">
        <v>157</v>
      </c>
      <c r="H301" s="4" t="s">
        <v>2032</v>
      </c>
      <c r="I301" s="4" t="s">
        <v>2033</v>
      </c>
      <c r="J301" s="4" t="s">
        <v>216</v>
      </c>
      <c r="K301" s="4" t="s">
        <v>217</v>
      </c>
      <c r="L301" s="4" t="s">
        <v>41</v>
      </c>
      <c r="M301" s="4" t="s">
        <v>42</v>
      </c>
      <c r="N301" s="10">
        <f t="shared" si="17"/>
        <v>447000</v>
      </c>
      <c r="O301" s="15">
        <f t="shared" si="18"/>
        <v>0</v>
      </c>
      <c r="P301" s="10">
        <v>84930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531930</v>
      </c>
      <c r="AG301" s="4" t="s">
        <v>45</v>
      </c>
      <c r="AH301" s="4" t="s">
        <v>1817</v>
      </c>
    </row>
    <row r="302" spans="1:34" s="4" customFormat="1">
      <c r="A302" s="4" t="s">
        <v>32</v>
      </c>
      <c r="B302" s="4" t="s">
        <v>2167</v>
      </c>
      <c r="C302" s="4" t="s">
        <v>2168</v>
      </c>
      <c r="D302" s="4" t="s">
        <v>1850</v>
      </c>
      <c r="E302" s="4" t="s">
        <v>36</v>
      </c>
      <c r="F302" s="4" t="s">
        <v>37</v>
      </c>
      <c r="G302" s="4" t="s">
        <v>157</v>
      </c>
      <c r="H302" s="4" t="s">
        <v>2169</v>
      </c>
      <c r="I302" s="4" t="s">
        <v>2170</v>
      </c>
      <c r="J302" s="4" t="s">
        <v>216</v>
      </c>
      <c r="K302" s="4" t="s">
        <v>217</v>
      </c>
      <c r="L302" s="4" t="s">
        <v>41</v>
      </c>
      <c r="M302" s="4" t="s">
        <v>42</v>
      </c>
      <c r="N302" s="10">
        <f t="shared" si="17"/>
        <v>390000</v>
      </c>
      <c r="O302" s="15">
        <f t="shared" si="18"/>
        <v>0</v>
      </c>
      <c r="P302" s="10">
        <v>74100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464100</v>
      </c>
      <c r="AG302" s="4" t="s">
        <v>45</v>
      </c>
      <c r="AH302" s="4" t="s">
        <v>1817</v>
      </c>
    </row>
    <row r="303" spans="1:34" s="4" customFormat="1">
      <c r="A303" s="4" t="s">
        <v>32</v>
      </c>
      <c r="B303" s="4" t="s">
        <v>2174</v>
      </c>
      <c r="C303" s="4" t="s">
        <v>2175</v>
      </c>
      <c r="D303" s="4" t="s">
        <v>1850</v>
      </c>
      <c r="E303" s="4" t="s">
        <v>36</v>
      </c>
      <c r="F303" s="4" t="s">
        <v>37</v>
      </c>
      <c r="G303" s="4" t="s">
        <v>157</v>
      </c>
      <c r="H303" s="4" t="s">
        <v>704</v>
      </c>
      <c r="I303" s="4" t="s">
        <v>2176</v>
      </c>
      <c r="J303" s="4" t="s">
        <v>216</v>
      </c>
      <c r="K303" s="4" t="s">
        <v>217</v>
      </c>
      <c r="L303" s="4" t="s">
        <v>41</v>
      </c>
      <c r="M303" s="4" t="s">
        <v>42</v>
      </c>
      <c r="N303" s="10">
        <f t="shared" si="17"/>
        <v>308000</v>
      </c>
      <c r="O303" s="15">
        <f t="shared" si="18"/>
        <v>0</v>
      </c>
      <c r="P303" s="10">
        <v>58520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366520</v>
      </c>
      <c r="AG303" s="4" t="s">
        <v>45</v>
      </c>
      <c r="AH303" s="4" t="s">
        <v>1817</v>
      </c>
    </row>
    <row r="304" spans="1:34" s="4" customFormat="1">
      <c r="A304" s="4" t="s">
        <v>32</v>
      </c>
      <c r="B304" s="4" t="s">
        <v>2199</v>
      </c>
      <c r="C304" s="4" t="s">
        <v>2200</v>
      </c>
      <c r="D304" s="4" t="s">
        <v>1850</v>
      </c>
      <c r="E304" s="4" t="s">
        <v>36</v>
      </c>
      <c r="F304" s="4" t="s">
        <v>37</v>
      </c>
      <c r="G304" s="4" t="s">
        <v>157</v>
      </c>
      <c r="H304" s="4" t="s">
        <v>2194</v>
      </c>
      <c r="I304" s="4" t="s">
        <v>2201</v>
      </c>
      <c r="J304" s="4" t="s">
        <v>216</v>
      </c>
      <c r="K304" s="4" t="s">
        <v>217</v>
      </c>
      <c r="L304" s="4" t="s">
        <v>41</v>
      </c>
      <c r="M304" s="4" t="s">
        <v>42</v>
      </c>
      <c r="N304" s="10">
        <f t="shared" si="17"/>
        <v>498000</v>
      </c>
      <c r="O304" s="15">
        <f t="shared" si="18"/>
        <v>0</v>
      </c>
      <c r="P304" s="10">
        <v>94620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592620</v>
      </c>
      <c r="AG304" s="4" t="s">
        <v>45</v>
      </c>
      <c r="AH304" s="4" t="s">
        <v>1817</v>
      </c>
    </row>
    <row r="305" spans="1:34" s="4" customFormat="1">
      <c r="A305" s="4" t="s">
        <v>32</v>
      </c>
      <c r="B305" s="4" t="s">
        <v>2213</v>
      </c>
      <c r="C305" s="4" t="s">
        <v>2214</v>
      </c>
      <c r="D305" s="4" t="s">
        <v>1850</v>
      </c>
      <c r="E305" s="4" t="s">
        <v>36</v>
      </c>
      <c r="F305" s="4" t="s">
        <v>37</v>
      </c>
      <c r="G305" s="4" t="s">
        <v>157</v>
      </c>
      <c r="H305" s="4" t="s">
        <v>2215</v>
      </c>
      <c r="I305" s="4" t="s">
        <v>2216</v>
      </c>
      <c r="J305" s="4" t="s">
        <v>216</v>
      </c>
      <c r="K305" s="4" t="s">
        <v>217</v>
      </c>
      <c r="L305" s="4" t="s">
        <v>41</v>
      </c>
      <c r="M305" s="4" t="s">
        <v>42</v>
      </c>
      <c r="N305" s="10">
        <f t="shared" si="17"/>
        <v>109000</v>
      </c>
      <c r="O305" s="15">
        <f t="shared" si="18"/>
        <v>0</v>
      </c>
      <c r="P305" s="10">
        <v>20710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129710</v>
      </c>
      <c r="AG305" s="4" t="s">
        <v>45</v>
      </c>
      <c r="AH305" s="4" t="s">
        <v>1817</v>
      </c>
    </row>
    <row r="306" spans="1:34" s="4" customFormat="1">
      <c r="A306" s="4" t="s">
        <v>32</v>
      </c>
      <c r="B306" s="4" t="s">
        <v>2237</v>
      </c>
      <c r="C306" s="4" t="s">
        <v>2238</v>
      </c>
      <c r="D306" s="4" t="s">
        <v>1850</v>
      </c>
      <c r="E306" s="4" t="s">
        <v>36</v>
      </c>
      <c r="F306" s="4" t="s">
        <v>37</v>
      </c>
      <c r="G306" s="4" t="s">
        <v>157</v>
      </c>
      <c r="H306" s="4" t="s">
        <v>2235</v>
      </c>
      <c r="I306" s="4" t="s">
        <v>2239</v>
      </c>
      <c r="J306" s="4" t="s">
        <v>216</v>
      </c>
      <c r="K306" s="4" t="s">
        <v>217</v>
      </c>
      <c r="L306" s="4" t="s">
        <v>41</v>
      </c>
      <c r="M306" s="4" t="s">
        <v>42</v>
      </c>
      <c r="N306" s="10">
        <f t="shared" si="17"/>
        <v>390000</v>
      </c>
      <c r="O306" s="15">
        <f t="shared" si="18"/>
        <v>0</v>
      </c>
      <c r="P306" s="10">
        <v>74100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464100</v>
      </c>
      <c r="AG306" s="4" t="s">
        <v>45</v>
      </c>
      <c r="AH306" s="4" t="s">
        <v>1817</v>
      </c>
    </row>
    <row r="307" spans="1:34" s="4" customFormat="1">
      <c r="A307" s="4" t="s">
        <v>32</v>
      </c>
      <c r="B307" s="4" t="s">
        <v>2240</v>
      </c>
      <c r="C307" s="4" t="s">
        <v>2241</v>
      </c>
      <c r="D307" s="4" t="s">
        <v>1850</v>
      </c>
      <c r="E307" s="4" t="s">
        <v>36</v>
      </c>
      <c r="F307" s="4" t="s">
        <v>37</v>
      </c>
      <c r="G307" s="4" t="s">
        <v>157</v>
      </c>
      <c r="H307" s="4" t="s">
        <v>954</v>
      </c>
      <c r="I307" s="4" t="s">
        <v>2242</v>
      </c>
      <c r="J307" s="4" t="s">
        <v>216</v>
      </c>
      <c r="K307" s="4" t="s">
        <v>217</v>
      </c>
      <c r="L307" s="4" t="s">
        <v>41</v>
      </c>
      <c r="M307" s="4" t="s">
        <v>42</v>
      </c>
      <c r="N307" s="10">
        <f t="shared" si="17"/>
        <v>58000</v>
      </c>
      <c r="O307" s="15">
        <f t="shared" si="18"/>
        <v>0</v>
      </c>
      <c r="P307" s="10">
        <v>11020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69020</v>
      </c>
      <c r="AG307" s="4" t="s">
        <v>45</v>
      </c>
      <c r="AH307" s="4" t="s">
        <v>1817</v>
      </c>
    </row>
    <row r="308" spans="1:34" s="4" customFormat="1">
      <c r="A308" s="4" t="s">
        <v>32</v>
      </c>
      <c r="B308" s="4" t="s">
        <v>2255</v>
      </c>
      <c r="C308" s="4" t="s">
        <v>2256</v>
      </c>
      <c r="D308" s="4" t="s">
        <v>1850</v>
      </c>
      <c r="E308" s="4" t="s">
        <v>36</v>
      </c>
      <c r="F308" s="4" t="s">
        <v>37</v>
      </c>
      <c r="G308" s="4" t="s">
        <v>157</v>
      </c>
      <c r="H308" s="4" t="s">
        <v>2253</v>
      </c>
      <c r="I308" s="4" t="s">
        <v>2257</v>
      </c>
      <c r="J308" s="4" t="s">
        <v>216</v>
      </c>
      <c r="K308" s="4" t="s">
        <v>217</v>
      </c>
      <c r="L308" s="4" t="s">
        <v>41</v>
      </c>
      <c r="M308" s="4" t="s">
        <v>42</v>
      </c>
      <c r="N308" s="10">
        <f t="shared" si="17"/>
        <v>539000</v>
      </c>
      <c r="O308" s="15">
        <f t="shared" si="18"/>
        <v>0</v>
      </c>
      <c r="P308" s="10">
        <v>102410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641410</v>
      </c>
      <c r="AG308" s="4" t="s">
        <v>45</v>
      </c>
      <c r="AH308" s="4" t="s">
        <v>1817</v>
      </c>
    </row>
    <row r="309" spans="1:34" s="4" customFormat="1">
      <c r="A309" s="4" t="s">
        <v>32</v>
      </c>
      <c r="B309" s="4" t="s">
        <v>2268</v>
      </c>
      <c r="C309" s="4" t="s">
        <v>2269</v>
      </c>
      <c r="D309" s="4" t="s">
        <v>1850</v>
      </c>
      <c r="E309" s="4" t="s">
        <v>36</v>
      </c>
      <c r="F309" s="4" t="s">
        <v>37</v>
      </c>
      <c r="G309" s="4" t="s">
        <v>157</v>
      </c>
      <c r="H309" s="4" t="s">
        <v>2270</v>
      </c>
      <c r="I309" s="4" t="s">
        <v>2271</v>
      </c>
      <c r="J309" s="4" t="s">
        <v>216</v>
      </c>
      <c r="K309" s="4" t="s">
        <v>217</v>
      </c>
      <c r="L309" s="4" t="s">
        <v>41</v>
      </c>
      <c r="M309" s="4" t="s">
        <v>42</v>
      </c>
      <c r="N309" s="10">
        <f t="shared" si="17"/>
        <v>27500</v>
      </c>
      <c r="O309" s="15">
        <f t="shared" si="18"/>
        <v>0</v>
      </c>
      <c r="P309" s="10">
        <v>5225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32725</v>
      </c>
      <c r="AG309" s="4" t="s">
        <v>45</v>
      </c>
      <c r="AH309" s="4" t="s">
        <v>1817</v>
      </c>
    </row>
    <row r="310" spans="1:34" s="4" customFormat="1">
      <c r="A310" s="4" t="s">
        <v>32</v>
      </c>
      <c r="B310" s="4" t="s">
        <v>2287</v>
      </c>
      <c r="C310" s="4" t="s">
        <v>2288</v>
      </c>
      <c r="D310" s="4" t="s">
        <v>1850</v>
      </c>
      <c r="E310" s="4" t="s">
        <v>36</v>
      </c>
      <c r="F310" s="4" t="s">
        <v>37</v>
      </c>
      <c r="G310" s="4" t="s">
        <v>157</v>
      </c>
      <c r="H310" s="4" t="s">
        <v>2289</v>
      </c>
      <c r="I310" s="4" t="s">
        <v>2290</v>
      </c>
      <c r="J310" s="4" t="s">
        <v>216</v>
      </c>
      <c r="K310" s="4" t="s">
        <v>217</v>
      </c>
      <c r="L310" s="4" t="s">
        <v>41</v>
      </c>
      <c r="M310" s="4" t="s">
        <v>42</v>
      </c>
      <c r="N310" s="10">
        <f t="shared" si="17"/>
        <v>427500</v>
      </c>
      <c r="O310" s="15">
        <f t="shared" si="18"/>
        <v>0</v>
      </c>
      <c r="P310" s="10">
        <v>81225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508725</v>
      </c>
      <c r="AG310" s="4" t="s">
        <v>45</v>
      </c>
      <c r="AH310" s="4" t="s">
        <v>1817</v>
      </c>
    </row>
    <row r="311" spans="1:34" s="4" customFormat="1">
      <c r="A311" s="4" t="s">
        <v>32</v>
      </c>
      <c r="B311" s="4" t="s">
        <v>2306</v>
      </c>
      <c r="C311" s="4" t="s">
        <v>2307</v>
      </c>
      <c r="D311" s="4" t="s">
        <v>1850</v>
      </c>
      <c r="E311" s="4" t="s">
        <v>36</v>
      </c>
      <c r="F311" s="4" t="s">
        <v>37</v>
      </c>
      <c r="G311" s="4" t="s">
        <v>157</v>
      </c>
      <c r="H311" s="4" t="s">
        <v>1181</v>
      </c>
      <c r="I311" s="4" t="s">
        <v>2308</v>
      </c>
      <c r="J311" s="4" t="s">
        <v>216</v>
      </c>
      <c r="K311" s="4" t="s">
        <v>217</v>
      </c>
      <c r="L311" s="4" t="s">
        <v>41</v>
      </c>
      <c r="M311" s="4" t="s">
        <v>42</v>
      </c>
      <c r="N311" s="10">
        <f t="shared" si="17"/>
        <v>27500</v>
      </c>
      <c r="O311" s="15">
        <f t="shared" si="18"/>
        <v>0</v>
      </c>
      <c r="P311" s="10">
        <v>5225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32725</v>
      </c>
      <c r="AG311" s="4" t="s">
        <v>45</v>
      </c>
      <c r="AH311" s="4" t="s">
        <v>1817</v>
      </c>
    </row>
    <row r="312" spans="1:34" s="4" customFormat="1">
      <c r="A312" s="4" t="s">
        <v>32</v>
      </c>
      <c r="B312" s="4" t="s">
        <v>2323</v>
      </c>
      <c r="C312" s="4" t="s">
        <v>2324</v>
      </c>
      <c r="D312" s="4" t="s">
        <v>1850</v>
      </c>
      <c r="E312" s="4" t="s">
        <v>36</v>
      </c>
      <c r="F312" s="4" t="s">
        <v>37</v>
      </c>
      <c r="G312" s="4" t="s">
        <v>157</v>
      </c>
      <c r="H312" s="4" t="s">
        <v>2325</v>
      </c>
      <c r="I312" s="4" t="s">
        <v>2326</v>
      </c>
      <c r="J312" s="4" t="s">
        <v>216</v>
      </c>
      <c r="K312" s="4" t="s">
        <v>217</v>
      </c>
      <c r="L312" s="4" t="s">
        <v>41</v>
      </c>
      <c r="M312" s="4" t="s">
        <v>42</v>
      </c>
      <c r="N312" s="10">
        <f t="shared" si="17"/>
        <v>451000</v>
      </c>
      <c r="O312" s="15">
        <f t="shared" si="18"/>
        <v>0</v>
      </c>
      <c r="P312" s="10">
        <v>85690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536690</v>
      </c>
      <c r="AG312" s="4" t="s">
        <v>45</v>
      </c>
      <c r="AH312" s="4" t="s">
        <v>1817</v>
      </c>
    </row>
    <row r="313" spans="1:34" s="4" customFormat="1">
      <c r="A313" s="4" t="s">
        <v>32</v>
      </c>
      <c r="B313" s="4" t="s">
        <v>2343</v>
      </c>
      <c r="C313" s="4" t="s">
        <v>2344</v>
      </c>
      <c r="D313" s="4" t="s">
        <v>1850</v>
      </c>
      <c r="E313" s="4" t="s">
        <v>36</v>
      </c>
      <c r="F313" s="4" t="s">
        <v>37</v>
      </c>
      <c r="G313" s="4" t="s">
        <v>157</v>
      </c>
      <c r="H313" s="4" t="s">
        <v>693</v>
      </c>
      <c r="I313" s="4" t="s">
        <v>2345</v>
      </c>
      <c r="J313" s="4" t="s">
        <v>216</v>
      </c>
      <c r="K313" s="4" t="s">
        <v>217</v>
      </c>
      <c r="L313" s="4" t="s">
        <v>41</v>
      </c>
      <c r="M313" s="4" t="s">
        <v>42</v>
      </c>
      <c r="N313" s="10">
        <f t="shared" si="17"/>
        <v>417000</v>
      </c>
      <c r="O313" s="15">
        <f t="shared" si="18"/>
        <v>0</v>
      </c>
      <c r="P313" s="10">
        <v>79230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496230</v>
      </c>
      <c r="AG313" s="4" t="s">
        <v>45</v>
      </c>
      <c r="AH313" s="4" t="s">
        <v>1817</v>
      </c>
    </row>
    <row r="314" spans="1:34" s="4" customFormat="1">
      <c r="A314" s="4" t="s">
        <v>32</v>
      </c>
      <c r="B314" s="4" t="s">
        <v>2350</v>
      </c>
      <c r="C314" s="4" t="s">
        <v>2351</v>
      </c>
      <c r="D314" s="4" t="s">
        <v>1850</v>
      </c>
      <c r="E314" s="4" t="s">
        <v>36</v>
      </c>
      <c r="F314" s="4" t="s">
        <v>37</v>
      </c>
      <c r="G314" s="4" t="s">
        <v>157</v>
      </c>
      <c r="H314" s="4" t="s">
        <v>2352</v>
      </c>
      <c r="I314" s="4" t="s">
        <v>2353</v>
      </c>
      <c r="J314" s="4" t="s">
        <v>216</v>
      </c>
      <c r="K314" s="4" t="s">
        <v>217</v>
      </c>
      <c r="L314" s="4" t="s">
        <v>41</v>
      </c>
      <c r="M314" s="4" t="s">
        <v>42</v>
      </c>
      <c r="N314" s="10">
        <f t="shared" si="17"/>
        <v>236000</v>
      </c>
      <c r="O314" s="15">
        <f t="shared" si="18"/>
        <v>0</v>
      </c>
      <c r="P314" s="10">
        <v>44840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280840</v>
      </c>
      <c r="AG314" s="4" t="s">
        <v>45</v>
      </c>
      <c r="AH314" s="4" t="s">
        <v>1817</v>
      </c>
    </row>
    <row r="315" spans="1:34" s="4" customFormat="1">
      <c r="A315" s="4" t="s">
        <v>32</v>
      </c>
      <c r="B315" s="4" t="s">
        <v>2354</v>
      </c>
      <c r="C315" s="4" t="s">
        <v>2355</v>
      </c>
      <c r="D315" s="4" t="s">
        <v>1850</v>
      </c>
      <c r="E315" s="4" t="s">
        <v>36</v>
      </c>
      <c r="F315" s="4" t="s">
        <v>37</v>
      </c>
      <c r="G315" s="4" t="s">
        <v>157</v>
      </c>
      <c r="H315" s="4" t="s">
        <v>2356</v>
      </c>
      <c r="I315" s="4" t="s">
        <v>2357</v>
      </c>
      <c r="J315" s="4" t="s">
        <v>216</v>
      </c>
      <c r="K315" s="4" t="s">
        <v>217</v>
      </c>
      <c r="L315" s="4" t="s">
        <v>41</v>
      </c>
      <c r="M315" s="4" t="s">
        <v>42</v>
      </c>
      <c r="N315" s="10">
        <f t="shared" si="17"/>
        <v>570000</v>
      </c>
      <c r="O315" s="15">
        <f t="shared" si="18"/>
        <v>0</v>
      </c>
      <c r="P315" s="10">
        <v>108300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678300</v>
      </c>
      <c r="AG315" s="4" t="s">
        <v>45</v>
      </c>
      <c r="AH315" s="4" t="s">
        <v>1817</v>
      </c>
    </row>
    <row r="316" spans="1:34" s="4" customFormat="1">
      <c r="A316" s="4" t="s">
        <v>32</v>
      </c>
      <c r="B316" s="4" t="s">
        <v>3111</v>
      </c>
      <c r="C316" s="4" t="s">
        <v>3112</v>
      </c>
      <c r="D316" s="4" t="s">
        <v>1850</v>
      </c>
      <c r="E316" s="4" t="s">
        <v>36</v>
      </c>
      <c r="H316" s="4" t="s">
        <v>3113</v>
      </c>
      <c r="I316" s="4" t="s">
        <v>3114</v>
      </c>
      <c r="J316" s="4" t="s">
        <v>216</v>
      </c>
      <c r="K316" s="4" t="s">
        <v>217</v>
      </c>
      <c r="L316" s="4" t="s">
        <v>41</v>
      </c>
      <c r="M316" s="4" t="s">
        <v>42</v>
      </c>
      <c r="N316" s="10">
        <f t="shared" si="17"/>
        <v>66000</v>
      </c>
      <c r="O316" s="15">
        <f t="shared" si="18"/>
        <v>0</v>
      </c>
      <c r="P316" s="10">
        <v>12540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78540</v>
      </c>
      <c r="AG316" s="4" t="s">
        <v>45</v>
      </c>
      <c r="AH316" s="4" t="s">
        <v>1817</v>
      </c>
    </row>
    <row r="317" spans="1:34" s="4" customFormat="1">
      <c r="A317" s="4" t="s">
        <v>32</v>
      </c>
      <c r="B317" s="4" t="s">
        <v>3312</v>
      </c>
      <c r="C317" s="4" t="s">
        <v>3313</v>
      </c>
      <c r="D317" s="4" t="s">
        <v>1850</v>
      </c>
      <c r="E317" s="4" t="s">
        <v>36</v>
      </c>
      <c r="H317" s="4" t="s">
        <v>3306</v>
      </c>
      <c r="I317" s="4" t="s">
        <v>3314</v>
      </c>
      <c r="J317" s="4" t="s">
        <v>216</v>
      </c>
      <c r="K317" s="4" t="s">
        <v>217</v>
      </c>
      <c r="L317" s="4" t="s">
        <v>41</v>
      </c>
      <c r="M317" s="4" t="s">
        <v>42</v>
      </c>
      <c r="N317" s="10">
        <f t="shared" si="17"/>
        <v>203000</v>
      </c>
      <c r="O317" s="15">
        <f t="shared" si="18"/>
        <v>0</v>
      </c>
      <c r="P317" s="10">
        <v>38570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241570</v>
      </c>
      <c r="AG317" s="4" t="s">
        <v>45</v>
      </c>
      <c r="AH317" s="4" t="s">
        <v>1817</v>
      </c>
    </row>
    <row r="318" spans="1:34" s="4" customFormat="1">
      <c r="A318" s="4" t="s">
        <v>32</v>
      </c>
      <c r="B318" s="4" t="s">
        <v>3125</v>
      </c>
      <c r="C318" s="4" t="s">
        <v>3126</v>
      </c>
      <c r="D318" s="4" t="s">
        <v>1850</v>
      </c>
      <c r="E318" s="4" t="s">
        <v>36</v>
      </c>
      <c r="H318" s="4" t="s">
        <v>3123</v>
      </c>
      <c r="I318" s="4" t="s">
        <v>3127</v>
      </c>
      <c r="J318" s="4" t="s">
        <v>216</v>
      </c>
      <c r="K318" s="4" t="s">
        <v>217</v>
      </c>
      <c r="L318" s="4" t="s">
        <v>41</v>
      </c>
      <c r="M318" s="4" t="s">
        <v>42</v>
      </c>
      <c r="N318" s="10">
        <f t="shared" ref="N318:N381" si="19">+P318/19*100</f>
        <v>212000</v>
      </c>
      <c r="O318" s="15">
        <f t="shared" ref="O318:O381" si="20">+AF318-N318-P318</f>
        <v>0</v>
      </c>
      <c r="P318" s="10">
        <v>40280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252280</v>
      </c>
      <c r="AG318" s="4" t="s">
        <v>45</v>
      </c>
      <c r="AH318" s="4" t="s">
        <v>1817</v>
      </c>
    </row>
    <row r="319" spans="1:34" s="4" customFormat="1">
      <c r="A319" s="4" t="s">
        <v>32</v>
      </c>
      <c r="B319" s="4" t="s">
        <v>3118</v>
      </c>
      <c r="C319" s="4" t="s">
        <v>3119</v>
      </c>
      <c r="D319" s="4" t="s">
        <v>1850</v>
      </c>
      <c r="E319" s="4" t="s">
        <v>36</v>
      </c>
      <c r="H319" s="4" t="s">
        <v>1378</v>
      </c>
      <c r="I319" s="4" t="s">
        <v>3120</v>
      </c>
      <c r="J319" s="4" t="s">
        <v>216</v>
      </c>
      <c r="K319" s="4" t="s">
        <v>217</v>
      </c>
      <c r="L319" s="4" t="s">
        <v>41</v>
      </c>
      <c r="M319" s="4" t="s">
        <v>42</v>
      </c>
      <c r="N319" s="10">
        <f t="shared" si="19"/>
        <v>226000</v>
      </c>
      <c r="O319" s="15">
        <f t="shared" si="20"/>
        <v>0</v>
      </c>
      <c r="P319" s="10">
        <v>42940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268940</v>
      </c>
      <c r="AG319" s="4" t="s">
        <v>45</v>
      </c>
      <c r="AH319" s="4" t="s">
        <v>1817</v>
      </c>
    </row>
    <row r="320" spans="1:34" s="4" customFormat="1">
      <c r="A320" s="4" t="s">
        <v>32</v>
      </c>
      <c r="B320" s="4" t="s">
        <v>3215</v>
      </c>
      <c r="C320" s="4" t="s">
        <v>3216</v>
      </c>
      <c r="D320" s="4" t="s">
        <v>1850</v>
      </c>
      <c r="E320" s="4" t="s">
        <v>36</v>
      </c>
      <c r="H320" s="4" t="s">
        <v>3217</v>
      </c>
      <c r="I320" s="4" t="s">
        <v>3218</v>
      </c>
      <c r="J320" s="4" t="s">
        <v>216</v>
      </c>
      <c r="K320" s="4" t="s">
        <v>217</v>
      </c>
      <c r="L320" s="4" t="s">
        <v>41</v>
      </c>
      <c r="M320" s="4" t="s">
        <v>42</v>
      </c>
      <c r="N320" s="10">
        <f t="shared" si="19"/>
        <v>267000</v>
      </c>
      <c r="O320" s="15">
        <f t="shared" si="20"/>
        <v>0</v>
      </c>
      <c r="P320" s="10">
        <v>50730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317730</v>
      </c>
      <c r="AG320" s="4" t="s">
        <v>45</v>
      </c>
      <c r="AH320" s="4" t="s">
        <v>1817</v>
      </c>
    </row>
    <row r="321" spans="1:34" s="4" customFormat="1">
      <c r="A321" s="4" t="s">
        <v>32</v>
      </c>
      <c r="B321" s="4" t="s">
        <v>3343</v>
      </c>
      <c r="C321" s="4" t="s">
        <v>3344</v>
      </c>
      <c r="D321" s="4" t="s">
        <v>1850</v>
      </c>
      <c r="E321" s="4" t="s">
        <v>36</v>
      </c>
      <c r="H321" s="4" t="s">
        <v>1733</v>
      </c>
      <c r="I321" s="4" t="s">
        <v>3345</v>
      </c>
      <c r="J321" s="4" t="s">
        <v>216</v>
      </c>
      <c r="K321" s="4" t="s">
        <v>217</v>
      </c>
      <c r="L321" s="4" t="s">
        <v>41</v>
      </c>
      <c r="M321" s="4" t="s">
        <v>42</v>
      </c>
      <c r="N321" s="10">
        <f t="shared" si="19"/>
        <v>316500</v>
      </c>
      <c r="O321" s="15">
        <f t="shared" si="20"/>
        <v>0</v>
      </c>
      <c r="P321" s="10">
        <v>60135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376635</v>
      </c>
      <c r="AG321" s="4" t="s">
        <v>45</v>
      </c>
      <c r="AH321" s="4" t="s">
        <v>1817</v>
      </c>
    </row>
    <row r="322" spans="1:34" s="4" customFormat="1">
      <c r="A322" s="4" t="s">
        <v>32</v>
      </c>
      <c r="B322" s="4" t="s">
        <v>3295</v>
      </c>
      <c r="C322" s="4" t="s">
        <v>3296</v>
      </c>
      <c r="D322" s="4" t="s">
        <v>3022</v>
      </c>
      <c r="E322" s="4" t="s">
        <v>36</v>
      </c>
      <c r="H322" s="4" t="s">
        <v>3293</v>
      </c>
      <c r="I322" s="4" t="s">
        <v>3297</v>
      </c>
      <c r="J322" s="4" t="s">
        <v>3025</v>
      </c>
      <c r="K322" s="4" t="s">
        <v>3026</v>
      </c>
      <c r="L322" s="4" t="s">
        <v>41</v>
      </c>
      <c r="M322" s="4" t="s">
        <v>42</v>
      </c>
      <c r="N322" s="10">
        <f t="shared" si="19"/>
        <v>46221.052631578947</v>
      </c>
      <c r="O322" s="15">
        <f t="shared" si="20"/>
        <v>-2.0526315789466025</v>
      </c>
      <c r="P322" s="10">
        <v>8782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55001</v>
      </c>
      <c r="AG322" s="4" t="s">
        <v>45</v>
      </c>
      <c r="AH322" s="4" t="s">
        <v>1817</v>
      </c>
    </row>
    <row r="323" spans="1:34" s="4" customFormat="1">
      <c r="A323" s="4" t="s">
        <v>32</v>
      </c>
      <c r="B323" s="4" t="s">
        <v>3020</v>
      </c>
      <c r="C323" s="4" t="s">
        <v>3021</v>
      </c>
      <c r="D323" s="4" t="s">
        <v>3022</v>
      </c>
      <c r="E323" s="4" t="s">
        <v>36</v>
      </c>
      <c r="F323" s="4" t="s">
        <v>470</v>
      </c>
      <c r="G323" s="4" t="s">
        <v>3023</v>
      </c>
      <c r="H323" s="4" t="s">
        <v>1384</v>
      </c>
      <c r="I323" s="4" t="s">
        <v>3024</v>
      </c>
      <c r="J323" s="4" t="s">
        <v>3025</v>
      </c>
      <c r="K323" s="4" t="s">
        <v>3026</v>
      </c>
      <c r="L323" s="4" t="s">
        <v>41</v>
      </c>
      <c r="M323" s="4" t="s">
        <v>42</v>
      </c>
      <c r="N323" s="10">
        <f t="shared" si="19"/>
        <v>883363.15789473685</v>
      </c>
      <c r="O323" s="15">
        <f t="shared" si="20"/>
        <v>8798.8421052631456</v>
      </c>
      <c r="P323" s="10">
        <v>167839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1060001</v>
      </c>
      <c r="AG323" s="4" t="s">
        <v>45</v>
      </c>
      <c r="AH323" s="4" t="s">
        <v>1817</v>
      </c>
    </row>
    <row r="324" spans="1:34" s="4" customFormat="1">
      <c r="A324" s="4" t="s">
        <v>32</v>
      </c>
      <c r="B324" s="4" t="s">
        <v>3277</v>
      </c>
      <c r="C324" s="4" t="s">
        <v>3278</v>
      </c>
      <c r="D324" s="4" t="s">
        <v>3022</v>
      </c>
      <c r="E324" s="4" t="s">
        <v>36</v>
      </c>
      <c r="H324" s="4" t="s">
        <v>1747</v>
      </c>
      <c r="I324" s="4" t="s">
        <v>3279</v>
      </c>
      <c r="J324" s="4" t="s">
        <v>3025</v>
      </c>
      <c r="K324" s="4" t="s">
        <v>3026</v>
      </c>
      <c r="L324" s="4" t="s">
        <v>41</v>
      </c>
      <c r="M324" s="4" t="s">
        <v>42</v>
      </c>
      <c r="N324" s="10">
        <f t="shared" si="19"/>
        <v>883363.15789473685</v>
      </c>
      <c r="O324" s="15">
        <f t="shared" si="20"/>
        <v>8798.8421052631456</v>
      </c>
      <c r="P324" s="10">
        <v>167839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1060001</v>
      </c>
      <c r="AG324" s="4" t="s">
        <v>45</v>
      </c>
      <c r="AH324" s="4" t="s">
        <v>1817</v>
      </c>
    </row>
    <row r="325" spans="1:34" s="4" customFormat="1">
      <c r="A325" s="4" t="s">
        <v>32</v>
      </c>
      <c r="B325" s="4" t="s">
        <v>1960</v>
      </c>
      <c r="C325" s="4" t="s">
        <v>1961</v>
      </c>
      <c r="D325" s="4" t="s">
        <v>1962</v>
      </c>
      <c r="E325" s="4" t="s">
        <v>36</v>
      </c>
      <c r="F325" s="4" t="s">
        <v>470</v>
      </c>
      <c r="G325" s="4" t="s">
        <v>157</v>
      </c>
      <c r="H325" s="4" t="s">
        <v>1956</v>
      </c>
      <c r="I325" s="4" t="s">
        <v>1963</v>
      </c>
      <c r="J325" s="4" t="s">
        <v>1964</v>
      </c>
      <c r="K325" s="4" t="s">
        <v>1965</v>
      </c>
      <c r="L325" s="4" t="s">
        <v>41</v>
      </c>
      <c r="M325" s="4" t="s">
        <v>1816</v>
      </c>
      <c r="N325" s="10">
        <f t="shared" si="19"/>
        <v>8663570</v>
      </c>
      <c r="O325" s="15">
        <f t="shared" si="20"/>
        <v>0</v>
      </c>
      <c r="P325" s="10">
        <v>1646078.3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10309648.300000001</v>
      </c>
      <c r="AG325" s="4" t="s">
        <v>45</v>
      </c>
      <c r="AH325" s="4" t="s">
        <v>1817</v>
      </c>
    </row>
    <row r="326" spans="1:34" s="4" customFormat="1">
      <c r="A326" s="4" t="s">
        <v>32</v>
      </c>
      <c r="B326" s="4" t="s">
        <v>1971</v>
      </c>
      <c r="C326" s="4" t="s">
        <v>1972</v>
      </c>
      <c r="D326" s="4" t="s">
        <v>1962</v>
      </c>
      <c r="E326" s="4" t="s">
        <v>36</v>
      </c>
      <c r="F326" s="4" t="s">
        <v>470</v>
      </c>
      <c r="G326" s="4" t="s">
        <v>157</v>
      </c>
      <c r="H326" s="4" t="s">
        <v>1973</v>
      </c>
      <c r="I326" s="4" t="s">
        <v>1974</v>
      </c>
      <c r="J326" s="4" t="s">
        <v>1964</v>
      </c>
      <c r="K326" s="4" t="s">
        <v>1965</v>
      </c>
      <c r="L326" s="4" t="s">
        <v>41</v>
      </c>
      <c r="M326" s="4" t="s">
        <v>1816</v>
      </c>
      <c r="N326" s="10">
        <f t="shared" si="19"/>
        <v>9623000</v>
      </c>
      <c r="O326" s="15">
        <f t="shared" si="20"/>
        <v>0</v>
      </c>
      <c r="P326" s="10">
        <v>1828370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11451370</v>
      </c>
      <c r="AG326" s="4" t="s">
        <v>45</v>
      </c>
      <c r="AH326" s="4" t="s">
        <v>1817</v>
      </c>
    </row>
    <row r="327" spans="1:34" s="4" customFormat="1">
      <c r="A327" s="4" t="s">
        <v>32</v>
      </c>
      <c r="B327" s="4" t="s">
        <v>1975</v>
      </c>
      <c r="C327" s="4" t="s">
        <v>1976</v>
      </c>
      <c r="D327" s="4" t="s">
        <v>1962</v>
      </c>
      <c r="E327" s="4" t="s">
        <v>36</v>
      </c>
      <c r="F327" s="4" t="s">
        <v>470</v>
      </c>
      <c r="G327" s="4" t="s">
        <v>157</v>
      </c>
      <c r="H327" s="4" t="s">
        <v>1973</v>
      </c>
      <c r="I327" s="4" t="s">
        <v>1977</v>
      </c>
      <c r="J327" s="4" t="s">
        <v>1964</v>
      </c>
      <c r="K327" s="4" t="s">
        <v>1965</v>
      </c>
      <c r="L327" s="4" t="s">
        <v>41</v>
      </c>
      <c r="M327" s="4" t="s">
        <v>1816</v>
      </c>
      <c r="N327" s="10">
        <f t="shared" si="19"/>
        <v>8350000</v>
      </c>
      <c r="O327" s="15">
        <f t="shared" si="20"/>
        <v>0</v>
      </c>
      <c r="P327" s="10">
        <v>1586500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9936500</v>
      </c>
      <c r="AG327" s="4" t="s">
        <v>45</v>
      </c>
      <c r="AH327" s="4" t="s">
        <v>1817</v>
      </c>
    </row>
    <row r="328" spans="1:34" s="4" customFormat="1">
      <c r="A328" s="4" t="s">
        <v>32</v>
      </c>
      <c r="B328" s="4" t="s">
        <v>2112</v>
      </c>
      <c r="C328" s="4" t="s">
        <v>2113</v>
      </c>
      <c r="D328" s="4" t="s">
        <v>1962</v>
      </c>
      <c r="E328" s="4" t="s">
        <v>36</v>
      </c>
      <c r="F328" s="4" t="s">
        <v>470</v>
      </c>
      <c r="G328" s="4" t="s">
        <v>157</v>
      </c>
      <c r="H328" s="4" t="s">
        <v>379</v>
      </c>
      <c r="I328" s="4" t="s">
        <v>2114</v>
      </c>
      <c r="J328" s="4" t="s">
        <v>1964</v>
      </c>
      <c r="K328" s="4" t="s">
        <v>1965</v>
      </c>
      <c r="L328" s="4" t="s">
        <v>41</v>
      </c>
      <c r="M328" s="4" t="s">
        <v>1816</v>
      </c>
      <c r="N328" s="10">
        <f t="shared" si="19"/>
        <v>7716000</v>
      </c>
      <c r="O328" s="15">
        <f t="shared" si="20"/>
        <v>0</v>
      </c>
      <c r="P328" s="10">
        <v>1466040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9182040</v>
      </c>
      <c r="AG328" s="4" t="s">
        <v>45</v>
      </c>
      <c r="AH328" s="4" t="s">
        <v>1817</v>
      </c>
    </row>
    <row r="329" spans="1:34" s="4" customFormat="1">
      <c r="A329" s="4" t="s">
        <v>32</v>
      </c>
      <c r="B329" s="4" t="s">
        <v>2115</v>
      </c>
      <c r="C329" s="4" t="s">
        <v>2116</v>
      </c>
      <c r="D329" s="4" t="s">
        <v>1962</v>
      </c>
      <c r="E329" s="4" t="s">
        <v>36</v>
      </c>
      <c r="F329" s="4" t="s">
        <v>470</v>
      </c>
      <c r="G329" s="4" t="s">
        <v>157</v>
      </c>
      <c r="H329" s="4" t="s">
        <v>379</v>
      </c>
      <c r="I329" s="4" t="s">
        <v>2117</v>
      </c>
      <c r="J329" s="4" t="s">
        <v>1964</v>
      </c>
      <c r="K329" s="4" t="s">
        <v>1965</v>
      </c>
      <c r="L329" s="4" t="s">
        <v>41</v>
      </c>
      <c r="M329" s="4" t="s">
        <v>1816</v>
      </c>
      <c r="N329" s="10">
        <f t="shared" si="19"/>
        <v>9362000</v>
      </c>
      <c r="O329" s="15">
        <f t="shared" si="20"/>
        <v>0</v>
      </c>
      <c r="P329" s="10">
        <v>1778780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11140780</v>
      </c>
      <c r="AG329" s="4" t="s">
        <v>45</v>
      </c>
      <c r="AH329" s="4" t="s">
        <v>1817</v>
      </c>
    </row>
    <row r="330" spans="1:34" s="4" customFormat="1">
      <c r="A330" s="4" t="s">
        <v>32</v>
      </c>
      <c r="B330" s="4" t="s">
        <v>2120</v>
      </c>
      <c r="C330" s="4" t="s">
        <v>2121</v>
      </c>
      <c r="D330" s="4" t="s">
        <v>1962</v>
      </c>
      <c r="E330" s="4" t="s">
        <v>36</v>
      </c>
      <c r="F330" s="4" t="s">
        <v>470</v>
      </c>
      <c r="G330" s="4" t="s">
        <v>157</v>
      </c>
      <c r="H330" s="4" t="s">
        <v>379</v>
      </c>
      <c r="I330" s="4" t="s">
        <v>2122</v>
      </c>
      <c r="J330" s="4" t="s">
        <v>1964</v>
      </c>
      <c r="K330" s="4" t="s">
        <v>1965</v>
      </c>
      <c r="L330" s="4" t="s">
        <v>41</v>
      </c>
      <c r="M330" s="4" t="s">
        <v>1816</v>
      </c>
      <c r="N330" s="10">
        <f t="shared" si="19"/>
        <v>9520000</v>
      </c>
      <c r="O330" s="15">
        <f t="shared" si="20"/>
        <v>0</v>
      </c>
      <c r="P330" s="10">
        <v>1808800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11328800</v>
      </c>
      <c r="AG330" s="4" t="s">
        <v>45</v>
      </c>
      <c r="AH330" s="4" t="s">
        <v>1817</v>
      </c>
    </row>
    <row r="331" spans="1:34" s="4" customFormat="1">
      <c r="A331" s="4" t="s">
        <v>32</v>
      </c>
      <c r="B331" s="4" t="s">
        <v>2126</v>
      </c>
      <c r="C331" s="4" t="s">
        <v>2127</v>
      </c>
      <c r="D331" s="4" t="s">
        <v>1962</v>
      </c>
      <c r="E331" s="4" t="s">
        <v>36</v>
      </c>
      <c r="F331" s="4" t="s">
        <v>470</v>
      </c>
      <c r="G331" s="4" t="s">
        <v>157</v>
      </c>
      <c r="H331" s="4" t="s">
        <v>379</v>
      </c>
      <c r="I331" s="4" t="s">
        <v>2128</v>
      </c>
      <c r="J331" s="4" t="s">
        <v>1964</v>
      </c>
      <c r="K331" s="4" t="s">
        <v>1965</v>
      </c>
      <c r="L331" s="4" t="s">
        <v>41</v>
      </c>
      <c r="M331" s="4" t="s">
        <v>1816</v>
      </c>
      <c r="N331" s="10">
        <f t="shared" si="19"/>
        <v>9623520</v>
      </c>
      <c r="O331" s="15">
        <f t="shared" si="20"/>
        <v>0</v>
      </c>
      <c r="P331" s="10">
        <v>1828468.8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11451988.800000001</v>
      </c>
      <c r="AG331" s="4" t="s">
        <v>45</v>
      </c>
      <c r="AH331" s="4" t="s">
        <v>1817</v>
      </c>
    </row>
    <row r="332" spans="1:34" s="4" customFormat="1">
      <c r="A332" s="4" t="s">
        <v>32</v>
      </c>
      <c r="B332" s="4" t="s">
        <v>2132</v>
      </c>
      <c r="C332" s="4" t="s">
        <v>2133</v>
      </c>
      <c r="D332" s="4" t="s">
        <v>1962</v>
      </c>
      <c r="E332" s="4" t="s">
        <v>36</v>
      </c>
      <c r="F332" s="4" t="s">
        <v>470</v>
      </c>
      <c r="G332" s="4" t="s">
        <v>157</v>
      </c>
      <c r="H332" s="4" t="s">
        <v>379</v>
      </c>
      <c r="I332" s="4" t="s">
        <v>2134</v>
      </c>
      <c r="J332" s="4" t="s">
        <v>1964</v>
      </c>
      <c r="K332" s="4" t="s">
        <v>1965</v>
      </c>
      <c r="L332" s="4" t="s">
        <v>41</v>
      </c>
      <c r="M332" s="4" t="s">
        <v>1816</v>
      </c>
      <c r="N332" s="10">
        <f t="shared" si="19"/>
        <v>8520000</v>
      </c>
      <c r="O332" s="15">
        <f t="shared" si="20"/>
        <v>0</v>
      </c>
      <c r="P332" s="10">
        <v>1618800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10138800</v>
      </c>
      <c r="AG332" s="4" t="s">
        <v>45</v>
      </c>
      <c r="AH332" s="4" t="s">
        <v>1817</v>
      </c>
    </row>
    <row r="333" spans="1:34" s="4" customFormat="1">
      <c r="A333" s="4" t="s">
        <v>32</v>
      </c>
      <c r="B333" s="4" t="s">
        <v>2817</v>
      </c>
      <c r="C333" s="4" t="s">
        <v>2818</v>
      </c>
      <c r="D333" s="4" t="s">
        <v>2819</v>
      </c>
      <c r="E333" s="4" t="s">
        <v>36</v>
      </c>
      <c r="F333" s="4" t="s">
        <v>470</v>
      </c>
      <c r="G333" s="4" t="s">
        <v>157</v>
      </c>
      <c r="H333" s="4" t="s">
        <v>1112</v>
      </c>
      <c r="I333" s="4" t="s">
        <v>2820</v>
      </c>
      <c r="J333" s="4" t="s">
        <v>2821</v>
      </c>
      <c r="K333" s="4" t="s">
        <v>2822</v>
      </c>
      <c r="L333" s="4" t="s">
        <v>41</v>
      </c>
      <c r="M333" s="4" t="s">
        <v>2743</v>
      </c>
      <c r="N333" s="10">
        <f t="shared" si="19"/>
        <v>0</v>
      </c>
      <c r="O333" s="15">
        <f t="shared" si="20"/>
        <v>28000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28000</v>
      </c>
      <c r="AG333" s="4" t="s">
        <v>45</v>
      </c>
      <c r="AH333" s="4" t="s">
        <v>1817</v>
      </c>
    </row>
    <row r="334" spans="1:34" s="4" customFormat="1">
      <c r="A334" s="4" t="s">
        <v>32</v>
      </c>
      <c r="B334" s="4" t="s">
        <v>2205</v>
      </c>
      <c r="C334" s="4" t="s">
        <v>2206</v>
      </c>
      <c r="D334" s="4" t="s">
        <v>2207</v>
      </c>
      <c r="E334" s="4" t="s">
        <v>36</v>
      </c>
      <c r="F334" s="4" t="s">
        <v>37</v>
      </c>
      <c r="G334" s="4" t="s">
        <v>470</v>
      </c>
      <c r="H334" s="4" t="s">
        <v>903</v>
      </c>
      <c r="I334" s="4" t="s">
        <v>2208</v>
      </c>
      <c r="J334" s="4" t="s">
        <v>389</v>
      </c>
      <c r="K334" s="4" t="s">
        <v>390</v>
      </c>
      <c r="L334" s="4" t="s">
        <v>41</v>
      </c>
      <c r="M334" s="4" t="s">
        <v>159</v>
      </c>
      <c r="N334" s="10">
        <f t="shared" si="19"/>
        <v>873794.7368421054</v>
      </c>
      <c r="O334" s="15">
        <f t="shared" si="20"/>
        <v>0.26315789460204542</v>
      </c>
      <c r="P334" s="10">
        <v>166021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1039816</v>
      </c>
      <c r="AG334" s="4" t="s">
        <v>45</v>
      </c>
      <c r="AH334" s="4" t="s">
        <v>1817</v>
      </c>
    </row>
    <row r="335" spans="1:34" s="4" customFormat="1">
      <c r="A335" s="4" t="s">
        <v>32</v>
      </c>
      <c r="B335" s="4" t="s">
        <v>2233</v>
      </c>
      <c r="C335" s="4" t="s">
        <v>2234</v>
      </c>
      <c r="D335" s="4" t="s">
        <v>2207</v>
      </c>
      <c r="E335" s="4" t="s">
        <v>36</v>
      </c>
      <c r="F335" s="4" t="s">
        <v>37</v>
      </c>
      <c r="G335" s="4" t="s">
        <v>470</v>
      </c>
      <c r="H335" s="4" t="s">
        <v>2235</v>
      </c>
      <c r="I335" s="4" t="s">
        <v>2236</v>
      </c>
      <c r="J335" s="4" t="s">
        <v>389</v>
      </c>
      <c r="K335" s="4" t="s">
        <v>390</v>
      </c>
      <c r="L335" s="4" t="s">
        <v>41</v>
      </c>
      <c r="M335" s="4" t="s">
        <v>159</v>
      </c>
      <c r="N335" s="10">
        <f t="shared" si="19"/>
        <v>208047.36842105261</v>
      </c>
      <c r="O335" s="15">
        <f t="shared" si="20"/>
        <v>0.6315789473883342</v>
      </c>
      <c r="P335" s="10">
        <v>39529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247577</v>
      </c>
      <c r="AG335" s="4" t="s">
        <v>45</v>
      </c>
      <c r="AH335" s="4" t="s">
        <v>1817</v>
      </c>
    </row>
    <row r="336" spans="1:34" s="4" customFormat="1">
      <c r="A336" s="4" t="s">
        <v>32</v>
      </c>
      <c r="B336" s="4" t="s">
        <v>2258</v>
      </c>
      <c r="C336" s="4" t="s">
        <v>2259</v>
      </c>
      <c r="D336" s="4" t="s">
        <v>2207</v>
      </c>
      <c r="E336" s="4" t="s">
        <v>36</v>
      </c>
      <c r="F336" s="4" t="s">
        <v>37</v>
      </c>
      <c r="G336" s="4" t="s">
        <v>470</v>
      </c>
      <c r="H336" s="4" t="s">
        <v>2253</v>
      </c>
      <c r="I336" s="4" t="s">
        <v>2260</v>
      </c>
      <c r="J336" s="4" t="s">
        <v>389</v>
      </c>
      <c r="K336" s="4" t="s">
        <v>390</v>
      </c>
      <c r="L336" s="4" t="s">
        <v>41</v>
      </c>
      <c r="M336" s="4" t="s">
        <v>159</v>
      </c>
      <c r="N336" s="10">
        <f t="shared" si="19"/>
        <v>2584468.4210526315</v>
      </c>
      <c r="O336" s="15">
        <f t="shared" si="20"/>
        <v>-2.4210526314564049</v>
      </c>
      <c r="P336" s="10">
        <v>491049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3075515</v>
      </c>
      <c r="AG336" s="4" t="s">
        <v>45</v>
      </c>
      <c r="AH336" s="4" t="s">
        <v>1817</v>
      </c>
    </row>
    <row r="337" spans="1:34" s="4" customFormat="1">
      <c r="A337" s="4" t="s">
        <v>32</v>
      </c>
      <c r="B337" s="4" t="s">
        <v>2264</v>
      </c>
      <c r="C337" s="4" t="s">
        <v>2265</v>
      </c>
      <c r="D337" s="4" t="s">
        <v>2207</v>
      </c>
      <c r="E337" s="4" t="s">
        <v>36</v>
      </c>
      <c r="F337" s="4" t="s">
        <v>37</v>
      </c>
      <c r="G337" s="4" t="s">
        <v>470</v>
      </c>
      <c r="H337" s="4" t="s">
        <v>2266</v>
      </c>
      <c r="I337" s="4" t="s">
        <v>2267</v>
      </c>
      <c r="J337" s="4" t="s">
        <v>389</v>
      </c>
      <c r="K337" s="4" t="s">
        <v>390</v>
      </c>
      <c r="L337" s="4" t="s">
        <v>41</v>
      </c>
      <c r="M337" s="4" t="s">
        <v>159</v>
      </c>
      <c r="N337" s="10">
        <f t="shared" si="19"/>
        <v>953452.6315789473</v>
      </c>
      <c r="O337" s="15">
        <f t="shared" si="20"/>
        <v>1.3684210526989773</v>
      </c>
      <c r="P337" s="10">
        <v>181156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1134610</v>
      </c>
      <c r="AG337" s="4" t="s">
        <v>45</v>
      </c>
      <c r="AH337" s="4" t="s">
        <v>1817</v>
      </c>
    </row>
    <row r="338" spans="1:34" s="4" customFormat="1">
      <c r="A338" s="4" t="s">
        <v>32</v>
      </c>
      <c r="B338" s="4" t="s">
        <v>3139</v>
      </c>
      <c r="C338" s="4" t="s">
        <v>3140</v>
      </c>
      <c r="D338" s="4" t="s">
        <v>2207</v>
      </c>
      <c r="E338" s="4" t="s">
        <v>36</v>
      </c>
      <c r="H338" s="4" t="s">
        <v>3134</v>
      </c>
      <c r="I338" s="4" t="s">
        <v>3141</v>
      </c>
      <c r="J338" s="4" t="s">
        <v>389</v>
      </c>
      <c r="K338" s="4" t="s">
        <v>390</v>
      </c>
      <c r="L338" s="4" t="s">
        <v>41</v>
      </c>
      <c r="M338" s="4" t="s">
        <v>159</v>
      </c>
      <c r="N338" s="10">
        <f t="shared" si="19"/>
        <v>270000</v>
      </c>
      <c r="O338" s="15">
        <f t="shared" si="20"/>
        <v>0</v>
      </c>
      <c r="P338" s="10">
        <v>51300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321300</v>
      </c>
      <c r="AG338" s="4" t="s">
        <v>45</v>
      </c>
      <c r="AH338" s="4" t="s">
        <v>1817</v>
      </c>
    </row>
    <row r="339" spans="1:34" s="4" customFormat="1">
      <c r="A339" s="4" t="s">
        <v>32</v>
      </c>
      <c r="B339" s="4" t="s">
        <v>3142</v>
      </c>
      <c r="C339" s="4" t="s">
        <v>3143</v>
      </c>
      <c r="D339" s="4" t="s">
        <v>2207</v>
      </c>
      <c r="E339" s="4" t="s">
        <v>36</v>
      </c>
      <c r="H339" s="4" t="s">
        <v>1460</v>
      </c>
      <c r="I339" s="4" t="s">
        <v>3144</v>
      </c>
      <c r="J339" s="4" t="s">
        <v>389</v>
      </c>
      <c r="K339" s="4" t="s">
        <v>390</v>
      </c>
      <c r="L339" s="4" t="s">
        <v>41</v>
      </c>
      <c r="M339" s="4" t="s">
        <v>159</v>
      </c>
      <c r="N339" s="10">
        <f t="shared" si="19"/>
        <v>705000</v>
      </c>
      <c r="O339" s="15">
        <f t="shared" si="20"/>
        <v>0</v>
      </c>
      <c r="P339" s="10">
        <v>133950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838950</v>
      </c>
      <c r="AG339" s="4" t="s">
        <v>45</v>
      </c>
      <c r="AH339" s="4" t="s">
        <v>1817</v>
      </c>
    </row>
    <row r="340" spans="1:34" s="4" customFormat="1">
      <c r="A340" s="4" t="s">
        <v>32</v>
      </c>
      <c r="B340" s="4" t="s">
        <v>3054</v>
      </c>
      <c r="C340" s="4" t="s">
        <v>3055</v>
      </c>
      <c r="D340" s="4" t="s">
        <v>2207</v>
      </c>
      <c r="E340" s="4" t="s">
        <v>36</v>
      </c>
      <c r="F340" s="4" t="s">
        <v>37</v>
      </c>
      <c r="G340" s="4" t="s">
        <v>470</v>
      </c>
      <c r="H340" s="4" t="s">
        <v>3053</v>
      </c>
      <c r="I340" s="4" t="s">
        <v>3056</v>
      </c>
      <c r="J340" s="4" t="s">
        <v>389</v>
      </c>
      <c r="K340" s="4" t="s">
        <v>390</v>
      </c>
      <c r="L340" s="4" t="s">
        <v>41</v>
      </c>
      <c r="M340" s="4" t="s">
        <v>159</v>
      </c>
      <c r="N340" s="10">
        <f t="shared" si="19"/>
        <v>1808000</v>
      </c>
      <c r="O340" s="15">
        <f t="shared" si="20"/>
        <v>0</v>
      </c>
      <c r="P340" s="10">
        <v>343520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2151520</v>
      </c>
      <c r="AG340" s="4" t="s">
        <v>45</v>
      </c>
      <c r="AH340" s="4" t="s">
        <v>1817</v>
      </c>
    </row>
    <row r="341" spans="1:34" s="4" customFormat="1">
      <c r="A341" s="4" t="s">
        <v>32</v>
      </c>
      <c r="B341" s="4" t="s">
        <v>2837</v>
      </c>
      <c r="C341" s="4" t="s">
        <v>2838</v>
      </c>
      <c r="D341" s="4" t="s">
        <v>2839</v>
      </c>
      <c r="E341" s="4" t="s">
        <v>36</v>
      </c>
      <c r="F341" s="4" t="s">
        <v>470</v>
      </c>
      <c r="G341" s="4" t="s">
        <v>1918</v>
      </c>
      <c r="H341" s="4" t="s">
        <v>2840</v>
      </c>
      <c r="I341" s="4" t="s">
        <v>2841</v>
      </c>
      <c r="J341" s="4" t="s">
        <v>2842</v>
      </c>
      <c r="K341" s="4" t="s">
        <v>2843</v>
      </c>
      <c r="L341" s="4" t="s">
        <v>41</v>
      </c>
      <c r="M341" s="4" t="s">
        <v>1816</v>
      </c>
      <c r="N341" s="10">
        <f t="shared" si="19"/>
        <v>167915.78947368421</v>
      </c>
      <c r="O341" s="15">
        <f t="shared" si="20"/>
        <v>53600.180526315788</v>
      </c>
      <c r="P341" s="10">
        <v>31904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253419.97</v>
      </c>
      <c r="AG341" s="4" t="s">
        <v>45</v>
      </c>
      <c r="AH341" s="4" t="s">
        <v>1817</v>
      </c>
    </row>
    <row r="342" spans="1:34" s="4" customFormat="1">
      <c r="A342" s="4" t="s">
        <v>32</v>
      </c>
      <c r="B342" s="4" t="s">
        <v>1841</v>
      </c>
      <c r="C342" s="4" t="s">
        <v>1842</v>
      </c>
      <c r="D342" s="4" t="s">
        <v>1843</v>
      </c>
      <c r="E342" s="4" t="s">
        <v>36</v>
      </c>
      <c r="F342" s="4" t="s">
        <v>470</v>
      </c>
      <c r="G342" s="4" t="s">
        <v>470</v>
      </c>
      <c r="H342" s="4" t="s">
        <v>1844</v>
      </c>
      <c r="I342" s="4" t="s">
        <v>1845</v>
      </c>
      <c r="J342" s="4" t="s">
        <v>1846</v>
      </c>
      <c r="K342" s="4" t="s">
        <v>1847</v>
      </c>
      <c r="L342" s="4" t="s">
        <v>41</v>
      </c>
      <c r="M342" s="4" t="s">
        <v>1816</v>
      </c>
      <c r="N342" s="10">
        <f t="shared" si="19"/>
        <v>57983.15789473684</v>
      </c>
      <c r="O342" s="15">
        <f t="shared" si="20"/>
        <v>4.2105263160920003E-2</v>
      </c>
      <c r="P342" s="10">
        <v>11016.8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69000</v>
      </c>
      <c r="AG342" s="4" t="s">
        <v>45</v>
      </c>
      <c r="AH342" s="4" t="s">
        <v>1817</v>
      </c>
    </row>
    <row r="343" spans="1:34" s="4" customFormat="1">
      <c r="A343" s="4" t="s">
        <v>32</v>
      </c>
      <c r="B343" s="4" t="s">
        <v>2859</v>
      </c>
      <c r="C343" s="4" t="s">
        <v>2860</v>
      </c>
      <c r="D343" s="4" t="s">
        <v>1843</v>
      </c>
      <c r="E343" s="4" t="s">
        <v>36</v>
      </c>
      <c r="F343" s="4" t="s">
        <v>470</v>
      </c>
      <c r="G343" s="4" t="s">
        <v>470</v>
      </c>
      <c r="H343" s="4" t="s">
        <v>2311</v>
      </c>
      <c r="I343" s="4" t="s">
        <v>2861</v>
      </c>
      <c r="J343" s="4" t="s">
        <v>1846</v>
      </c>
      <c r="K343" s="4" t="s">
        <v>1847</v>
      </c>
      <c r="L343" s="4" t="s">
        <v>41</v>
      </c>
      <c r="M343" s="4" t="s">
        <v>1816</v>
      </c>
      <c r="N343" s="10">
        <f t="shared" si="19"/>
        <v>16806.736842105263</v>
      </c>
      <c r="O343" s="15">
        <f t="shared" si="20"/>
        <v>-1.6842105263549456E-2</v>
      </c>
      <c r="P343" s="10">
        <v>3193.28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20000</v>
      </c>
      <c r="AG343" s="4" t="s">
        <v>45</v>
      </c>
      <c r="AH343" s="4" t="s">
        <v>1817</v>
      </c>
    </row>
    <row r="344" spans="1:34" s="4" customFormat="1">
      <c r="A344" s="4" t="s">
        <v>32</v>
      </c>
      <c r="B344" s="4" t="s">
        <v>2796</v>
      </c>
      <c r="C344" s="4" t="s">
        <v>2797</v>
      </c>
      <c r="D344" s="4" t="s">
        <v>1843</v>
      </c>
      <c r="E344" s="4" t="s">
        <v>36</v>
      </c>
      <c r="F344" s="4" t="s">
        <v>470</v>
      </c>
      <c r="G344" s="4" t="s">
        <v>470</v>
      </c>
      <c r="H344" s="4" t="s">
        <v>2289</v>
      </c>
      <c r="I344" s="4" t="s">
        <v>2798</v>
      </c>
      <c r="J344" s="4" t="s">
        <v>1846</v>
      </c>
      <c r="K344" s="4" t="s">
        <v>1847</v>
      </c>
      <c r="L344" s="4" t="s">
        <v>41</v>
      </c>
      <c r="M344" s="4" t="s">
        <v>1816</v>
      </c>
      <c r="N344" s="10">
        <f t="shared" si="19"/>
        <v>67226.894736842107</v>
      </c>
      <c r="O344" s="15">
        <f t="shared" si="20"/>
        <v>-4.7368421073770151E-3</v>
      </c>
      <c r="P344" s="10">
        <v>12773.11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80000</v>
      </c>
      <c r="AG344" s="4" t="s">
        <v>45</v>
      </c>
      <c r="AH344" s="4" t="s">
        <v>1817</v>
      </c>
    </row>
    <row r="345" spans="1:34" s="4" customFormat="1">
      <c r="A345" s="4" t="s">
        <v>32</v>
      </c>
      <c r="B345" s="4" t="s">
        <v>3188</v>
      </c>
      <c r="C345" s="4" t="s">
        <v>3189</v>
      </c>
      <c r="D345" s="4" t="s">
        <v>1843</v>
      </c>
      <c r="E345" s="4" t="s">
        <v>36</v>
      </c>
      <c r="H345" s="4" t="s">
        <v>3190</v>
      </c>
      <c r="I345" s="4" t="s">
        <v>3191</v>
      </c>
      <c r="J345" s="4" t="s">
        <v>1846</v>
      </c>
      <c r="K345" s="4" t="s">
        <v>1847</v>
      </c>
      <c r="L345" s="4" t="s">
        <v>41</v>
      </c>
      <c r="M345" s="4" t="s">
        <v>3192</v>
      </c>
      <c r="N345" s="10">
        <f t="shared" si="19"/>
        <v>126050.42105263157</v>
      </c>
      <c r="O345" s="15">
        <f t="shared" si="20"/>
        <v>-1.052631574566476E-3</v>
      </c>
      <c r="P345" s="10">
        <v>23949.58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150000</v>
      </c>
      <c r="AG345" s="4" t="s">
        <v>45</v>
      </c>
      <c r="AH345" s="4" t="s">
        <v>1817</v>
      </c>
    </row>
    <row r="346" spans="1:34" s="4" customFormat="1">
      <c r="A346" s="4" t="s">
        <v>32</v>
      </c>
      <c r="B346" s="4" t="s">
        <v>2932</v>
      </c>
      <c r="C346" s="4" t="s">
        <v>2933</v>
      </c>
      <c r="D346" s="4" t="s">
        <v>2934</v>
      </c>
      <c r="E346" s="4" t="s">
        <v>36</v>
      </c>
      <c r="F346" s="4" t="s">
        <v>470</v>
      </c>
      <c r="G346" s="4" t="s">
        <v>2429</v>
      </c>
      <c r="H346" s="4" t="s">
        <v>1413</v>
      </c>
      <c r="I346" s="4" t="s">
        <v>2935</v>
      </c>
      <c r="J346" s="4" t="s">
        <v>43</v>
      </c>
      <c r="K346" s="4" t="s">
        <v>2936</v>
      </c>
      <c r="L346" s="4" t="s">
        <v>41</v>
      </c>
      <c r="M346" s="4" t="s">
        <v>1816</v>
      </c>
      <c r="N346" s="10">
        <f t="shared" si="19"/>
        <v>383268.42105263157</v>
      </c>
      <c r="O346" s="15">
        <f t="shared" si="20"/>
        <v>1.5789473684271798</v>
      </c>
      <c r="P346" s="10">
        <v>72821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456091</v>
      </c>
      <c r="AG346" s="4" t="s">
        <v>45</v>
      </c>
      <c r="AH346" s="4" t="s">
        <v>1817</v>
      </c>
    </row>
    <row r="347" spans="1:34" s="4" customFormat="1">
      <c r="A347" s="4" t="s">
        <v>194</v>
      </c>
      <c r="B347" s="4" t="s">
        <v>1870</v>
      </c>
      <c r="C347" s="4" t="s">
        <v>1871</v>
      </c>
      <c r="H347" s="4" t="s">
        <v>39</v>
      </c>
      <c r="I347" s="4" t="s">
        <v>1872</v>
      </c>
      <c r="J347" s="4" t="s">
        <v>43</v>
      </c>
      <c r="K347" s="4" t="s">
        <v>1873</v>
      </c>
      <c r="L347" s="4" t="s">
        <v>41</v>
      </c>
      <c r="M347" s="4" t="s">
        <v>42</v>
      </c>
      <c r="N347" s="10">
        <f t="shared" si="19"/>
        <v>0</v>
      </c>
      <c r="O347" s="15">
        <f t="shared" si="20"/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4" t="s">
        <v>55</v>
      </c>
      <c r="AH347" s="4" t="s">
        <v>1817</v>
      </c>
    </row>
    <row r="348" spans="1:34" s="4" customFormat="1">
      <c r="A348" s="4" t="s">
        <v>194</v>
      </c>
      <c r="B348" s="4" t="s">
        <v>1899</v>
      </c>
      <c r="C348" s="4" t="s">
        <v>1900</v>
      </c>
      <c r="H348" s="4" t="s">
        <v>145</v>
      </c>
      <c r="I348" s="4" t="s">
        <v>1901</v>
      </c>
      <c r="J348" s="4" t="s">
        <v>43</v>
      </c>
      <c r="K348" s="4" t="s">
        <v>1873</v>
      </c>
      <c r="L348" s="4" t="s">
        <v>41</v>
      </c>
      <c r="M348" s="4" t="s">
        <v>42</v>
      </c>
      <c r="N348" s="10">
        <f t="shared" si="19"/>
        <v>0</v>
      </c>
      <c r="O348" s="15">
        <f t="shared" si="20"/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4" t="s">
        <v>55</v>
      </c>
      <c r="AH348" s="4" t="s">
        <v>1817</v>
      </c>
    </row>
    <row r="349" spans="1:34" s="4" customFormat="1">
      <c r="A349" s="4" t="s">
        <v>194</v>
      </c>
      <c r="B349" s="4" t="s">
        <v>1902</v>
      </c>
      <c r="C349" s="4" t="s">
        <v>1903</v>
      </c>
      <c r="H349" s="4" t="s">
        <v>145</v>
      </c>
      <c r="I349" s="4" t="s">
        <v>1904</v>
      </c>
      <c r="J349" s="4" t="s">
        <v>43</v>
      </c>
      <c r="K349" s="4" t="s">
        <v>1873</v>
      </c>
      <c r="L349" s="4" t="s">
        <v>41</v>
      </c>
      <c r="M349" s="4" t="s">
        <v>42</v>
      </c>
      <c r="N349" s="10">
        <f t="shared" si="19"/>
        <v>0</v>
      </c>
      <c r="O349" s="15">
        <f t="shared" si="20"/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4" t="s">
        <v>55</v>
      </c>
      <c r="AH349" s="4" t="s">
        <v>1817</v>
      </c>
    </row>
    <row r="350" spans="1:34" s="4" customFormat="1">
      <c r="A350" s="4" t="s">
        <v>194</v>
      </c>
      <c r="B350" s="4" t="s">
        <v>1905</v>
      </c>
      <c r="C350" s="4" t="s">
        <v>1906</v>
      </c>
      <c r="H350" s="4" t="s">
        <v>145</v>
      </c>
      <c r="I350" s="4" t="s">
        <v>1907</v>
      </c>
      <c r="J350" s="4" t="s">
        <v>43</v>
      </c>
      <c r="K350" s="4" t="s">
        <v>1873</v>
      </c>
      <c r="L350" s="4" t="s">
        <v>41</v>
      </c>
      <c r="M350" s="4" t="s">
        <v>42</v>
      </c>
      <c r="N350" s="10">
        <f t="shared" si="19"/>
        <v>0</v>
      </c>
      <c r="O350" s="15">
        <f t="shared" si="20"/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4" t="s">
        <v>55</v>
      </c>
      <c r="AH350" s="4" t="s">
        <v>1817</v>
      </c>
    </row>
    <row r="351" spans="1:34" s="4" customFormat="1">
      <c r="A351" s="4" t="s">
        <v>194</v>
      </c>
      <c r="B351" s="4" t="s">
        <v>1922</v>
      </c>
      <c r="C351" s="4" t="s">
        <v>1923</v>
      </c>
      <c r="H351" s="4" t="s">
        <v>179</v>
      </c>
      <c r="I351" s="4" t="s">
        <v>1924</v>
      </c>
      <c r="J351" s="4" t="s">
        <v>43</v>
      </c>
      <c r="K351" s="4" t="s">
        <v>1873</v>
      </c>
      <c r="L351" s="4" t="s">
        <v>41</v>
      </c>
      <c r="M351" s="4" t="s">
        <v>42</v>
      </c>
      <c r="N351" s="10">
        <f t="shared" si="19"/>
        <v>0</v>
      </c>
      <c r="O351" s="15">
        <f t="shared" si="20"/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4" t="s">
        <v>55</v>
      </c>
      <c r="AH351" s="4" t="s">
        <v>1817</v>
      </c>
    </row>
    <row r="352" spans="1:34" s="4" customFormat="1">
      <c r="A352" s="4" t="s">
        <v>194</v>
      </c>
      <c r="B352" s="4" t="s">
        <v>1931</v>
      </c>
      <c r="C352" s="4" t="s">
        <v>1932</v>
      </c>
      <c r="H352" s="4" t="s">
        <v>183</v>
      </c>
      <c r="I352" s="4" t="s">
        <v>1933</v>
      </c>
      <c r="J352" s="4" t="s">
        <v>43</v>
      </c>
      <c r="K352" s="4" t="s">
        <v>1873</v>
      </c>
      <c r="L352" s="4" t="s">
        <v>41</v>
      </c>
      <c r="M352" s="4" t="s">
        <v>42</v>
      </c>
      <c r="N352" s="10">
        <f t="shared" si="19"/>
        <v>0</v>
      </c>
      <c r="O352" s="15">
        <f t="shared" si="20"/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4" t="s">
        <v>55</v>
      </c>
      <c r="AH352" s="4" t="s">
        <v>1817</v>
      </c>
    </row>
    <row r="353" spans="1:34" s="4" customFormat="1">
      <c r="A353" s="4" t="s">
        <v>194</v>
      </c>
      <c r="B353" s="4" t="s">
        <v>1934</v>
      </c>
      <c r="C353" s="4" t="s">
        <v>1935</v>
      </c>
      <c r="H353" s="4" t="s">
        <v>183</v>
      </c>
      <c r="I353" s="4" t="s">
        <v>1936</v>
      </c>
      <c r="J353" s="4" t="s">
        <v>43</v>
      </c>
      <c r="K353" s="4" t="s">
        <v>1873</v>
      </c>
      <c r="L353" s="4" t="s">
        <v>41</v>
      </c>
      <c r="M353" s="4" t="s">
        <v>42</v>
      </c>
      <c r="N353" s="10">
        <f t="shared" si="19"/>
        <v>0</v>
      </c>
      <c r="O353" s="15">
        <f t="shared" si="20"/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4" t="s">
        <v>55</v>
      </c>
      <c r="AH353" s="4" t="s">
        <v>1817</v>
      </c>
    </row>
    <row r="354" spans="1:34" s="4" customFormat="1">
      <c r="A354" s="4" t="s">
        <v>194</v>
      </c>
      <c r="B354" s="4" t="s">
        <v>2040</v>
      </c>
      <c r="C354" s="4" t="s">
        <v>2041</v>
      </c>
      <c r="H354" s="4" t="s">
        <v>2042</v>
      </c>
      <c r="I354" s="4" t="s">
        <v>2043</v>
      </c>
      <c r="J354" s="4" t="s">
        <v>43</v>
      </c>
      <c r="K354" s="4" t="s">
        <v>1873</v>
      </c>
      <c r="L354" s="4" t="s">
        <v>41</v>
      </c>
      <c r="M354" s="4" t="s">
        <v>42</v>
      </c>
      <c r="N354" s="10">
        <f t="shared" si="19"/>
        <v>0</v>
      </c>
      <c r="O354" s="15">
        <f t="shared" si="20"/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4" t="s">
        <v>55</v>
      </c>
      <c r="AH354" s="4" t="s">
        <v>1817</v>
      </c>
    </row>
    <row r="355" spans="1:34" s="4" customFormat="1">
      <c r="A355" s="4" t="s">
        <v>194</v>
      </c>
      <c r="B355" s="4" t="s">
        <v>2044</v>
      </c>
      <c r="C355" s="4" t="s">
        <v>2045</v>
      </c>
      <c r="H355" s="4" t="s">
        <v>2042</v>
      </c>
      <c r="I355" s="4" t="s">
        <v>2046</v>
      </c>
      <c r="J355" s="4" t="s">
        <v>43</v>
      </c>
      <c r="K355" s="4" t="s">
        <v>1873</v>
      </c>
      <c r="L355" s="4" t="s">
        <v>41</v>
      </c>
      <c r="M355" s="4" t="s">
        <v>42</v>
      </c>
      <c r="N355" s="10">
        <f t="shared" si="19"/>
        <v>0</v>
      </c>
      <c r="O355" s="15">
        <f t="shared" si="20"/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4" t="s">
        <v>55</v>
      </c>
      <c r="AH355" s="4" t="s">
        <v>1817</v>
      </c>
    </row>
    <row r="356" spans="1:34" s="4" customFormat="1">
      <c r="A356" s="4" t="s">
        <v>194</v>
      </c>
      <c r="B356" s="4" t="s">
        <v>2047</v>
      </c>
      <c r="C356" s="4" t="s">
        <v>2048</v>
      </c>
      <c r="H356" s="4" t="s">
        <v>2042</v>
      </c>
      <c r="I356" s="4" t="s">
        <v>2049</v>
      </c>
      <c r="J356" s="4" t="s">
        <v>43</v>
      </c>
      <c r="K356" s="4" t="s">
        <v>1873</v>
      </c>
      <c r="L356" s="4" t="s">
        <v>41</v>
      </c>
      <c r="M356" s="4" t="s">
        <v>42</v>
      </c>
      <c r="N356" s="10">
        <f t="shared" si="19"/>
        <v>0</v>
      </c>
      <c r="O356" s="15">
        <f t="shared" si="20"/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4" t="s">
        <v>55</v>
      </c>
      <c r="AH356" s="4" t="s">
        <v>1817</v>
      </c>
    </row>
    <row r="357" spans="1:34" s="4" customFormat="1">
      <c r="A357" s="4" t="s">
        <v>194</v>
      </c>
      <c r="B357" s="4" t="s">
        <v>2050</v>
      </c>
      <c r="C357" s="4" t="s">
        <v>2051</v>
      </c>
      <c r="H357" s="4" t="s">
        <v>2042</v>
      </c>
      <c r="I357" s="4" t="s">
        <v>2052</v>
      </c>
      <c r="J357" s="4" t="s">
        <v>43</v>
      </c>
      <c r="K357" s="4" t="s">
        <v>1873</v>
      </c>
      <c r="L357" s="4" t="s">
        <v>41</v>
      </c>
      <c r="M357" s="4" t="s">
        <v>42</v>
      </c>
      <c r="N357" s="10">
        <f t="shared" si="19"/>
        <v>0</v>
      </c>
      <c r="O357" s="15">
        <f t="shared" si="20"/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4" t="s">
        <v>55</v>
      </c>
      <c r="AH357" s="4" t="s">
        <v>1817</v>
      </c>
    </row>
    <row r="358" spans="1:34" s="4" customFormat="1">
      <c r="A358" s="4" t="s">
        <v>194</v>
      </c>
      <c r="B358" s="4" t="s">
        <v>2053</v>
      </c>
      <c r="C358" s="4" t="s">
        <v>2054</v>
      </c>
      <c r="H358" s="4" t="s">
        <v>2042</v>
      </c>
      <c r="I358" s="4" t="s">
        <v>2055</v>
      </c>
      <c r="J358" s="4" t="s">
        <v>43</v>
      </c>
      <c r="K358" s="4" t="s">
        <v>1873</v>
      </c>
      <c r="L358" s="4" t="s">
        <v>41</v>
      </c>
      <c r="M358" s="4" t="s">
        <v>42</v>
      </c>
      <c r="N358" s="10">
        <f t="shared" si="19"/>
        <v>0</v>
      </c>
      <c r="O358" s="15">
        <f t="shared" si="20"/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4" t="s">
        <v>55</v>
      </c>
      <c r="AH358" s="4" t="s">
        <v>1817</v>
      </c>
    </row>
    <row r="359" spans="1:34" s="4" customFormat="1">
      <c r="A359" s="4" t="s">
        <v>194</v>
      </c>
      <c r="B359" s="4" t="s">
        <v>2056</v>
      </c>
      <c r="C359" s="4" t="s">
        <v>2057</v>
      </c>
      <c r="H359" s="4" t="s">
        <v>2042</v>
      </c>
      <c r="I359" s="4" t="s">
        <v>2058</v>
      </c>
      <c r="J359" s="4" t="s">
        <v>43</v>
      </c>
      <c r="K359" s="4" t="s">
        <v>1873</v>
      </c>
      <c r="L359" s="4" t="s">
        <v>41</v>
      </c>
      <c r="M359" s="4" t="s">
        <v>42</v>
      </c>
      <c r="N359" s="10">
        <f t="shared" si="19"/>
        <v>0</v>
      </c>
      <c r="O359" s="15">
        <f t="shared" si="20"/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4" t="s">
        <v>55</v>
      </c>
      <c r="AH359" s="4" t="s">
        <v>1817</v>
      </c>
    </row>
    <row r="360" spans="1:34" s="4" customFormat="1">
      <c r="A360" s="4" t="s">
        <v>194</v>
      </c>
      <c r="B360" s="4" t="s">
        <v>2376</v>
      </c>
      <c r="C360" s="4" t="s">
        <v>2377</v>
      </c>
      <c r="H360" s="4" t="s">
        <v>321</v>
      </c>
      <c r="I360" s="4" t="s">
        <v>2378</v>
      </c>
      <c r="J360" s="4" t="s">
        <v>43</v>
      </c>
      <c r="K360" s="4" t="s">
        <v>1873</v>
      </c>
      <c r="L360" s="4" t="s">
        <v>41</v>
      </c>
      <c r="M360" s="4" t="s">
        <v>42</v>
      </c>
      <c r="N360" s="10">
        <f t="shared" si="19"/>
        <v>0</v>
      </c>
      <c r="O360" s="15">
        <f t="shared" si="20"/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4" t="s">
        <v>55</v>
      </c>
      <c r="AH360" s="4" t="s">
        <v>1817</v>
      </c>
    </row>
    <row r="361" spans="1:34" s="4" customFormat="1">
      <c r="A361" s="4" t="s">
        <v>194</v>
      </c>
      <c r="B361" s="4" t="s">
        <v>2379</v>
      </c>
      <c r="C361" s="4" t="s">
        <v>2380</v>
      </c>
      <c r="H361" s="4" t="s">
        <v>321</v>
      </c>
      <c r="I361" s="4" t="s">
        <v>2381</v>
      </c>
      <c r="J361" s="4" t="s">
        <v>43</v>
      </c>
      <c r="K361" s="4" t="s">
        <v>1873</v>
      </c>
      <c r="L361" s="4" t="s">
        <v>41</v>
      </c>
      <c r="M361" s="4" t="s">
        <v>42</v>
      </c>
      <c r="N361" s="10">
        <f t="shared" si="19"/>
        <v>0</v>
      </c>
      <c r="O361" s="15">
        <f t="shared" si="20"/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4" t="s">
        <v>55</v>
      </c>
      <c r="AH361" s="4" t="s">
        <v>1817</v>
      </c>
    </row>
    <row r="362" spans="1:34" s="4" customFormat="1">
      <c r="A362" s="4" t="s">
        <v>194</v>
      </c>
      <c r="B362" s="4" t="s">
        <v>2382</v>
      </c>
      <c r="C362" s="4" t="s">
        <v>2383</v>
      </c>
      <c r="H362" s="4" t="s">
        <v>321</v>
      </c>
      <c r="I362" s="4" t="s">
        <v>2384</v>
      </c>
      <c r="J362" s="4" t="s">
        <v>43</v>
      </c>
      <c r="K362" s="4" t="s">
        <v>1873</v>
      </c>
      <c r="L362" s="4" t="s">
        <v>41</v>
      </c>
      <c r="M362" s="4" t="s">
        <v>42</v>
      </c>
      <c r="N362" s="10">
        <f t="shared" si="19"/>
        <v>0</v>
      </c>
      <c r="O362" s="15">
        <f t="shared" si="20"/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4" t="s">
        <v>55</v>
      </c>
      <c r="AH362" s="4" t="s">
        <v>1817</v>
      </c>
    </row>
    <row r="363" spans="1:34" s="4" customFormat="1">
      <c r="A363" s="4" t="s">
        <v>194</v>
      </c>
      <c r="B363" s="4" t="s">
        <v>2385</v>
      </c>
      <c r="C363" s="4" t="s">
        <v>2386</v>
      </c>
      <c r="H363" s="4" t="s">
        <v>321</v>
      </c>
      <c r="I363" s="4" t="s">
        <v>2387</v>
      </c>
      <c r="J363" s="4" t="s">
        <v>43</v>
      </c>
      <c r="K363" s="4" t="s">
        <v>1873</v>
      </c>
      <c r="L363" s="4" t="s">
        <v>41</v>
      </c>
      <c r="M363" s="4" t="s">
        <v>42</v>
      </c>
      <c r="N363" s="10">
        <f t="shared" si="19"/>
        <v>0</v>
      </c>
      <c r="O363" s="15">
        <f t="shared" si="20"/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4" t="s">
        <v>55</v>
      </c>
      <c r="AH363" s="4" t="s">
        <v>1817</v>
      </c>
    </row>
    <row r="364" spans="1:34" s="4" customFormat="1">
      <c r="A364" s="4" t="s">
        <v>194</v>
      </c>
      <c r="B364" s="4" t="s">
        <v>2388</v>
      </c>
      <c r="C364" s="4" t="s">
        <v>2389</v>
      </c>
      <c r="H364" s="4" t="s">
        <v>321</v>
      </c>
      <c r="I364" s="4" t="s">
        <v>2390</v>
      </c>
      <c r="J364" s="4" t="s">
        <v>43</v>
      </c>
      <c r="K364" s="4" t="s">
        <v>1873</v>
      </c>
      <c r="L364" s="4" t="s">
        <v>41</v>
      </c>
      <c r="M364" s="4" t="s">
        <v>42</v>
      </c>
      <c r="N364" s="10">
        <f t="shared" si="19"/>
        <v>0</v>
      </c>
      <c r="O364" s="15">
        <f t="shared" si="20"/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4" t="s">
        <v>55</v>
      </c>
      <c r="AH364" s="4" t="s">
        <v>1817</v>
      </c>
    </row>
    <row r="365" spans="1:34" s="4" customFormat="1">
      <c r="A365" s="4" t="s">
        <v>194</v>
      </c>
      <c r="B365" s="4" t="s">
        <v>2391</v>
      </c>
      <c r="C365" s="4" t="s">
        <v>2392</v>
      </c>
      <c r="H365" s="4" t="s">
        <v>321</v>
      </c>
      <c r="I365" s="4" t="s">
        <v>2393</v>
      </c>
      <c r="J365" s="4" t="s">
        <v>43</v>
      </c>
      <c r="K365" s="4" t="s">
        <v>1873</v>
      </c>
      <c r="L365" s="4" t="s">
        <v>41</v>
      </c>
      <c r="M365" s="4" t="s">
        <v>42</v>
      </c>
      <c r="N365" s="10">
        <f t="shared" si="19"/>
        <v>0</v>
      </c>
      <c r="O365" s="15">
        <f t="shared" si="20"/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4" t="s">
        <v>55</v>
      </c>
      <c r="AH365" s="4" t="s">
        <v>1817</v>
      </c>
    </row>
    <row r="366" spans="1:34" s="4" customFormat="1">
      <c r="A366" s="4" t="s">
        <v>194</v>
      </c>
      <c r="B366" s="4" t="s">
        <v>2394</v>
      </c>
      <c r="C366" s="4" t="s">
        <v>2395</v>
      </c>
      <c r="H366" s="4" t="s">
        <v>321</v>
      </c>
      <c r="I366" s="4" t="s">
        <v>2396</v>
      </c>
      <c r="J366" s="4" t="s">
        <v>43</v>
      </c>
      <c r="K366" s="4" t="s">
        <v>1873</v>
      </c>
      <c r="L366" s="4" t="s">
        <v>41</v>
      </c>
      <c r="M366" s="4" t="s">
        <v>42</v>
      </c>
      <c r="N366" s="10">
        <f t="shared" si="19"/>
        <v>0</v>
      </c>
      <c r="O366" s="15">
        <f t="shared" si="20"/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4" t="s">
        <v>55</v>
      </c>
      <c r="AH366" s="4" t="s">
        <v>1817</v>
      </c>
    </row>
    <row r="367" spans="1:34" s="4" customFormat="1">
      <c r="A367" s="4" t="s">
        <v>194</v>
      </c>
      <c r="B367" s="4" t="s">
        <v>2397</v>
      </c>
      <c r="C367" s="4" t="s">
        <v>2398</v>
      </c>
      <c r="H367" s="4" t="s">
        <v>321</v>
      </c>
      <c r="I367" s="4" t="s">
        <v>2399</v>
      </c>
      <c r="J367" s="4" t="s">
        <v>43</v>
      </c>
      <c r="K367" s="4" t="s">
        <v>1873</v>
      </c>
      <c r="L367" s="4" t="s">
        <v>41</v>
      </c>
      <c r="M367" s="4" t="s">
        <v>42</v>
      </c>
      <c r="N367" s="10">
        <f t="shared" si="19"/>
        <v>0</v>
      </c>
      <c r="O367" s="15">
        <f t="shared" si="20"/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4" t="s">
        <v>55</v>
      </c>
      <c r="AH367" s="4" t="s">
        <v>1817</v>
      </c>
    </row>
    <row r="368" spans="1:34" s="4" customFormat="1">
      <c r="A368" s="4" t="s">
        <v>194</v>
      </c>
      <c r="B368" s="4" t="s">
        <v>2403</v>
      </c>
      <c r="C368" s="4" t="s">
        <v>2404</v>
      </c>
      <c r="H368" s="4" t="s">
        <v>321</v>
      </c>
      <c r="I368" s="4" t="s">
        <v>2405</v>
      </c>
      <c r="J368" s="4" t="s">
        <v>43</v>
      </c>
      <c r="K368" s="4" t="s">
        <v>1873</v>
      </c>
      <c r="L368" s="4" t="s">
        <v>41</v>
      </c>
      <c r="M368" s="4" t="s">
        <v>42</v>
      </c>
      <c r="N368" s="10">
        <f t="shared" si="19"/>
        <v>0</v>
      </c>
      <c r="O368" s="15">
        <f t="shared" si="20"/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4" t="s">
        <v>55</v>
      </c>
      <c r="AH368" s="4" t="s">
        <v>1817</v>
      </c>
    </row>
    <row r="369" spans="1:34" s="4" customFormat="1">
      <c r="A369" s="4" t="s">
        <v>194</v>
      </c>
      <c r="B369" s="4" t="s">
        <v>2406</v>
      </c>
      <c r="C369" s="4" t="s">
        <v>2407</v>
      </c>
      <c r="H369" s="4" t="s">
        <v>321</v>
      </c>
      <c r="I369" s="4" t="s">
        <v>2408</v>
      </c>
      <c r="J369" s="4" t="s">
        <v>43</v>
      </c>
      <c r="K369" s="4" t="s">
        <v>1873</v>
      </c>
      <c r="L369" s="4" t="s">
        <v>41</v>
      </c>
      <c r="M369" s="4" t="s">
        <v>42</v>
      </c>
      <c r="N369" s="10">
        <f t="shared" si="19"/>
        <v>0</v>
      </c>
      <c r="O369" s="15">
        <f t="shared" si="20"/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4" t="s">
        <v>55</v>
      </c>
      <c r="AH369" s="4" t="s">
        <v>1817</v>
      </c>
    </row>
    <row r="370" spans="1:34" s="4" customFormat="1">
      <c r="A370" s="4" t="s">
        <v>194</v>
      </c>
      <c r="B370" s="4" t="s">
        <v>2443</v>
      </c>
      <c r="C370" s="4" t="s">
        <v>2444</v>
      </c>
      <c r="H370" s="4" t="s">
        <v>2445</v>
      </c>
      <c r="I370" s="4" t="s">
        <v>2446</v>
      </c>
      <c r="J370" s="4" t="s">
        <v>43</v>
      </c>
      <c r="K370" s="4" t="s">
        <v>1873</v>
      </c>
      <c r="L370" s="4" t="s">
        <v>41</v>
      </c>
      <c r="M370" s="4" t="s">
        <v>42</v>
      </c>
      <c r="N370" s="10">
        <f t="shared" si="19"/>
        <v>0</v>
      </c>
      <c r="O370" s="15">
        <f t="shared" si="20"/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4" t="s">
        <v>55</v>
      </c>
      <c r="AH370" s="4" t="s">
        <v>1817</v>
      </c>
    </row>
    <row r="371" spans="1:34" s="4" customFormat="1">
      <c r="A371" s="4" t="s">
        <v>32</v>
      </c>
      <c r="B371" s="4" t="s">
        <v>2784</v>
      </c>
      <c r="C371" s="4" t="s">
        <v>2785</v>
      </c>
      <c r="D371" s="4" t="s">
        <v>2481</v>
      </c>
      <c r="E371" s="4" t="s">
        <v>36</v>
      </c>
      <c r="F371" s="4" t="s">
        <v>470</v>
      </c>
      <c r="G371" s="4" t="s">
        <v>1998</v>
      </c>
      <c r="H371" s="4" t="s">
        <v>2270</v>
      </c>
      <c r="I371" s="4" t="s">
        <v>2786</v>
      </c>
      <c r="J371" s="4" t="s">
        <v>2483</v>
      </c>
      <c r="K371" s="4" t="s">
        <v>2484</v>
      </c>
      <c r="L371" s="4" t="s">
        <v>41</v>
      </c>
      <c r="M371" s="4" t="s">
        <v>1816</v>
      </c>
      <c r="N371" s="10">
        <f t="shared" si="19"/>
        <v>0</v>
      </c>
      <c r="O371" s="15">
        <f t="shared" si="20"/>
        <v>140000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140000</v>
      </c>
      <c r="AG371" s="4" t="s">
        <v>45</v>
      </c>
      <c r="AH371" s="4" t="s">
        <v>1817</v>
      </c>
    </row>
    <row r="372" spans="1:34" s="4" customFormat="1">
      <c r="A372" s="4" t="s">
        <v>32</v>
      </c>
      <c r="B372" s="4" t="s">
        <v>2479</v>
      </c>
      <c r="C372" s="4" t="s">
        <v>2480</v>
      </c>
      <c r="D372" s="4" t="s">
        <v>2481</v>
      </c>
      <c r="E372" s="4" t="s">
        <v>36</v>
      </c>
      <c r="F372" s="4" t="s">
        <v>37</v>
      </c>
      <c r="G372" s="4" t="s">
        <v>1822</v>
      </c>
      <c r="H372" s="4" t="s">
        <v>536</v>
      </c>
      <c r="I372" s="4" t="s">
        <v>2482</v>
      </c>
      <c r="J372" s="4" t="s">
        <v>2483</v>
      </c>
      <c r="K372" s="4" t="s">
        <v>2484</v>
      </c>
      <c r="L372" s="4" t="s">
        <v>41</v>
      </c>
      <c r="M372" s="4" t="s">
        <v>1816</v>
      </c>
      <c r="N372" s="10">
        <f t="shared" si="19"/>
        <v>0</v>
      </c>
      <c r="O372" s="15">
        <f t="shared" si="20"/>
        <v>200000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200000</v>
      </c>
      <c r="AG372" s="4" t="s">
        <v>45</v>
      </c>
      <c r="AH372" s="4" t="s">
        <v>1817</v>
      </c>
    </row>
    <row r="373" spans="1:34" s="4" customFormat="1">
      <c r="A373" s="4" t="s">
        <v>32</v>
      </c>
      <c r="B373" s="4" t="s">
        <v>2732</v>
      </c>
      <c r="C373" s="4" t="s">
        <v>2733</v>
      </c>
      <c r="D373" s="4" t="s">
        <v>2481</v>
      </c>
      <c r="E373" s="4" t="s">
        <v>36</v>
      </c>
      <c r="F373" s="4" t="s">
        <v>470</v>
      </c>
      <c r="G373" s="4" t="s">
        <v>1998</v>
      </c>
      <c r="H373" s="4" t="s">
        <v>2730</v>
      </c>
      <c r="I373" s="4" t="s">
        <v>2734</v>
      </c>
      <c r="J373" s="4" t="s">
        <v>2483</v>
      </c>
      <c r="K373" s="4" t="s">
        <v>2484</v>
      </c>
      <c r="L373" s="4" t="s">
        <v>41</v>
      </c>
      <c r="M373" s="4" t="s">
        <v>1816</v>
      </c>
      <c r="N373" s="10">
        <f t="shared" si="19"/>
        <v>0</v>
      </c>
      <c r="O373" s="15">
        <f t="shared" si="20"/>
        <v>930000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930000</v>
      </c>
      <c r="AG373" s="4" t="s">
        <v>45</v>
      </c>
      <c r="AH373" s="4" t="s">
        <v>1817</v>
      </c>
    </row>
    <row r="374" spans="1:34" s="4" customFormat="1">
      <c r="A374" s="4" t="s">
        <v>32</v>
      </c>
      <c r="B374" s="4" t="s">
        <v>2165</v>
      </c>
      <c r="C374" s="4" t="s">
        <v>421</v>
      </c>
      <c r="D374" s="4" t="s">
        <v>1850</v>
      </c>
      <c r="E374" s="4" t="s">
        <v>36</v>
      </c>
      <c r="F374" s="4" t="s">
        <v>37</v>
      </c>
      <c r="G374" s="4" t="s">
        <v>1861</v>
      </c>
      <c r="H374" s="4" t="s">
        <v>332</v>
      </c>
      <c r="I374" s="4" t="s">
        <v>2166</v>
      </c>
      <c r="J374" s="4" t="s">
        <v>384</v>
      </c>
      <c r="K374" s="4" t="s">
        <v>385</v>
      </c>
      <c r="L374" s="4" t="s">
        <v>41</v>
      </c>
      <c r="M374" s="4" t="s">
        <v>1816</v>
      </c>
      <c r="N374" s="10">
        <f t="shared" si="19"/>
        <v>160000</v>
      </c>
      <c r="O374" s="15">
        <f t="shared" si="20"/>
        <v>0</v>
      </c>
      <c r="P374" s="10">
        <v>30400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190400</v>
      </c>
      <c r="AG374" s="4" t="s">
        <v>45</v>
      </c>
      <c r="AH374" s="4" t="s">
        <v>1817</v>
      </c>
    </row>
    <row r="375" spans="1:34" s="4" customFormat="1">
      <c r="A375" s="4" t="s">
        <v>32</v>
      </c>
      <c r="B375" s="4" t="s">
        <v>3074</v>
      </c>
      <c r="C375" s="4" t="s">
        <v>3075</v>
      </c>
      <c r="D375" s="4" t="s">
        <v>3076</v>
      </c>
      <c r="E375" s="4" t="s">
        <v>36</v>
      </c>
      <c r="F375" s="4" t="s">
        <v>470</v>
      </c>
      <c r="G375" s="4" t="s">
        <v>1987</v>
      </c>
      <c r="H375" s="4" t="s">
        <v>1402</v>
      </c>
      <c r="I375" s="4" t="s">
        <v>3077</v>
      </c>
      <c r="J375" s="4" t="s">
        <v>3078</v>
      </c>
      <c r="K375" s="4" t="s">
        <v>3079</v>
      </c>
      <c r="L375" s="4" t="s">
        <v>41</v>
      </c>
      <c r="M375" s="4" t="s">
        <v>1816</v>
      </c>
      <c r="N375" s="10">
        <f t="shared" si="19"/>
        <v>77647.052631578947</v>
      </c>
      <c r="O375" s="15">
        <f t="shared" si="20"/>
        <v>-1.2631578951186384E-2</v>
      </c>
      <c r="P375" s="10">
        <v>14752.94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92399.98</v>
      </c>
      <c r="AG375" s="4" t="s">
        <v>45</v>
      </c>
      <c r="AH375" s="4" t="s">
        <v>1817</v>
      </c>
    </row>
    <row r="376" spans="1:34" s="4" customFormat="1">
      <c r="A376" s="4" t="s">
        <v>32</v>
      </c>
      <c r="B376" s="4" t="s">
        <v>3207</v>
      </c>
      <c r="C376" s="4" t="s">
        <v>3208</v>
      </c>
      <c r="D376" s="4" t="s">
        <v>3076</v>
      </c>
      <c r="E376" s="4" t="s">
        <v>36</v>
      </c>
      <c r="H376" s="4" t="s">
        <v>3209</v>
      </c>
      <c r="I376" s="4" t="s">
        <v>3210</v>
      </c>
      <c r="J376" s="4" t="s">
        <v>3078</v>
      </c>
      <c r="K376" s="4" t="s">
        <v>3079</v>
      </c>
      <c r="L376" s="4" t="s">
        <v>41</v>
      </c>
      <c r="M376" s="4" t="s">
        <v>1816</v>
      </c>
      <c r="N376" s="10">
        <f t="shared" si="19"/>
        <v>520000</v>
      </c>
      <c r="O376" s="15">
        <f t="shared" si="20"/>
        <v>0</v>
      </c>
      <c r="P376" s="10">
        <v>98800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618800</v>
      </c>
      <c r="AG376" s="4" t="s">
        <v>45</v>
      </c>
      <c r="AH376" s="4" t="s">
        <v>1817</v>
      </c>
    </row>
    <row r="377" spans="1:34" s="4" customFormat="1">
      <c r="A377" s="4" t="s">
        <v>32</v>
      </c>
      <c r="B377" s="4" t="s">
        <v>3211</v>
      </c>
      <c r="C377" s="4" t="s">
        <v>3212</v>
      </c>
      <c r="D377" s="4" t="s">
        <v>3076</v>
      </c>
      <c r="E377" s="4" t="s">
        <v>36</v>
      </c>
      <c r="H377" s="4" t="s">
        <v>3213</v>
      </c>
      <c r="I377" s="4" t="s">
        <v>3214</v>
      </c>
      <c r="J377" s="4" t="s">
        <v>3078</v>
      </c>
      <c r="K377" s="4" t="s">
        <v>3079</v>
      </c>
      <c r="L377" s="4" t="s">
        <v>41</v>
      </c>
      <c r="M377" s="4" t="s">
        <v>1816</v>
      </c>
      <c r="N377" s="10">
        <f t="shared" si="19"/>
        <v>5097243.7368421061</v>
      </c>
      <c r="O377" s="15">
        <f t="shared" si="20"/>
        <v>-1.6842105891555548E-2</v>
      </c>
      <c r="P377" s="10">
        <v>968476.31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6065720.0300000003</v>
      </c>
      <c r="AG377" s="4" t="s">
        <v>45</v>
      </c>
      <c r="AH377" s="4" t="s">
        <v>1817</v>
      </c>
    </row>
    <row r="378" spans="1:34" s="4" customFormat="1">
      <c r="A378" s="4" t="s">
        <v>32</v>
      </c>
      <c r="B378" s="4" t="s">
        <v>1953</v>
      </c>
      <c r="C378" s="4" t="s">
        <v>1954</v>
      </c>
      <c r="D378" s="4" t="s">
        <v>1955</v>
      </c>
      <c r="E378" s="4" t="s">
        <v>36</v>
      </c>
      <c r="F378" s="4" t="s">
        <v>470</v>
      </c>
      <c r="G378" s="4" t="s">
        <v>157</v>
      </c>
      <c r="H378" s="4" t="s">
        <v>1956</v>
      </c>
      <c r="I378" s="4" t="s">
        <v>1957</v>
      </c>
      <c r="J378" s="4" t="s">
        <v>1958</v>
      </c>
      <c r="K378" s="4" t="s">
        <v>1959</v>
      </c>
      <c r="L378" s="4" t="s">
        <v>41</v>
      </c>
      <c r="M378" s="4" t="s">
        <v>1816</v>
      </c>
      <c r="N378" s="10">
        <f t="shared" si="19"/>
        <v>9586000</v>
      </c>
      <c r="O378" s="15">
        <f t="shared" si="20"/>
        <v>0</v>
      </c>
      <c r="P378" s="10">
        <v>1821340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11407340</v>
      </c>
      <c r="AG378" s="4" t="s">
        <v>45</v>
      </c>
      <c r="AH378" s="4" t="s">
        <v>1817</v>
      </c>
    </row>
    <row r="379" spans="1:34" s="4" customFormat="1">
      <c r="A379" s="4" t="s">
        <v>32</v>
      </c>
      <c r="B379" s="4" t="s">
        <v>1978</v>
      </c>
      <c r="C379" s="4" t="s">
        <v>1979</v>
      </c>
      <c r="D379" s="4" t="s">
        <v>1955</v>
      </c>
      <c r="E379" s="4" t="s">
        <v>36</v>
      </c>
      <c r="F379" s="4" t="s">
        <v>470</v>
      </c>
      <c r="G379" s="4" t="s">
        <v>157</v>
      </c>
      <c r="H379" s="4" t="s">
        <v>1973</v>
      </c>
      <c r="I379" s="4" t="s">
        <v>1980</v>
      </c>
      <c r="J379" s="4" t="s">
        <v>1958</v>
      </c>
      <c r="K379" s="4" t="s">
        <v>1959</v>
      </c>
      <c r="L379" s="4" t="s">
        <v>41</v>
      </c>
      <c r="M379" s="4" t="s">
        <v>1816</v>
      </c>
      <c r="N379" s="10">
        <f t="shared" si="19"/>
        <v>8241830</v>
      </c>
      <c r="O379" s="15">
        <f t="shared" si="20"/>
        <v>0</v>
      </c>
      <c r="P379" s="10">
        <v>1565947.7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9807777.6999999993</v>
      </c>
      <c r="AG379" s="4" t="s">
        <v>45</v>
      </c>
      <c r="AH379" s="4" t="s">
        <v>1817</v>
      </c>
    </row>
    <row r="380" spans="1:34" s="4" customFormat="1">
      <c r="A380" s="4" t="s">
        <v>32</v>
      </c>
      <c r="B380" s="4" t="s">
        <v>1981</v>
      </c>
      <c r="C380" s="4" t="s">
        <v>1982</v>
      </c>
      <c r="D380" s="4" t="s">
        <v>1955</v>
      </c>
      <c r="E380" s="4" t="s">
        <v>36</v>
      </c>
      <c r="F380" s="4" t="s">
        <v>470</v>
      </c>
      <c r="G380" s="4" t="s">
        <v>157</v>
      </c>
      <c r="H380" s="4" t="s">
        <v>1973</v>
      </c>
      <c r="I380" s="4" t="s">
        <v>1983</v>
      </c>
      <c r="J380" s="4" t="s">
        <v>1958</v>
      </c>
      <c r="K380" s="4" t="s">
        <v>1959</v>
      </c>
      <c r="L380" s="4" t="s">
        <v>41</v>
      </c>
      <c r="M380" s="4" t="s">
        <v>1816</v>
      </c>
      <c r="N380" s="10">
        <f t="shared" si="19"/>
        <v>8076000</v>
      </c>
      <c r="O380" s="15">
        <f t="shared" si="20"/>
        <v>0</v>
      </c>
      <c r="P380" s="10">
        <v>1534440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9610440</v>
      </c>
      <c r="AG380" s="4" t="s">
        <v>45</v>
      </c>
      <c r="AH380" s="4" t="s">
        <v>1817</v>
      </c>
    </row>
    <row r="381" spans="1:34" s="4" customFormat="1">
      <c r="A381" s="4" t="s">
        <v>32</v>
      </c>
      <c r="B381" s="4" t="s">
        <v>2109</v>
      </c>
      <c r="C381" s="4" t="s">
        <v>2110</v>
      </c>
      <c r="D381" s="4" t="s">
        <v>1955</v>
      </c>
      <c r="E381" s="4" t="s">
        <v>36</v>
      </c>
      <c r="F381" s="4" t="s">
        <v>470</v>
      </c>
      <c r="G381" s="4" t="s">
        <v>157</v>
      </c>
      <c r="H381" s="4" t="s">
        <v>379</v>
      </c>
      <c r="I381" s="4" t="s">
        <v>2111</v>
      </c>
      <c r="J381" s="4" t="s">
        <v>1958</v>
      </c>
      <c r="K381" s="4" t="s">
        <v>1959</v>
      </c>
      <c r="L381" s="4" t="s">
        <v>41</v>
      </c>
      <c r="M381" s="4" t="s">
        <v>1816</v>
      </c>
      <c r="N381" s="10">
        <f t="shared" si="19"/>
        <v>8690000</v>
      </c>
      <c r="O381" s="15">
        <f t="shared" si="20"/>
        <v>0</v>
      </c>
      <c r="P381" s="10">
        <v>1651100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10341100</v>
      </c>
      <c r="AG381" s="4" t="s">
        <v>45</v>
      </c>
      <c r="AH381" s="4" t="s">
        <v>1817</v>
      </c>
    </row>
    <row r="382" spans="1:34" s="4" customFormat="1">
      <c r="A382" s="4" t="s">
        <v>32</v>
      </c>
      <c r="B382" s="4" t="s">
        <v>2118</v>
      </c>
      <c r="C382" s="4" t="s">
        <v>1938</v>
      </c>
      <c r="D382" s="4" t="s">
        <v>1955</v>
      </c>
      <c r="E382" s="4" t="s">
        <v>36</v>
      </c>
      <c r="F382" s="4" t="s">
        <v>470</v>
      </c>
      <c r="G382" s="4" t="s">
        <v>157</v>
      </c>
      <c r="H382" s="4" t="s">
        <v>379</v>
      </c>
      <c r="I382" s="4" t="s">
        <v>2119</v>
      </c>
      <c r="J382" s="4" t="s">
        <v>1958</v>
      </c>
      <c r="K382" s="4" t="s">
        <v>1959</v>
      </c>
      <c r="L382" s="4" t="s">
        <v>41</v>
      </c>
      <c r="M382" s="4" t="s">
        <v>1816</v>
      </c>
      <c r="N382" s="10">
        <f t="shared" ref="N382:N445" si="21">+P382/19*100</f>
        <v>8901480</v>
      </c>
      <c r="O382" s="15">
        <f t="shared" ref="O382:O445" si="22">+AF382-N382-P382</f>
        <v>0</v>
      </c>
      <c r="P382" s="10">
        <v>1691281.2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10592761.199999999</v>
      </c>
      <c r="AG382" s="4" t="s">
        <v>45</v>
      </c>
      <c r="AH382" s="4" t="s">
        <v>1817</v>
      </c>
    </row>
    <row r="383" spans="1:34" s="4" customFormat="1">
      <c r="A383" s="4" t="s">
        <v>32</v>
      </c>
      <c r="B383" s="4" t="s">
        <v>2123</v>
      </c>
      <c r="C383" s="4" t="s">
        <v>2124</v>
      </c>
      <c r="D383" s="4" t="s">
        <v>1955</v>
      </c>
      <c r="E383" s="4" t="s">
        <v>36</v>
      </c>
      <c r="F383" s="4" t="s">
        <v>470</v>
      </c>
      <c r="G383" s="4" t="s">
        <v>157</v>
      </c>
      <c r="H383" s="4" t="s">
        <v>379</v>
      </c>
      <c r="I383" s="4" t="s">
        <v>2125</v>
      </c>
      <c r="J383" s="4" t="s">
        <v>1958</v>
      </c>
      <c r="K383" s="4" t="s">
        <v>1959</v>
      </c>
      <c r="L383" s="4" t="s">
        <v>41</v>
      </c>
      <c r="M383" s="4" t="s">
        <v>1816</v>
      </c>
      <c r="N383" s="10">
        <f t="shared" si="21"/>
        <v>8740000</v>
      </c>
      <c r="O383" s="15">
        <f t="shared" si="22"/>
        <v>0</v>
      </c>
      <c r="P383" s="10">
        <v>1660600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10400600</v>
      </c>
      <c r="AG383" s="4" t="s">
        <v>45</v>
      </c>
      <c r="AH383" s="4" t="s">
        <v>1817</v>
      </c>
    </row>
    <row r="384" spans="1:34" s="4" customFormat="1">
      <c r="A384" s="4" t="s">
        <v>32</v>
      </c>
      <c r="B384" s="4" t="s">
        <v>2129</v>
      </c>
      <c r="C384" s="4" t="s">
        <v>2130</v>
      </c>
      <c r="D384" s="4" t="s">
        <v>1955</v>
      </c>
      <c r="E384" s="4" t="s">
        <v>36</v>
      </c>
      <c r="F384" s="4" t="s">
        <v>470</v>
      </c>
      <c r="G384" s="4" t="s">
        <v>157</v>
      </c>
      <c r="H384" s="4" t="s">
        <v>379</v>
      </c>
      <c r="I384" s="4" t="s">
        <v>2131</v>
      </c>
      <c r="J384" s="4" t="s">
        <v>1958</v>
      </c>
      <c r="K384" s="4" t="s">
        <v>1959</v>
      </c>
      <c r="L384" s="4" t="s">
        <v>41</v>
      </c>
      <c r="M384" s="4" t="s">
        <v>1816</v>
      </c>
      <c r="N384" s="10">
        <f t="shared" si="21"/>
        <v>8404000</v>
      </c>
      <c r="O384" s="15">
        <f t="shared" si="22"/>
        <v>0</v>
      </c>
      <c r="P384" s="10">
        <v>1596760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10000760</v>
      </c>
      <c r="AG384" s="4" t="s">
        <v>45</v>
      </c>
      <c r="AH384" s="4" t="s">
        <v>1817</v>
      </c>
    </row>
    <row r="385" spans="1:34" s="4" customFormat="1">
      <c r="A385" s="4" t="s">
        <v>32</v>
      </c>
      <c r="B385" s="4" t="s">
        <v>2135</v>
      </c>
      <c r="C385" s="4" t="s">
        <v>2136</v>
      </c>
      <c r="D385" s="4" t="s">
        <v>1955</v>
      </c>
      <c r="E385" s="4" t="s">
        <v>36</v>
      </c>
      <c r="F385" s="4" t="s">
        <v>470</v>
      </c>
      <c r="G385" s="4" t="s">
        <v>157</v>
      </c>
      <c r="H385" s="4" t="s">
        <v>379</v>
      </c>
      <c r="I385" s="4" t="s">
        <v>2137</v>
      </c>
      <c r="J385" s="4" t="s">
        <v>1958</v>
      </c>
      <c r="K385" s="4" t="s">
        <v>1959</v>
      </c>
      <c r="L385" s="4" t="s">
        <v>41</v>
      </c>
      <c r="M385" s="4" t="s">
        <v>1816</v>
      </c>
      <c r="N385" s="10">
        <f t="shared" si="21"/>
        <v>8040000</v>
      </c>
      <c r="O385" s="15">
        <f t="shared" si="22"/>
        <v>0</v>
      </c>
      <c r="P385" s="10">
        <v>1527600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9567600</v>
      </c>
      <c r="AG385" s="4" t="s">
        <v>45</v>
      </c>
      <c r="AH385" s="4" t="s">
        <v>1817</v>
      </c>
    </row>
    <row r="386" spans="1:34" s="4" customFormat="1">
      <c r="A386" s="4" t="s">
        <v>32</v>
      </c>
      <c r="B386" s="4" t="s">
        <v>2728</v>
      </c>
      <c r="C386" s="4" t="s">
        <v>2729</v>
      </c>
      <c r="D386" s="4" t="s">
        <v>1955</v>
      </c>
      <c r="E386" s="4" t="s">
        <v>36</v>
      </c>
      <c r="F386" s="4" t="s">
        <v>470</v>
      </c>
      <c r="G386" s="4" t="s">
        <v>157</v>
      </c>
      <c r="H386" s="4" t="s">
        <v>2730</v>
      </c>
      <c r="I386" s="4" t="s">
        <v>2731</v>
      </c>
      <c r="J386" s="4" t="s">
        <v>1958</v>
      </c>
      <c r="K386" s="4" t="s">
        <v>1959</v>
      </c>
      <c r="L386" s="4" t="s">
        <v>41</v>
      </c>
      <c r="M386" s="4" t="s">
        <v>1816</v>
      </c>
      <c r="N386" s="10">
        <f t="shared" si="21"/>
        <v>6233660</v>
      </c>
      <c r="O386" s="15">
        <f t="shared" si="22"/>
        <v>0</v>
      </c>
      <c r="P386" s="10">
        <v>1184395.3999999999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7418055.4000000004</v>
      </c>
      <c r="AG386" s="4" t="s">
        <v>45</v>
      </c>
      <c r="AH386" s="4" t="s">
        <v>1817</v>
      </c>
    </row>
    <row r="387" spans="1:34" s="4" customFormat="1">
      <c r="A387" s="4" t="s">
        <v>32</v>
      </c>
      <c r="B387" s="4" t="s">
        <v>2747</v>
      </c>
      <c r="C387" s="4" t="s">
        <v>2748</v>
      </c>
      <c r="D387" s="4" t="s">
        <v>1955</v>
      </c>
      <c r="E387" s="4" t="s">
        <v>36</v>
      </c>
      <c r="F387" s="4" t="s">
        <v>470</v>
      </c>
      <c r="G387" s="4" t="s">
        <v>157</v>
      </c>
      <c r="H387" s="4" t="s">
        <v>2266</v>
      </c>
      <c r="I387" s="4" t="s">
        <v>2749</v>
      </c>
      <c r="J387" s="4" t="s">
        <v>1958</v>
      </c>
      <c r="K387" s="4" t="s">
        <v>1959</v>
      </c>
      <c r="L387" s="4" t="s">
        <v>41</v>
      </c>
      <c r="M387" s="4" t="s">
        <v>1816</v>
      </c>
      <c r="N387" s="10">
        <f t="shared" si="21"/>
        <v>6381000</v>
      </c>
      <c r="O387" s="15">
        <f t="shared" si="22"/>
        <v>0</v>
      </c>
      <c r="P387" s="10">
        <v>1212390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7593390</v>
      </c>
      <c r="AG387" s="4" t="s">
        <v>45</v>
      </c>
      <c r="AH387" s="4" t="s">
        <v>1817</v>
      </c>
    </row>
    <row r="388" spans="1:34" s="4" customFormat="1">
      <c r="A388" s="4" t="s">
        <v>32</v>
      </c>
      <c r="B388" s="4" t="s">
        <v>2937</v>
      </c>
      <c r="C388" s="4" t="s">
        <v>2938</v>
      </c>
      <c r="D388" s="4" t="s">
        <v>1955</v>
      </c>
      <c r="E388" s="4" t="s">
        <v>36</v>
      </c>
      <c r="F388" s="4" t="s">
        <v>470</v>
      </c>
      <c r="G388" s="4" t="s">
        <v>157</v>
      </c>
      <c r="H388" s="4" t="s">
        <v>2939</v>
      </c>
      <c r="I388" s="4" t="s">
        <v>2940</v>
      </c>
      <c r="J388" s="4" t="s">
        <v>1958</v>
      </c>
      <c r="K388" s="4" t="s">
        <v>1959</v>
      </c>
      <c r="L388" s="4" t="s">
        <v>41</v>
      </c>
      <c r="M388" s="4" t="s">
        <v>1816</v>
      </c>
      <c r="N388" s="10">
        <f t="shared" si="21"/>
        <v>7475740.0000000009</v>
      </c>
      <c r="O388" s="15">
        <f t="shared" si="22"/>
        <v>0</v>
      </c>
      <c r="P388" s="10">
        <v>1420390.6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8896130.5999999996</v>
      </c>
      <c r="AG388" s="4" t="s">
        <v>45</v>
      </c>
      <c r="AH388" s="4" t="s">
        <v>1817</v>
      </c>
    </row>
    <row r="389" spans="1:34" s="4" customFormat="1">
      <c r="A389" s="4" t="s">
        <v>32</v>
      </c>
      <c r="B389" s="4" t="s">
        <v>2654</v>
      </c>
      <c r="C389" s="4" t="s">
        <v>2655</v>
      </c>
      <c r="D389" s="4" t="s">
        <v>1955</v>
      </c>
      <c r="E389" s="4" t="s">
        <v>36</v>
      </c>
      <c r="F389" s="4" t="s">
        <v>470</v>
      </c>
      <c r="G389" s="4" t="s">
        <v>157</v>
      </c>
      <c r="H389" s="4" t="s">
        <v>2652</v>
      </c>
      <c r="I389" s="4" t="s">
        <v>2656</v>
      </c>
      <c r="J389" s="4" t="s">
        <v>1958</v>
      </c>
      <c r="K389" s="4" t="s">
        <v>1959</v>
      </c>
      <c r="L389" s="4" t="s">
        <v>41</v>
      </c>
      <c r="M389" s="4" t="s">
        <v>1816</v>
      </c>
      <c r="N389" s="10">
        <f t="shared" si="21"/>
        <v>7600000</v>
      </c>
      <c r="O389" s="15">
        <f t="shared" si="22"/>
        <v>0</v>
      </c>
      <c r="P389" s="10">
        <v>1444000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9044000</v>
      </c>
      <c r="AG389" s="4" t="s">
        <v>45</v>
      </c>
      <c r="AH389" s="4" t="s">
        <v>1817</v>
      </c>
    </row>
    <row r="390" spans="1:34" s="4" customFormat="1">
      <c r="A390" s="4" t="s">
        <v>32</v>
      </c>
      <c r="B390" s="4" t="s">
        <v>2760</v>
      </c>
      <c r="C390" s="4" t="s">
        <v>2761</v>
      </c>
      <c r="D390" s="4" t="s">
        <v>1955</v>
      </c>
      <c r="E390" s="4" t="s">
        <v>36</v>
      </c>
      <c r="F390" s="4" t="s">
        <v>470</v>
      </c>
      <c r="G390" s="4" t="s">
        <v>157</v>
      </c>
      <c r="H390" s="4" t="s">
        <v>2758</v>
      </c>
      <c r="I390" s="4" t="s">
        <v>2762</v>
      </c>
      <c r="J390" s="4" t="s">
        <v>1958</v>
      </c>
      <c r="K390" s="4" t="s">
        <v>1959</v>
      </c>
      <c r="L390" s="4" t="s">
        <v>41</v>
      </c>
      <c r="M390" s="4" t="s">
        <v>1816</v>
      </c>
      <c r="N390" s="10">
        <f t="shared" si="21"/>
        <v>8241830</v>
      </c>
      <c r="O390" s="15">
        <f t="shared" si="22"/>
        <v>0</v>
      </c>
      <c r="P390" s="10">
        <v>1565947.7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9807777.6999999993</v>
      </c>
      <c r="AG390" s="4" t="s">
        <v>45</v>
      </c>
      <c r="AH390" s="4" t="s">
        <v>1817</v>
      </c>
    </row>
    <row r="391" spans="1:34" s="4" customFormat="1">
      <c r="A391" s="4" t="s">
        <v>32</v>
      </c>
      <c r="B391" s="4" t="s">
        <v>2769</v>
      </c>
      <c r="C391" s="4" t="s">
        <v>2770</v>
      </c>
      <c r="D391" s="4" t="s">
        <v>1955</v>
      </c>
      <c r="E391" s="4" t="s">
        <v>36</v>
      </c>
      <c r="F391" s="4" t="s">
        <v>470</v>
      </c>
      <c r="G391" s="4" t="s">
        <v>157</v>
      </c>
      <c r="H391" s="4" t="s">
        <v>1105</v>
      </c>
      <c r="I391" s="4" t="s">
        <v>2771</v>
      </c>
      <c r="J391" s="4" t="s">
        <v>1958</v>
      </c>
      <c r="K391" s="4" t="s">
        <v>1959</v>
      </c>
      <c r="L391" s="4" t="s">
        <v>41</v>
      </c>
      <c r="M391" s="4" t="s">
        <v>1816</v>
      </c>
      <c r="N391" s="10">
        <f t="shared" si="21"/>
        <v>8253430</v>
      </c>
      <c r="O391" s="15">
        <f t="shared" si="22"/>
        <v>0</v>
      </c>
      <c r="P391" s="10">
        <v>1568151.7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9821581.6999999993</v>
      </c>
      <c r="AG391" s="4" t="s">
        <v>45</v>
      </c>
      <c r="AH391" s="4" t="s">
        <v>1817</v>
      </c>
    </row>
    <row r="392" spans="1:34" s="4" customFormat="1">
      <c r="A392" s="4" t="s">
        <v>32</v>
      </c>
      <c r="B392" s="4" t="s">
        <v>2763</v>
      </c>
      <c r="C392" s="4" t="s">
        <v>2764</v>
      </c>
      <c r="D392" s="4" t="s">
        <v>1955</v>
      </c>
      <c r="E392" s="4" t="s">
        <v>36</v>
      </c>
      <c r="F392" s="4" t="s">
        <v>470</v>
      </c>
      <c r="G392" s="4" t="s">
        <v>157</v>
      </c>
      <c r="H392" s="4" t="s">
        <v>1105</v>
      </c>
      <c r="I392" s="4" t="s">
        <v>2765</v>
      </c>
      <c r="J392" s="4" t="s">
        <v>1958</v>
      </c>
      <c r="K392" s="4" t="s">
        <v>1959</v>
      </c>
      <c r="L392" s="4" t="s">
        <v>41</v>
      </c>
      <c r="M392" s="4" t="s">
        <v>1816</v>
      </c>
      <c r="N392" s="10">
        <f t="shared" si="21"/>
        <v>8298000</v>
      </c>
      <c r="O392" s="15">
        <f t="shared" si="22"/>
        <v>0</v>
      </c>
      <c r="P392" s="10">
        <v>1576620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9874620</v>
      </c>
      <c r="AG392" s="4" t="s">
        <v>45</v>
      </c>
      <c r="AH392" s="4" t="s">
        <v>1817</v>
      </c>
    </row>
    <row r="393" spans="1:34" s="4" customFormat="1">
      <c r="A393" s="4" t="s">
        <v>32</v>
      </c>
      <c r="B393" s="4" t="s">
        <v>2772</v>
      </c>
      <c r="C393" s="4" t="s">
        <v>2773</v>
      </c>
      <c r="D393" s="4" t="s">
        <v>1955</v>
      </c>
      <c r="E393" s="4" t="s">
        <v>36</v>
      </c>
      <c r="F393" s="4" t="s">
        <v>470</v>
      </c>
      <c r="G393" s="4" t="s">
        <v>157</v>
      </c>
      <c r="H393" s="4" t="s">
        <v>1105</v>
      </c>
      <c r="I393" s="4" t="s">
        <v>2774</v>
      </c>
      <c r="J393" s="4" t="s">
        <v>1958</v>
      </c>
      <c r="K393" s="4" t="s">
        <v>1959</v>
      </c>
      <c r="L393" s="4" t="s">
        <v>41</v>
      </c>
      <c r="M393" s="4" t="s">
        <v>1816</v>
      </c>
      <c r="N393" s="10">
        <f t="shared" si="21"/>
        <v>8298000</v>
      </c>
      <c r="O393" s="15">
        <f t="shared" si="22"/>
        <v>0</v>
      </c>
      <c r="P393" s="10">
        <v>1576620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9874620</v>
      </c>
      <c r="AG393" s="4" t="s">
        <v>45</v>
      </c>
      <c r="AH393" s="4" t="s">
        <v>1817</v>
      </c>
    </row>
    <row r="394" spans="1:34" s="4" customFormat="1">
      <c r="A394" s="4" t="s">
        <v>32</v>
      </c>
      <c r="B394" s="4" t="s">
        <v>2756</v>
      </c>
      <c r="C394" s="4" t="s">
        <v>2757</v>
      </c>
      <c r="D394" s="4" t="s">
        <v>1955</v>
      </c>
      <c r="E394" s="4" t="s">
        <v>36</v>
      </c>
      <c r="F394" s="4" t="s">
        <v>470</v>
      </c>
      <c r="G394" s="4" t="s">
        <v>157</v>
      </c>
      <c r="H394" s="4" t="s">
        <v>2758</v>
      </c>
      <c r="I394" s="4" t="s">
        <v>2759</v>
      </c>
      <c r="J394" s="4" t="s">
        <v>1958</v>
      </c>
      <c r="K394" s="4" t="s">
        <v>1959</v>
      </c>
      <c r="L394" s="4" t="s">
        <v>41</v>
      </c>
      <c r="M394" s="4" t="s">
        <v>1816</v>
      </c>
      <c r="N394" s="10">
        <f t="shared" si="21"/>
        <v>8350000</v>
      </c>
      <c r="O394" s="15">
        <f t="shared" si="22"/>
        <v>0</v>
      </c>
      <c r="P394" s="10">
        <v>1586500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9936500</v>
      </c>
      <c r="AG394" s="4" t="s">
        <v>45</v>
      </c>
      <c r="AH394" s="4" t="s">
        <v>1817</v>
      </c>
    </row>
    <row r="395" spans="1:34" s="4" customFormat="1">
      <c r="A395" s="4" t="s">
        <v>32</v>
      </c>
      <c r="B395" s="4" t="s">
        <v>2778</v>
      </c>
      <c r="C395" s="4" t="s">
        <v>2779</v>
      </c>
      <c r="D395" s="4" t="s">
        <v>1955</v>
      </c>
      <c r="E395" s="4" t="s">
        <v>36</v>
      </c>
      <c r="F395" s="4" t="s">
        <v>470</v>
      </c>
      <c r="G395" s="4" t="s">
        <v>157</v>
      </c>
      <c r="H395" s="4" t="s">
        <v>2776</v>
      </c>
      <c r="I395" s="4" t="s">
        <v>2780</v>
      </c>
      <c r="J395" s="4" t="s">
        <v>1958</v>
      </c>
      <c r="K395" s="4" t="s">
        <v>1959</v>
      </c>
      <c r="L395" s="4" t="s">
        <v>41</v>
      </c>
      <c r="M395" s="4" t="s">
        <v>1816</v>
      </c>
      <c r="N395" s="10">
        <f t="shared" si="21"/>
        <v>8392000</v>
      </c>
      <c r="O395" s="15">
        <f t="shared" si="22"/>
        <v>0</v>
      </c>
      <c r="P395" s="10">
        <v>1594480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9986480</v>
      </c>
      <c r="AG395" s="4" t="s">
        <v>45</v>
      </c>
      <c r="AH395" s="4" t="s">
        <v>1817</v>
      </c>
    </row>
    <row r="396" spans="1:34" s="4" customFormat="1">
      <c r="A396" s="4" t="s">
        <v>32</v>
      </c>
      <c r="B396" s="4" t="s">
        <v>2670</v>
      </c>
      <c r="C396" s="4" t="s">
        <v>2671</v>
      </c>
      <c r="D396" s="4" t="s">
        <v>1955</v>
      </c>
      <c r="E396" s="4" t="s">
        <v>36</v>
      </c>
      <c r="F396" s="4" t="s">
        <v>470</v>
      </c>
      <c r="G396" s="4" t="s">
        <v>157</v>
      </c>
      <c r="H396" s="4" t="s">
        <v>2672</v>
      </c>
      <c r="I396" s="4" t="s">
        <v>2673</v>
      </c>
      <c r="J396" s="4" t="s">
        <v>1958</v>
      </c>
      <c r="K396" s="4" t="s">
        <v>1959</v>
      </c>
      <c r="L396" s="4" t="s">
        <v>41</v>
      </c>
      <c r="M396" s="4" t="s">
        <v>1816</v>
      </c>
      <c r="N396" s="10">
        <f t="shared" si="21"/>
        <v>8404000</v>
      </c>
      <c r="O396" s="15">
        <f t="shared" si="22"/>
        <v>0</v>
      </c>
      <c r="P396" s="10">
        <v>1596760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10000760</v>
      </c>
      <c r="AG396" s="4" t="s">
        <v>45</v>
      </c>
      <c r="AH396" s="4" t="s">
        <v>1817</v>
      </c>
    </row>
    <row r="397" spans="1:34" s="4" customFormat="1">
      <c r="A397" s="4" t="s">
        <v>32</v>
      </c>
      <c r="B397" s="4" t="s">
        <v>2950</v>
      </c>
      <c r="C397" s="4" t="s">
        <v>2951</v>
      </c>
      <c r="D397" s="4" t="s">
        <v>1955</v>
      </c>
      <c r="E397" s="4" t="s">
        <v>36</v>
      </c>
      <c r="F397" s="4" t="s">
        <v>470</v>
      </c>
      <c r="G397" s="4" t="s">
        <v>157</v>
      </c>
      <c r="H397" s="4" t="s">
        <v>2939</v>
      </c>
      <c r="I397" s="4" t="s">
        <v>2952</v>
      </c>
      <c r="J397" s="4" t="s">
        <v>1958</v>
      </c>
      <c r="K397" s="4" t="s">
        <v>1959</v>
      </c>
      <c r="L397" s="4" t="s">
        <v>41</v>
      </c>
      <c r="M397" s="4" t="s">
        <v>1816</v>
      </c>
      <c r="N397" s="10">
        <f t="shared" si="21"/>
        <v>8404000</v>
      </c>
      <c r="O397" s="15">
        <f t="shared" si="22"/>
        <v>0</v>
      </c>
      <c r="P397" s="10">
        <v>1596760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10000760</v>
      </c>
      <c r="AG397" s="4" t="s">
        <v>45</v>
      </c>
      <c r="AH397" s="4" t="s">
        <v>1817</v>
      </c>
    </row>
    <row r="398" spans="1:34" s="4" customFormat="1">
      <c r="A398" s="4" t="s">
        <v>32</v>
      </c>
      <c r="B398" s="4" t="s">
        <v>2664</v>
      </c>
      <c r="C398" s="4" t="s">
        <v>2665</v>
      </c>
      <c r="D398" s="4" t="s">
        <v>1955</v>
      </c>
      <c r="E398" s="4" t="s">
        <v>36</v>
      </c>
      <c r="F398" s="4" t="s">
        <v>470</v>
      </c>
      <c r="G398" s="4" t="s">
        <v>157</v>
      </c>
      <c r="H398" s="4" t="s">
        <v>2662</v>
      </c>
      <c r="I398" s="4" t="s">
        <v>2666</v>
      </c>
      <c r="J398" s="4" t="s">
        <v>1958</v>
      </c>
      <c r="K398" s="4" t="s">
        <v>1959</v>
      </c>
      <c r="L398" s="4" t="s">
        <v>41</v>
      </c>
      <c r="M398" s="4" t="s">
        <v>1816</v>
      </c>
      <c r="N398" s="10">
        <f t="shared" si="21"/>
        <v>8520000</v>
      </c>
      <c r="O398" s="15">
        <f t="shared" si="22"/>
        <v>0</v>
      </c>
      <c r="P398" s="10">
        <v>1618800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10138800</v>
      </c>
      <c r="AG398" s="4" t="s">
        <v>45</v>
      </c>
      <c r="AH398" s="4" t="s">
        <v>1817</v>
      </c>
    </row>
    <row r="399" spans="1:34" s="4" customFormat="1">
      <c r="A399" s="4" t="s">
        <v>32</v>
      </c>
      <c r="B399" s="4" t="s">
        <v>2941</v>
      </c>
      <c r="C399" s="4" t="s">
        <v>2942</v>
      </c>
      <c r="D399" s="4" t="s">
        <v>1955</v>
      </c>
      <c r="E399" s="4" t="s">
        <v>36</v>
      </c>
      <c r="F399" s="4" t="s">
        <v>470</v>
      </c>
      <c r="G399" s="4" t="s">
        <v>157</v>
      </c>
      <c r="H399" s="4" t="s">
        <v>2939</v>
      </c>
      <c r="I399" s="4" t="s">
        <v>2943</v>
      </c>
      <c r="J399" s="4" t="s">
        <v>1958</v>
      </c>
      <c r="K399" s="4" t="s">
        <v>1959</v>
      </c>
      <c r="L399" s="4" t="s">
        <v>41</v>
      </c>
      <c r="M399" s="4" t="s">
        <v>1816</v>
      </c>
      <c r="N399" s="10">
        <f t="shared" si="21"/>
        <v>8560000</v>
      </c>
      <c r="O399" s="15">
        <f t="shared" si="22"/>
        <v>0</v>
      </c>
      <c r="P399" s="10">
        <v>1626400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10186400</v>
      </c>
      <c r="AG399" s="4" t="s">
        <v>45</v>
      </c>
      <c r="AH399" s="4" t="s">
        <v>1817</v>
      </c>
    </row>
    <row r="400" spans="1:34" s="4" customFormat="1">
      <c r="A400" s="4" t="s">
        <v>32</v>
      </c>
      <c r="B400" s="4" t="s">
        <v>2781</v>
      </c>
      <c r="C400" s="4" t="s">
        <v>2782</v>
      </c>
      <c r="D400" s="4" t="s">
        <v>1955</v>
      </c>
      <c r="E400" s="4" t="s">
        <v>36</v>
      </c>
      <c r="F400" s="4" t="s">
        <v>470</v>
      </c>
      <c r="G400" s="4" t="s">
        <v>157</v>
      </c>
      <c r="H400" s="4" t="s">
        <v>2776</v>
      </c>
      <c r="I400" s="4" t="s">
        <v>2783</v>
      </c>
      <c r="J400" s="4" t="s">
        <v>1958</v>
      </c>
      <c r="K400" s="4" t="s">
        <v>1959</v>
      </c>
      <c r="L400" s="4" t="s">
        <v>41</v>
      </c>
      <c r="M400" s="4" t="s">
        <v>1816</v>
      </c>
      <c r="N400" s="10">
        <f t="shared" si="21"/>
        <v>8670400</v>
      </c>
      <c r="O400" s="15">
        <f t="shared" si="22"/>
        <v>0</v>
      </c>
      <c r="P400" s="10">
        <v>1647376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10317776</v>
      </c>
      <c r="AG400" s="4" t="s">
        <v>45</v>
      </c>
      <c r="AH400" s="4" t="s">
        <v>1817</v>
      </c>
    </row>
    <row r="401" spans="1:34" s="4" customFormat="1">
      <c r="A401" s="4" t="s">
        <v>32</v>
      </c>
      <c r="B401" s="4" t="s">
        <v>2944</v>
      </c>
      <c r="C401" s="4" t="s">
        <v>2945</v>
      </c>
      <c r="D401" s="4" t="s">
        <v>1955</v>
      </c>
      <c r="E401" s="4" t="s">
        <v>36</v>
      </c>
      <c r="F401" s="4" t="s">
        <v>470</v>
      </c>
      <c r="G401" s="4" t="s">
        <v>157</v>
      </c>
      <c r="H401" s="4" t="s">
        <v>2939</v>
      </c>
      <c r="I401" s="4" t="s">
        <v>2946</v>
      </c>
      <c r="J401" s="4" t="s">
        <v>1958</v>
      </c>
      <c r="K401" s="4" t="s">
        <v>1959</v>
      </c>
      <c r="L401" s="4" t="s">
        <v>41</v>
      </c>
      <c r="M401" s="4" t="s">
        <v>1816</v>
      </c>
      <c r="N401" s="10">
        <f t="shared" si="21"/>
        <v>8723000</v>
      </c>
      <c r="O401" s="15">
        <f t="shared" si="22"/>
        <v>0</v>
      </c>
      <c r="P401" s="10">
        <v>1657370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10380370</v>
      </c>
      <c r="AG401" s="4" t="s">
        <v>45</v>
      </c>
      <c r="AH401" s="4" t="s">
        <v>1817</v>
      </c>
    </row>
    <row r="402" spans="1:34" s="4" customFormat="1">
      <c r="A402" s="4" t="s">
        <v>32</v>
      </c>
      <c r="B402" s="4" t="s">
        <v>2953</v>
      </c>
      <c r="C402" s="4" t="s">
        <v>2954</v>
      </c>
      <c r="D402" s="4" t="s">
        <v>1955</v>
      </c>
      <c r="E402" s="4" t="s">
        <v>36</v>
      </c>
      <c r="F402" s="4" t="s">
        <v>470</v>
      </c>
      <c r="G402" s="4" t="s">
        <v>157</v>
      </c>
      <c r="H402" s="4" t="s">
        <v>2939</v>
      </c>
      <c r="I402" s="4" t="s">
        <v>2955</v>
      </c>
      <c r="J402" s="4" t="s">
        <v>1958</v>
      </c>
      <c r="K402" s="4" t="s">
        <v>1959</v>
      </c>
      <c r="L402" s="4" t="s">
        <v>41</v>
      </c>
      <c r="M402" s="4" t="s">
        <v>1816</v>
      </c>
      <c r="N402" s="10">
        <f t="shared" si="21"/>
        <v>8740000</v>
      </c>
      <c r="O402" s="15">
        <f t="shared" si="22"/>
        <v>0</v>
      </c>
      <c r="P402" s="10">
        <v>1660600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10400600</v>
      </c>
      <c r="AG402" s="4" t="s">
        <v>45</v>
      </c>
      <c r="AH402" s="4" t="s">
        <v>1817</v>
      </c>
    </row>
    <row r="403" spans="1:34" s="4" customFormat="1">
      <c r="A403" s="4" t="s">
        <v>32</v>
      </c>
      <c r="B403" s="4" t="s">
        <v>2947</v>
      </c>
      <c r="C403" s="4" t="s">
        <v>2948</v>
      </c>
      <c r="D403" s="4" t="s">
        <v>1955</v>
      </c>
      <c r="E403" s="4" t="s">
        <v>36</v>
      </c>
      <c r="F403" s="4" t="s">
        <v>470</v>
      </c>
      <c r="G403" s="4" t="s">
        <v>157</v>
      </c>
      <c r="H403" s="4" t="s">
        <v>2939</v>
      </c>
      <c r="I403" s="4" t="s">
        <v>2949</v>
      </c>
      <c r="J403" s="4" t="s">
        <v>1958</v>
      </c>
      <c r="K403" s="4" t="s">
        <v>1959</v>
      </c>
      <c r="L403" s="4" t="s">
        <v>41</v>
      </c>
      <c r="M403" s="4" t="s">
        <v>1816</v>
      </c>
      <c r="N403" s="10">
        <f t="shared" si="21"/>
        <v>8840000</v>
      </c>
      <c r="O403" s="15">
        <f t="shared" si="22"/>
        <v>0</v>
      </c>
      <c r="P403" s="10">
        <v>1679600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10519600</v>
      </c>
      <c r="AG403" s="4" t="s">
        <v>45</v>
      </c>
      <c r="AH403" s="4" t="s">
        <v>1817</v>
      </c>
    </row>
    <row r="404" spans="1:34" s="4" customFormat="1">
      <c r="A404" s="4" t="s">
        <v>32</v>
      </c>
      <c r="B404" s="4" t="s">
        <v>2753</v>
      </c>
      <c r="C404" s="4" t="s">
        <v>2754</v>
      </c>
      <c r="D404" s="4" t="s">
        <v>1955</v>
      </c>
      <c r="E404" s="4" t="s">
        <v>36</v>
      </c>
      <c r="F404" s="4" t="s">
        <v>470</v>
      </c>
      <c r="G404" s="4" t="s">
        <v>157</v>
      </c>
      <c r="H404" s="4" t="s">
        <v>2266</v>
      </c>
      <c r="I404" s="4" t="s">
        <v>2755</v>
      </c>
      <c r="J404" s="4" t="s">
        <v>1958</v>
      </c>
      <c r="K404" s="4" t="s">
        <v>1959</v>
      </c>
      <c r="L404" s="4" t="s">
        <v>41</v>
      </c>
      <c r="M404" s="4" t="s">
        <v>1816</v>
      </c>
      <c r="N404" s="10">
        <f t="shared" si="21"/>
        <v>9096000</v>
      </c>
      <c r="O404" s="15">
        <f t="shared" si="22"/>
        <v>0</v>
      </c>
      <c r="P404" s="10">
        <v>1728240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10824240</v>
      </c>
      <c r="AG404" s="4" t="s">
        <v>45</v>
      </c>
      <c r="AH404" s="4" t="s">
        <v>1817</v>
      </c>
    </row>
    <row r="405" spans="1:34" s="4" customFormat="1">
      <c r="A405" s="4" t="s">
        <v>32</v>
      </c>
      <c r="B405" s="4" t="s">
        <v>2775</v>
      </c>
      <c r="C405" s="4" t="s">
        <v>1916</v>
      </c>
      <c r="D405" s="4" t="s">
        <v>1955</v>
      </c>
      <c r="E405" s="4" t="s">
        <v>36</v>
      </c>
      <c r="F405" s="4" t="s">
        <v>470</v>
      </c>
      <c r="G405" s="4" t="s">
        <v>157</v>
      </c>
      <c r="H405" s="4" t="s">
        <v>2776</v>
      </c>
      <c r="I405" s="4" t="s">
        <v>2777</v>
      </c>
      <c r="J405" s="4" t="s">
        <v>1958</v>
      </c>
      <c r="K405" s="4" t="s">
        <v>1959</v>
      </c>
      <c r="L405" s="4" t="s">
        <v>41</v>
      </c>
      <c r="M405" s="4" t="s">
        <v>1816</v>
      </c>
      <c r="N405" s="10">
        <f t="shared" si="21"/>
        <v>9098300</v>
      </c>
      <c r="O405" s="15">
        <f t="shared" si="22"/>
        <v>0</v>
      </c>
      <c r="P405" s="10">
        <v>1728677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10826977</v>
      </c>
      <c r="AG405" s="4" t="s">
        <v>45</v>
      </c>
      <c r="AH405" s="4" t="s">
        <v>1817</v>
      </c>
    </row>
    <row r="406" spans="1:34" s="4" customFormat="1">
      <c r="A406" s="4" t="s">
        <v>32</v>
      </c>
      <c r="B406" s="4" t="s">
        <v>2766</v>
      </c>
      <c r="C406" s="4" t="s">
        <v>2767</v>
      </c>
      <c r="D406" s="4" t="s">
        <v>1955</v>
      </c>
      <c r="E406" s="4" t="s">
        <v>36</v>
      </c>
      <c r="F406" s="4" t="s">
        <v>470</v>
      </c>
      <c r="G406" s="4" t="s">
        <v>157</v>
      </c>
      <c r="H406" s="4" t="s">
        <v>1105</v>
      </c>
      <c r="I406" s="4" t="s">
        <v>2768</v>
      </c>
      <c r="J406" s="4" t="s">
        <v>1958</v>
      </c>
      <c r="K406" s="4" t="s">
        <v>1959</v>
      </c>
      <c r="L406" s="4" t="s">
        <v>41</v>
      </c>
      <c r="M406" s="4" t="s">
        <v>1816</v>
      </c>
      <c r="N406" s="10">
        <f t="shared" si="21"/>
        <v>9605000</v>
      </c>
      <c r="O406" s="15">
        <f t="shared" si="22"/>
        <v>0</v>
      </c>
      <c r="P406" s="10">
        <v>1824950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11429950</v>
      </c>
      <c r="AG406" s="4" t="s">
        <v>45</v>
      </c>
      <c r="AH406" s="4" t="s">
        <v>1817</v>
      </c>
    </row>
    <row r="407" spans="1:34" s="4" customFormat="1">
      <c r="A407" s="4" t="s">
        <v>32</v>
      </c>
      <c r="B407" s="4" t="s">
        <v>2635</v>
      </c>
      <c r="C407" s="4" t="s">
        <v>2636</v>
      </c>
      <c r="D407" s="4" t="s">
        <v>1955</v>
      </c>
      <c r="E407" s="4" t="s">
        <v>36</v>
      </c>
      <c r="F407" s="4" t="s">
        <v>470</v>
      </c>
      <c r="G407" s="4" t="s">
        <v>157</v>
      </c>
      <c r="H407" s="4" t="s">
        <v>1049</v>
      </c>
      <c r="I407" s="4" t="s">
        <v>2637</v>
      </c>
      <c r="J407" s="4" t="s">
        <v>1958</v>
      </c>
      <c r="K407" s="4" t="s">
        <v>1959</v>
      </c>
      <c r="L407" s="4" t="s">
        <v>41</v>
      </c>
      <c r="M407" s="4" t="s">
        <v>1816</v>
      </c>
      <c r="N407" s="10">
        <f t="shared" si="21"/>
        <v>9998000</v>
      </c>
      <c r="O407" s="15">
        <f t="shared" si="22"/>
        <v>0</v>
      </c>
      <c r="P407" s="10">
        <v>1899620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11897620</v>
      </c>
      <c r="AG407" s="4" t="s">
        <v>45</v>
      </c>
      <c r="AH407" s="4" t="s">
        <v>1817</v>
      </c>
    </row>
    <row r="408" spans="1:34" s="4" customFormat="1">
      <c r="A408" s="4" t="s">
        <v>32</v>
      </c>
      <c r="B408" s="4" t="s">
        <v>2744</v>
      </c>
      <c r="C408" s="4" t="s">
        <v>2745</v>
      </c>
      <c r="D408" s="4" t="s">
        <v>1955</v>
      </c>
      <c r="E408" s="4" t="s">
        <v>36</v>
      </c>
      <c r="F408" s="4" t="s">
        <v>470</v>
      </c>
      <c r="G408" s="4" t="s">
        <v>157</v>
      </c>
      <c r="H408" s="4" t="s">
        <v>2266</v>
      </c>
      <c r="I408" s="4" t="s">
        <v>2746</v>
      </c>
      <c r="J408" s="4" t="s">
        <v>1958</v>
      </c>
      <c r="K408" s="4" t="s">
        <v>1959</v>
      </c>
      <c r="L408" s="4" t="s">
        <v>41</v>
      </c>
      <c r="M408" s="4" t="s">
        <v>1816</v>
      </c>
      <c r="N408" s="10">
        <f t="shared" si="21"/>
        <v>10023000</v>
      </c>
      <c r="O408" s="15">
        <f t="shared" si="22"/>
        <v>0</v>
      </c>
      <c r="P408" s="10">
        <v>1904370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11927370</v>
      </c>
      <c r="AG408" s="4" t="s">
        <v>45</v>
      </c>
      <c r="AH408" s="4" t="s">
        <v>1817</v>
      </c>
    </row>
    <row r="409" spans="1:34" s="4" customFormat="1">
      <c r="A409" s="4" t="s">
        <v>32</v>
      </c>
      <c r="B409" s="4" t="s">
        <v>3088</v>
      </c>
      <c r="C409" s="4" t="s">
        <v>3089</v>
      </c>
      <c r="D409" s="4" t="s">
        <v>3090</v>
      </c>
      <c r="E409" s="4" t="s">
        <v>36</v>
      </c>
      <c r="F409" s="4" t="s">
        <v>37</v>
      </c>
      <c r="G409" s="4" t="s">
        <v>38</v>
      </c>
      <c r="H409" s="4" t="s">
        <v>3091</v>
      </c>
      <c r="I409" s="4" t="s">
        <v>3092</v>
      </c>
      <c r="J409" s="4" t="s">
        <v>3093</v>
      </c>
      <c r="K409" s="4" t="s">
        <v>3094</v>
      </c>
      <c r="L409" s="4" t="s">
        <v>41</v>
      </c>
      <c r="M409" s="4" t="s">
        <v>42</v>
      </c>
      <c r="N409" s="10">
        <f t="shared" si="21"/>
        <v>4508000</v>
      </c>
      <c r="O409" s="15">
        <f t="shared" si="22"/>
        <v>0</v>
      </c>
      <c r="P409" s="10">
        <v>856520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5364520</v>
      </c>
      <c r="AG409" s="4" t="s">
        <v>45</v>
      </c>
      <c r="AH409" s="4" t="s">
        <v>1817</v>
      </c>
    </row>
    <row r="410" spans="1:34" s="4" customFormat="1">
      <c r="A410" s="4" t="s">
        <v>32</v>
      </c>
      <c r="B410" s="4" t="s">
        <v>2278</v>
      </c>
      <c r="C410" s="4" t="s">
        <v>2279</v>
      </c>
      <c r="D410" s="4" t="s">
        <v>1856</v>
      </c>
      <c r="E410" s="4" t="s">
        <v>36</v>
      </c>
      <c r="F410" s="4" t="s">
        <v>37</v>
      </c>
      <c r="G410" s="4" t="s">
        <v>1861</v>
      </c>
      <c r="H410" s="4" t="s">
        <v>1095</v>
      </c>
      <c r="I410" s="4" t="s">
        <v>2280</v>
      </c>
      <c r="J410" s="4" t="s">
        <v>395</v>
      </c>
      <c r="K410" s="4" t="s">
        <v>396</v>
      </c>
      <c r="L410" s="4" t="s">
        <v>41</v>
      </c>
      <c r="M410" s="4" t="s">
        <v>1816</v>
      </c>
      <c r="N410" s="10">
        <f t="shared" si="21"/>
        <v>85000</v>
      </c>
      <c r="O410" s="15">
        <f t="shared" si="22"/>
        <v>0</v>
      </c>
      <c r="P410" s="10">
        <v>16150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101150</v>
      </c>
      <c r="AG410" s="4" t="s">
        <v>45</v>
      </c>
      <c r="AH410" s="4" t="s">
        <v>1817</v>
      </c>
    </row>
    <row r="411" spans="1:34" s="4" customFormat="1">
      <c r="A411" s="4" t="s">
        <v>32</v>
      </c>
      <c r="B411" s="4" t="s">
        <v>2281</v>
      </c>
      <c r="C411" s="4" t="s">
        <v>2282</v>
      </c>
      <c r="D411" s="4" t="s">
        <v>1856</v>
      </c>
      <c r="E411" s="4" t="s">
        <v>36</v>
      </c>
      <c r="F411" s="4" t="s">
        <v>37</v>
      </c>
      <c r="G411" s="4" t="s">
        <v>1861</v>
      </c>
      <c r="H411" s="4" t="s">
        <v>1095</v>
      </c>
      <c r="I411" s="4" t="s">
        <v>2283</v>
      </c>
      <c r="J411" s="4" t="s">
        <v>395</v>
      </c>
      <c r="K411" s="4" t="s">
        <v>396</v>
      </c>
      <c r="L411" s="4" t="s">
        <v>41</v>
      </c>
      <c r="M411" s="4" t="s">
        <v>1816</v>
      </c>
      <c r="N411" s="10">
        <f t="shared" si="21"/>
        <v>263000</v>
      </c>
      <c r="O411" s="15">
        <f t="shared" si="22"/>
        <v>0</v>
      </c>
      <c r="P411" s="10">
        <v>49970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312970</v>
      </c>
      <c r="AG411" s="4" t="s">
        <v>45</v>
      </c>
      <c r="AH411" s="4" t="s">
        <v>1817</v>
      </c>
    </row>
    <row r="412" spans="1:34" s="4" customFormat="1">
      <c r="A412" s="4" t="s">
        <v>32</v>
      </c>
      <c r="B412" s="4" t="s">
        <v>2327</v>
      </c>
      <c r="C412" s="4" t="s">
        <v>2328</v>
      </c>
      <c r="D412" s="4" t="s">
        <v>1856</v>
      </c>
      <c r="E412" s="4" t="s">
        <v>36</v>
      </c>
      <c r="F412" s="4" t="s">
        <v>37</v>
      </c>
      <c r="G412" s="4" t="s">
        <v>1861</v>
      </c>
      <c r="H412" s="4" t="s">
        <v>2329</v>
      </c>
      <c r="I412" s="4" t="s">
        <v>2330</v>
      </c>
      <c r="J412" s="4" t="s">
        <v>395</v>
      </c>
      <c r="K412" s="4" t="s">
        <v>396</v>
      </c>
      <c r="L412" s="4" t="s">
        <v>41</v>
      </c>
      <c r="M412" s="4" t="s">
        <v>1816</v>
      </c>
      <c r="N412" s="10">
        <f t="shared" si="21"/>
        <v>200000</v>
      </c>
      <c r="O412" s="15">
        <f t="shared" si="22"/>
        <v>0</v>
      </c>
      <c r="P412" s="10">
        <v>38000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238000</v>
      </c>
      <c r="AG412" s="4" t="s">
        <v>45</v>
      </c>
      <c r="AH412" s="4" t="s">
        <v>1817</v>
      </c>
    </row>
    <row r="413" spans="1:34" s="4" customFormat="1">
      <c r="A413" s="4" t="s">
        <v>32</v>
      </c>
      <c r="B413" s="4" t="s">
        <v>3128</v>
      </c>
      <c r="C413" s="4" t="s">
        <v>3129</v>
      </c>
      <c r="D413" s="4" t="s">
        <v>1856</v>
      </c>
      <c r="E413" s="4" t="s">
        <v>36</v>
      </c>
      <c r="H413" s="4" t="s">
        <v>1369</v>
      </c>
      <c r="I413" s="4" t="s">
        <v>3130</v>
      </c>
      <c r="J413" s="4" t="s">
        <v>395</v>
      </c>
      <c r="K413" s="4" t="s">
        <v>396</v>
      </c>
      <c r="L413" s="4" t="s">
        <v>41</v>
      </c>
      <c r="M413" s="4" t="s">
        <v>1816</v>
      </c>
      <c r="N413" s="10">
        <f t="shared" si="21"/>
        <v>70000</v>
      </c>
      <c r="O413" s="15">
        <f t="shared" si="22"/>
        <v>0</v>
      </c>
      <c r="P413" s="10">
        <v>13300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83300</v>
      </c>
      <c r="AG413" s="4" t="s">
        <v>45</v>
      </c>
      <c r="AH413" s="4" t="s">
        <v>1817</v>
      </c>
    </row>
    <row r="414" spans="1:34" s="4" customFormat="1">
      <c r="A414" s="4" t="s">
        <v>32</v>
      </c>
      <c r="B414" s="4" t="s">
        <v>3334</v>
      </c>
      <c r="C414" s="4" t="s">
        <v>3335</v>
      </c>
      <c r="D414" s="4" t="s">
        <v>1856</v>
      </c>
      <c r="E414" s="4" t="s">
        <v>36</v>
      </c>
      <c r="H414" s="4" t="s">
        <v>1762</v>
      </c>
      <c r="I414" s="4" t="s">
        <v>3336</v>
      </c>
      <c r="J414" s="4" t="s">
        <v>395</v>
      </c>
      <c r="K414" s="4" t="s">
        <v>396</v>
      </c>
      <c r="L414" s="4" t="s">
        <v>41</v>
      </c>
      <c r="M414" s="4" t="s">
        <v>1816</v>
      </c>
      <c r="N414" s="10">
        <f t="shared" si="21"/>
        <v>90000</v>
      </c>
      <c r="O414" s="15">
        <f t="shared" si="22"/>
        <v>0</v>
      </c>
      <c r="P414" s="10">
        <v>17100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107100</v>
      </c>
      <c r="AG414" s="4" t="s">
        <v>45</v>
      </c>
      <c r="AH414" s="4" t="s">
        <v>1817</v>
      </c>
    </row>
    <row r="415" spans="1:34" s="4" customFormat="1">
      <c r="A415" s="4" t="s">
        <v>32</v>
      </c>
      <c r="B415" s="4" t="s">
        <v>2877</v>
      </c>
      <c r="C415" s="4" t="s">
        <v>2878</v>
      </c>
      <c r="D415" s="4" t="s">
        <v>1856</v>
      </c>
      <c r="E415" s="4" t="s">
        <v>36</v>
      </c>
      <c r="F415" s="4" t="s">
        <v>37</v>
      </c>
      <c r="G415" s="4" t="s">
        <v>1861</v>
      </c>
      <c r="H415" s="4" t="s">
        <v>1072</v>
      </c>
      <c r="I415" s="4" t="s">
        <v>2879</v>
      </c>
      <c r="J415" s="4" t="s">
        <v>395</v>
      </c>
      <c r="K415" s="4" t="s">
        <v>396</v>
      </c>
      <c r="L415" s="4" t="s">
        <v>41</v>
      </c>
      <c r="M415" s="4" t="s">
        <v>1816</v>
      </c>
      <c r="N415" s="10">
        <f t="shared" si="21"/>
        <v>163000</v>
      </c>
      <c r="O415" s="15">
        <f t="shared" si="22"/>
        <v>0</v>
      </c>
      <c r="P415" s="10">
        <v>30970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193970</v>
      </c>
      <c r="AG415" s="4" t="s">
        <v>45</v>
      </c>
      <c r="AH415" s="4" t="s">
        <v>1817</v>
      </c>
    </row>
    <row r="416" spans="1:34" s="4" customFormat="1">
      <c r="A416" s="4" t="s">
        <v>32</v>
      </c>
      <c r="B416" s="4" t="s">
        <v>1848</v>
      </c>
      <c r="C416" s="4" t="s">
        <v>1849</v>
      </c>
      <c r="D416" s="4" t="s">
        <v>1850</v>
      </c>
      <c r="E416" s="4" t="s">
        <v>36</v>
      </c>
      <c r="F416" s="4" t="s">
        <v>470</v>
      </c>
      <c r="G416" s="4" t="s">
        <v>157</v>
      </c>
      <c r="H416" s="4" t="s">
        <v>1844</v>
      </c>
      <c r="I416" s="4" t="s">
        <v>1851</v>
      </c>
      <c r="J416" s="4" t="s">
        <v>1852</v>
      </c>
      <c r="K416" s="4" t="s">
        <v>1853</v>
      </c>
      <c r="L416" s="4" t="s">
        <v>41</v>
      </c>
      <c r="M416" s="4" t="s">
        <v>42</v>
      </c>
      <c r="N416" s="10">
        <f t="shared" si="21"/>
        <v>8571.4210526315783</v>
      </c>
      <c r="O416" s="15">
        <f t="shared" si="22"/>
        <v>8.9473684217864502E-3</v>
      </c>
      <c r="P416" s="10">
        <v>1628.57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0</v>
      </c>
      <c r="AE416" s="10">
        <v>0</v>
      </c>
      <c r="AF416" s="10">
        <v>10200</v>
      </c>
      <c r="AG416" s="4" t="s">
        <v>45</v>
      </c>
      <c r="AH416" s="4" t="s">
        <v>1817</v>
      </c>
    </row>
    <row r="417" spans="1:34" s="4" customFormat="1">
      <c r="A417" s="4" t="s">
        <v>32</v>
      </c>
      <c r="B417" s="4" t="s">
        <v>2066</v>
      </c>
      <c r="C417" s="4" t="s">
        <v>2067</v>
      </c>
      <c r="D417" s="4" t="s">
        <v>1850</v>
      </c>
      <c r="E417" s="4" t="s">
        <v>36</v>
      </c>
      <c r="F417" s="4" t="s">
        <v>470</v>
      </c>
      <c r="G417" s="4" t="s">
        <v>157</v>
      </c>
      <c r="H417" s="4" t="s">
        <v>367</v>
      </c>
      <c r="I417" s="4" t="s">
        <v>2068</v>
      </c>
      <c r="J417" s="4" t="s">
        <v>1852</v>
      </c>
      <c r="K417" s="4" t="s">
        <v>1853</v>
      </c>
      <c r="L417" s="4" t="s">
        <v>41</v>
      </c>
      <c r="M417" s="4" t="s">
        <v>42</v>
      </c>
      <c r="N417" s="10">
        <f t="shared" si="21"/>
        <v>290687</v>
      </c>
      <c r="O417" s="15">
        <f t="shared" si="22"/>
        <v>0.47000000000116415</v>
      </c>
      <c r="P417" s="10">
        <v>55230.53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345918</v>
      </c>
      <c r="AG417" s="4" t="s">
        <v>45</v>
      </c>
      <c r="AH417" s="4" t="s">
        <v>1817</v>
      </c>
    </row>
    <row r="418" spans="1:34" s="4" customFormat="1">
      <c r="A418" s="4" t="s">
        <v>32</v>
      </c>
      <c r="B418" s="4" t="s">
        <v>2138</v>
      </c>
      <c r="C418" s="4" t="s">
        <v>2139</v>
      </c>
      <c r="D418" s="4" t="s">
        <v>1850</v>
      </c>
      <c r="E418" s="4" t="s">
        <v>36</v>
      </c>
      <c r="F418" s="4" t="s">
        <v>470</v>
      </c>
      <c r="G418" s="4" t="s">
        <v>157</v>
      </c>
      <c r="H418" s="4" t="s">
        <v>379</v>
      </c>
      <c r="I418" s="4" t="s">
        <v>2140</v>
      </c>
      <c r="J418" s="4" t="s">
        <v>1852</v>
      </c>
      <c r="K418" s="4" t="s">
        <v>1853</v>
      </c>
      <c r="L418" s="4" t="s">
        <v>41</v>
      </c>
      <c r="M418" s="4" t="s">
        <v>42</v>
      </c>
      <c r="N418" s="10">
        <f t="shared" si="21"/>
        <v>9915.9473684210534</v>
      </c>
      <c r="O418" s="15">
        <f t="shared" si="22"/>
        <v>2.2631578946629816E-2</v>
      </c>
      <c r="P418" s="10">
        <v>1884.03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11800</v>
      </c>
      <c r="AG418" s="4" t="s">
        <v>45</v>
      </c>
      <c r="AH418" s="4" t="s">
        <v>1817</v>
      </c>
    </row>
    <row r="419" spans="1:34" s="4" customFormat="1">
      <c r="A419" s="4" t="s">
        <v>32</v>
      </c>
      <c r="B419" s="4" t="s">
        <v>2141</v>
      </c>
      <c r="C419" s="4" t="s">
        <v>2142</v>
      </c>
      <c r="D419" s="4" t="s">
        <v>1850</v>
      </c>
      <c r="E419" s="4" t="s">
        <v>36</v>
      </c>
      <c r="F419" s="4" t="s">
        <v>470</v>
      </c>
      <c r="G419" s="4" t="s">
        <v>157</v>
      </c>
      <c r="H419" s="4" t="s">
        <v>379</v>
      </c>
      <c r="I419" s="4" t="s">
        <v>2143</v>
      </c>
      <c r="J419" s="4" t="s">
        <v>1852</v>
      </c>
      <c r="K419" s="4" t="s">
        <v>1853</v>
      </c>
      <c r="L419" s="4" t="s">
        <v>41</v>
      </c>
      <c r="M419" s="4" t="s">
        <v>42</v>
      </c>
      <c r="N419" s="10">
        <f t="shared" si="21"/>
        <v>53865.526315789473</v>
      </c>
      <c r="O419" s="15">
        <f t="shared" si="22"/>
        <v>2.3684210525971139E-2</v>
      </c>
      <c r="P419" s="10">
        <v>10234.450000000001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64100</v>
      </c>
      <c r="AG419" s="4" t="s">
        <v>45</v>
      </c>
      <c r="AH419" s="4" t="s">
        <v>1817</v>
      </c>
    </row>
    <row r="420" spans="1:34" s="4" customFormat="1">
      <c r="A420" s="4" t="s">
        <v>32</v>
      </c>
      <c r="B420" s="4" t="s">
        <v>2373</v>
      </c>
      <c r="C420" s="4" t="s">
        <v>2374</v>
      </c>
      <c r="D420" s="4" t="s">
        <v>1850</v>
      </c>
      <c r="E420" s="4" t="s">
        <v>36</v>
      </c>
      <c r="F420" s="4" t="s">
        <v>470</v>
      </c>
      <c r="G420" s="4" t="s">
        <v>157</v>
      </c>
      <c r="H420" s="4" t="s">
        <v>419</v>
      </c>
      <c r="I420" s="4" t="s">
        <v>2375</v>
      </c>
      <c r="J420" s="4" t="s">
        <v>1852</v>
      </c>
      <c r="K420" s="4" t="s">
        <v>1853</v>
      </c>
      <c r="L420" s="4" t="s">
        <v>41</v>
      </c>
      <c r="M420" s="4" t="s">
        <v>42</v>
      </c>
      <c r="N420" s="10">
        <f t="shared" si="21"/>
        <v>57394.947368421061</v>
      </c>
      <c r="O420" s="15">
        <f t="shared" si="22"/>
        <v>1.2631578938453458E-2</v>
      </c>
      <c r="P420" s="10">
        <v>10905.04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68300</v>
      </c>
      <c r="AG420" s="4" t="s">
        <v>45</v>
      </c>
      <c r="AH420" s="4" t="s">
        <v>1817</v>
      </c>
    </row>
    <row r="421" spans="1:34" s="4" customFormat="1">
      <c r="A421" s="4" t="s">
        <v>32</v>
      </c>
      <c r="B421" s="4" t="s">
        <v>2400</v>
      </c>
      <c r="C421" s="4" t="s">
        <v>2401</v>
      </c>
      <c r="D421" s="4" t="s">
        <v>1850</v>
      </c>
      <c r="E421" s="4" t="s">
        <v>36</v>
      </c>
      <c r="F421" s="4" t="s">
        <v>470</v>
      </c>
      <c r="G421" s="4" t="s">
        <v>157</v>
      </c>
      <c r="H421" s="4" t="s">
        <v>321</v>
      </c>
      <c r="I421" s="4" t="s">
        <v>2402</v>
      </c>
      <c r="J421" s="4" t="s">
        <v>1852</v>
      </c>
      <c r="K421" s="4" t="s">
        <v>1853</v>
      </c>
      <c r="L421" s="4" t="s">
        <v>41</v>
      </c>
      <c r="M421" s="4" t="s">
        <v>42</v>
      </c>
      <c r="N421" s="10">
        <f t="shared" si="21"/>
        <v>71759.631578947374</v>
      </c>
      <c r="O421" s="15">
        <f t="shared" si="22"/>
        <v>3.8421052626290475E-2</v>
      </c>
      <c r="P421" s="10">
        <v>13634.33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85394</v>
      </c>
      <c r="AG421" s="4" t="s">
        <v>45</v>
      </c>
      <c r="AH421" s="4" t="s">
        <v>1817</v>
      </c>
    </row>
    <row r="422" spans="1:34" s="4" customFormat="1">
      <c r="A422" s="4" t="s">
        <v>32</v>
      </c>
      <c r="B422" s="4" t="s">
        <v>2702</v>
      </c>
      <c r="C422" s="4" t="s">
        <v>2703</v>
      </c>
      <c r="D422" s="4" t="s">
        <v>1850</v>
      </c>
      <c r="E422" s="4" t="s">
        <v>36</v>
      </c>
      <c r="F422" s="4" t="s">
        <v>470</v>
      </c>
      <c r="G422" s="4" t="s">
        <v>157</v>
      </c>
      <c r="H422" s="4" t="s">
        <v>954</v>
      </c>
      <c r="I422" s="4" t="s">
        <v>2704</v>
      </c>
      <c r="J422" s="4" t="s">
        <v>1852</v>
      </c>
      <c r="K422" s="4" t="s">
        <v>1853</v>
      </c>
      <c r="L422" s="4" t="s">
        <v>41</v>
      </c>
      <c r="M422" s="4" t="s">
        <v>42</v>
      </c>
      <c r="N422" s="10">
        <f t="shared" si="21"/>
        <v>4873.9473684210525</v>
      </c>
      <c r="O422" s="15">
        <f t="shared" si="22"/>
        <v>2.6315789475575002E-3</v>
      </c>
      <c r="P422" s="10">
        <v>926.05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5800</v>
      </c>
      <c r="AG422" s="4" t="s">
        <v>45</v>
      </c>
      <c r="AH422" s="4" t="s">
        <v>1817</v>
      </c>
    </row>
    <row r="423" spans="1:34" s="4" customFormat="1">
      <c r="A423" s="4" t="s">
        <v>32</v>
      </c>
      <c r="B423" s="4" t="s">
        <v>2593</v>
      </c>
      <c r="C423" s="4" t="s">
        <v>2594</v>
      </c>
      <c r="D423" s="4" t="s">
        <v>1850</v>
      </c>
      <c r="E423" s="4" t="s">
        <v>36</v>
      </c>
      <c r="F423" s="4" t="s">
        <v>470</v>
      </c>
      <c r="G423" s="4" t="s">
        <v>157</v>
      </c>
      <c r="H423" s="4" t="s">
        <v>2194</v>
      </c>
      <c r="I423" s="4" t="s">
        <v>2595</v>
      </c>
      <c r="J423" s="4" t="s">
        <v>1852</v>
      </c>
      <c r="K423" s="4" t="s">
        <v>1853</v>
      </c>
      <c r="L423" s="4" t="s">
        <v>41</v>
      </c>
      <c r="M423" s="4" t="s">
        <v>42</v>
      </c>
      <c r="N423" s="10">
        <f t="shared" si="21"/>
        <v>10588.263157894737</v>
      </c>
      <c r="O423" s="15">
        <f t="shared" si="22"/>
        <v>-3.3157894736632443E-2</v>
      </c>
      <c r="P423" s="10">
        <v>2011.77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12600</v>
      </c>
      <c r="AG423" s="4" t="s">
        <v>45</v>
      </c>
      <c r="AH423" s="4" t="s">
        <v>1817</v>
      </c>
    </row>
    <row r="424" spans="1:34" s="4" customFormat="1">
      <c r="A424" s="4" t="s">
        <v>32</v>
      </c>
      <c r="B424" s="4" t="s">
        <v>2705</v>
      </c>
      <c r="C424" s="4" t="s">
        <v>2706</v>
      </c>
      <c r="D424" s="4" t="s">
        <v>1850</v>
      </c>
      <c r="E424" s="4" t="s">
        <v>36</v>
      </c>
      <c r="F424" s="4" t="s">
        <v>470</v>
      </c>
      <c r="G424" s="4" t="s">
        <v>157</v>
      </c>
      <c r="H424" s="4" t="s">
        <v>954</v>
      </c>
      <c r="I424" s="4" t="s">
        <v>2707</v>
      </c>
      <c r="J424" s="4" t="s">
        <v>1852</v>
      </c>
      <c r="K424" s="4" t="s">
        <v>1853</v>
      </c>
      <c r="L424" s="4" t="s">
        <v>41</v>
      </c>
      <c r="M424" s="4" t="s">
        <v>42</v>
      </c>
      <c r="N424" s="10">
        <f t="shared" si="21"/>
        <v>28319.315789473683</v>
      </c>
      <c r="O424" s="15">
        <f t="shared" si="22"/>
        <v>1.4210526316674077E-2</v>
      </c>
      <c r="P424" s="10">
        <v>5380.67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33700</v>
      </c>
      <c r="AG424" s="4" t="s">
        <v>45</v>
      </c>
      <c r="AH424" s="4" t="s">
        <v>1817</v>
      </c>
    </row>
    <row r="425" spans="1:34" s="4" customFormat="1">
      <c r="A425" s="4" t="s">
        <v>32</v>
      </c>
      <c r="B425" s="4" t="s">
        <v>2599</v>
      </c>
      <c r="C425" s="4" t="s">
        <v>2600</v>
      </c>
      <c r="D425" s="4" t="s">
        <v>1850</v>
      </c>
      <c r="E425" s="4" t="s">
        <v>36</v>
      </c>
      <c r="F425" s="4" t="s">
        <v>470</v>
      </c>
      <c r="G425" s="4" t="s">
        <v>157</v>
      </c>
      <c r="H425" s="4" t="s">
        <v>903</v>
      </c>
      <c r="I425" s="4" t="s">
        <v>2601</v>
      </c>
      <c r="J425" s="4" t="s">
        <v>1852</v>
      </c>
      <c r="K425" s="4" t="s">
        <v>1853</v>
      </c>
      <c r="L425" s="4" t="s">
        <v>41</v>
      </c>
      <c r="M425" s="4" t="s">
        <v>42</v>
      </c>
      <c r="N425" s="10">
        <f t="shared" si="21"/>
        <v>32100.842105263153</v>
      </c>
      <c r="O425" s="15">
        <f t="shared" si="22"/>
        <v>-2.1052631527709309E-3</v>
      </c>
      <c r="P425" s="10">
        <v>6099.16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38200</v>
      </c>
      <c r="AG425" s="4" t="s">
        <v>45</v>
      </c>
      <c r="AH425" s="4" t="s">
        <v>1817</v>
      </c>
    </row>
    <row r="426" spans="1:34" s="4" customFormat="1">
      <c r="A426" s="4" t="s">
        <v>32</v>
      </c>
      <c r="B426" s="4" t="s">
        <v>2735</v>
      </c>
      <c r="C426" s="4" t="s">
        <v>2736</v>
      </c>
      <c r="D426" s="4" t="s">
        <v>1850</v>
      </c>
      <c r="E426" s="4" t="s">
        <v>36</v>
      </c>
      <c r="F426" s="4" t="s">
        <v>470</v>
      </c>
      <c r="G426" s="4" t="s">
        <v>157</v>
      </c>
      <c r="H426" s="4" t="s">
        <v>2730</v>
      </c>
      <c r="I426" s="4" t="s">
        <v>2737</v>
      </c>
      <c r="J426" s="4" t="s">
        <v>1852</v>
      </c>
      <c r="K426" s="4" t="s">
        <v>1853</v>
      </c>
      <c r="L426" s="4" t="s">
        <v>41</v>
      </c>
      <c r="M426" s="4" t="s">
        <v>42</v>
      </c>
      <c r="N426" s="10">
        <f t="shared" si="21"/>
        <v>41176.473684210527</v>
      </c>
      <c r="O426" s="15">
        <f t="shared" si="22"/>
        <v>-3.6842105264440761E-3</v>
      </c>
      <c r="P426" s="10">
        <v>7823.53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49000</v>
      </c>
      <c r="AG426" s="4" t="s">
        <v>45</v>
      </c>
      <c r="AH426" s="4" t="s">
        <v>1817</v>
      </c>
    </row>
    <row r="427" spans="1:34" s="4" customFormat="1">
      <c r="A427" s="4" t="s">
        <v>32</v>
      </c>
      <c r="B427" s="4" t="s">
        <v>2034</v>
      </c>
      <c r="C427" s="4" t="s">
        <v>2035</v>
      </c>
      <c r="D427" s="4" t="s">
        <v>2036</v>
      </c>
      <c r="E427" s="4" t="s">
        <v>36</v>
      </c>
      <c r="F427" s="4" t="s">
        <v>470</v>
      </c>
      <c r="G427" s="4" t="s">
        <v>1987</v>
      </c>
      <c r="H427" s="4" t="s">
        <v>220</v>
      </c>
      <c r="I427" s="4" t="s">
        <v>2037</v>
      </c>
      <c r="J427" s="4" t="s">
        <v>2038</v>
      </c>
      <c r="K427" s="4" t="s">
        <v>2039</v>
      </c>
      <c r="L427" s="4" t="s">
        <v>41</v>
      </c>
      <c r="M427" s="4" t="s">
        <v>1816</v>
      </c>
      <c r="N427" s="10">
        <f t="shared" si="21"/>
        <v>149578.94736842107</v>
      </c>
      <c r="O427" s="15">
        <f t="shared" si="22"/>
        <v>1.0526315789320506</v>
      </c>
      <c r="P427" s="10">
        <v>28420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178000</v>
      </c>
      <c r="AG427" s="4" t="s">
        <v>45</v>
      </c>
      <c r="AH427" s="4" t="s">
        <v>1817</v>
      </c>
    </row>
    <row r="428" spans="1:34" s="4" customFormat="1">
      <c r="A428" s="4" t="s">
        <v>32</v>
      </c>
      <c r="B428" s="4" t="s">
        <v>2681</v>
      </c>
      <c r="C428" s="4" t="s">
        <v>2682</v>
      </c>
      <c r="D428" s="4" t="s">
        <v>2584</v>
      </c>
      <c r="E428" s="4" t="s">
        <v>36</v>
      </c>
      <c r="F428" s="4" t="s">
        <v>37</v>
      </c>
      <c r="G428" s="4" t="s">
        <v>2585</v>
      </c>
      <c r="H428" s="4" t="s">
        <v>2672</v>
      </c>
      <c r="I428" s="4" t="s">
        <v>2683</v>
      </c>
      <c r="J428" s="4" t="s">
        <v>2587</v>
      </c>
      <c r="K428" s="4" t="s">
        <v>2680</v>
      </c>
      <c r="L428" s="4" t="s">
        <v>41</v>
      </c>
      <c r="M428" s="4" t="s">
        <v>2589</v>
      </c>
      <c r="N428" s="10">
        <f t="shared" si="21"/>
        <v>100000</v>
      </c>
      <c r="O428" s="15">
        <f t="shared" si="22"/>
        <v>0</v>
      </c>
      <c r="P428" s="10">
        <v>19000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119000</v>
      </c>
      <c r="AG428" s="4" t="s">
        <v>45</v>
      </c>
      <c r="AH428" s="4" t="s">
        <v>1817</v>
      </c>
    </row>
    <row r="429" spans="1:34" s="4" customFormat="1">
      <c r="A429" s="4" t="s">
        <v>32</v>
      </c>
      <c r="B429" s="4" t="s">
        <v>2721</v>
      </c>
      <c r="C429" s="4" t="s">
        <v>2722</v>
      </c>
      <c r="D429" s="4" t="s">
        <v>2584</v>
      </c>
      <c r="E429" s="4" t="s">
        <v>36</v>
      </c>
      <c r="F429" s="4" t="s">
        <v>37</v>
      </c>
      <c r="G429" s="4" t="s">
        <v>2585</v>
      </c>
      <c r="H429" s="4" t="s">
        <v>1053</v>
      </c>
      <c r="I429" s="4" t="s">
        <v>2723</v>
      </c>
      <c r="J429" s="4" t="s">
        <v>2587</v>
      </c>
      <c r="K429" s="4" t="s">
        <v>2680</v>
      </c>
      <c r="L429" s="4" t="s">
        <v>41</v>
      </c>
      <c r="M429" s="4" t="s">
        <v>2589</v>
      </c>
      <c r="N429" s="10">
        <f t="shared" si="21"/>
        <v>100000</v>
      </c>
      <c r="O429" s="15">
        <f t="shared" si="22"/>
        <v>0</v>
      </c>
      <c r="P429" s="10">
        <v>19000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119000</v>
      </c>
      <c r="AG429" s="4" t="s">
        <v>45</v>
      </c>
      <c r="AH429" s="4" t="s">
        <v>1817</v>
      </c>
    </row>
    <row r="430" spans="1:34" s="4" customFormat="1">
      <c r="A430" s="4" t="s">
        <v>32</v>
      </c>
      <c r="B430" s="4" t="s">
        <v>2811</v>
      </c>
      <c r="C430" s="4" t="s">
        <v>2812</v>
      </c>
      <c r="D430" s="4" t="s">
        <v>2584</v>
      </c>
      <c r="E430" s="4" t="s">
        <v>36</v>
      </c>
      <c r="F430" s="4" t="s">
        <v>37</v>
      </c>
      <c r="G430" s="4" t="s">
        <v>2585</v>
      </c>
      <c r="H430" s="4" t="s">
        <v>2289</v>
      </c>
      <c r="I430" s="4" t="s">
        <v>2813</v>
      </c>
      <c r="J430" s="4" t="s">
        <v>2587</v>
      </c>
      <c r="K430" s="4" t="s">
        <v>2680</v>
      </c>
      <c r="L430" s="4" t="s">
        <v>41</v>
      </c>
      <c r="M430" s="4" t="s">
        <v>2589</v>
      </c>
      <c r="N430" s="10">
        <f t="shared" si="21"/>
        <v>100000</v>
      </c>
      <c r="O430" s="15">
        <f t="shared" si="22"/>
        <v>0</v>
      </c>
      <c r="P430" s="10">
        <v>19000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119000</v>
      </c>
      <c r="AG430" s="4" t="s">
        <v>45</v>
      </c>
      <c r="AH430" s="4" t="s">
        <v>1817</v>
      </c>
    </row>
    <row r="431" spans="1:34" s="4" customFormat="1">
      <c r="A431" s="4" t="s">
        <v>32</v>
      </c>
      <c r="B431" s="4" t="s">
        <v>2915</v>
      </c>
      <c r="C431" s="4" t="s">
        <v>2916</v>
      </c>
      <c r="D431" s="4" t="s">
        <v>2584</v>
      </c>
      <c r="E431" s="4" t="s">
        <v>36</v>
      </c>
      <c r="F431" s="4" t="s">
        <v>37</v>
      </c>
      <c r="G431" s="4" t="s">
        <v>2585</v>
      </c>
      <c r="H431" s="4" t="s">
        <v>2913</v>
      </c>
      <c r="I431" s="4" t="s">
        <v>2914</v>
      </c>
      <c r="J431" s="4" t="s">
        <v>2587</v>
      </c>
      <c r="K431" s="4" t="s">
        <v>2680</v>
      </c>
      <c r="L431" s="4" t="s">
        <v>41</v>
      </c>
      <c r="M431" s="4" t="s">
        <v>2589</v>
      </c>
      <c r="N431" s="10">
        <f t="shared" si="21"/>
        <v>100000</v>
      </c>
      <c r="O431" s="15">
        <f t="shared" si="22"/>
        <v>0</v>
      </c>
      <c r="P431" s="10">
        <v>19000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119000</v>
      </c>
      <c r="AG431" s="4" t="s">
        <v>45</v>
      </c>
      <c r="AH431" s="4" t="s">
        <v>1817</v>
      </c>
    </row>
    <row r="432" spans="1:34" s="4" customFormat="1">
      <c r="A432" s="4" t="s">
        <v>32</v>
      </c>
      <c r="B432" s="4" t="s">
        <v>3060</v>
      </c>
      <c r="C432" s="4" t="s">
        <v>3061</v>
      </c>
      <c r="D432" s="4" t="s">
        <v>2584</v>
      </c>
      <c r="E432" s="4" t="s">
        <v>36</v>
      </c>
      <c r="F432" s="4" t="s">
        <v>37</v>
      </c>
      <c r="G432" s="4" t="s">
        <v>2585</v>
      </c>
      <c r="H432" s="4" t="s">
        <v>3053</v>
      </c>
      <c r="I432" s="4" t="s">
        <v>3062</v>
      </c>
      <c r="J432" s="4" t="s">
        <v>2587</v>
      </c>
      <c r="K432" s="4" t="s">
        <v>2680</v>
      </c>
      <c r="L432" s="4" t="s">
        <v>41</v>
      </c>
      <c r="M432" s="4" t="s">
        <v>2589</v>
      </c>
      <c r="N432" s="10">
        <f t="shared" si="21"/>
        <v>100000</v>
      </c>
      <c r="O432" s="15">
        <f t="shared" si="22"/>
        <v>0</v>
      </c>
      <c r="P432" s="10">
        <v>19000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119000</v>
      </c>
      <c r="AG432" s="4" t="s">
        <v>45</v>
      </c>
      <c r="AH432" s="4" t="s">
        <v>1817</v>
      </c>
    </row>
    <row r="433" spans="1:34" s="4" customFormat="1">
      <c r="A433" s="4" t="s">
        <v>32</v>
      </c>
      <c r="B433" s="4" t="s">
        <v>3359</v>
      </c>
      <c r="C433" s="4" t="s">
        <v>3360</v>
      </c>
      <c r="D433" s="4" t="s">
        <v>2584</v>
      </c>
      <c r="E433" s="4" t="s">
        <v>36</v>
      </c>
      <c r="H433" s="4" t="s">
        <v>1754</v>
      </c>
      <c r="I433" s="4" t="s">
        <v>3361</v>
      </c>
      <c r="J433" s="4" t="s">
        <v>2587</v>
      </c>
      <c r="K433" s="4" t="s">
        <v>2680</v>
      </c>
      <c r="L433" s="4" t="s">
        <v>41</v>
      </c>
      <c r="M433" s="4" t="s">
        <v>2589</v>
      </c>
      <c r="N433" s="10">
        <f t="shared" si="21"/>
        <v>100000</v>
      </c>
      <c r="O433" s="15">
        <f t="shared" si="22"/>
        <v>0</v>
      </c>
      <c r="P433" s="10">
        <v>19000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119000</v>
      </c>
      <c r="AG433" s="4" t="s">
        <v>45</v>
      </c>
      <c r="AH433" s="4" t="s">
        <v>1817</v>
      </c>
    </row>
    <row r="434" spans="1:34" s="4" customFormat="1">
      <c r="A434" s="4" t="s">
        <v>32</v>
      </c>
      <c r="B434" s="4" t="s">
        <v>2677</v>
      </c>
      <c r="C434" s="4" t="s">
        <v>2678</v>
      </c>
      <c r="D434" s="4" t="s">
        <v>2584</v>
      </c>
      <c r="E434" s="4" t="s">
        <v>36</v>
      </c>
      <c r="F434" s="4" t="s">
        <v>37</v>
      </c>
      <c r="G434" s="4" t="s">
        <v>2585</v>
      </c>
      <c r="H434" s="4" t="s">
        <v>2672</v>
      </c>
      <c r="I434" s="4" t="s">
        <v>2679</v>
      </c>
      <c r="J434" s="4" t="s">
        <v>2587</v>
      </c>
      <c r="K434" s="4" t="s">
        <v>2680</v>
      </c>
      <c r="L434" s="4" t="s">
        <v>41</v>
      </c>
      <c r="M434" s="4" t="s">
        <v>2589</v>
      </c>
      <c r="N434" s="10">
        <f t="shared" si="21"/>
        <v>110000</v>
      </c>
      <c r="O434" s="15">
        <f t="shared" si="22"/>
        <v>0</v>
      </c>
      <c r="P434" s="10">
        <v>20900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130900</v>
      </c>
      <c r="AG434" s="4" t="s">
        <v>45</v>
      </c>
      <c r="AH434" s="4" t="s">
        <v>1817</v>
      </c>
    </row>
    <row r="435" spans="1:34" s="4" customFormat="1">
      <c r="A435" s="4" t="s">
        <v>32</v>
      </c>
      <c r="B435" s="4" t="s">
        <v>2718</v>
      </c>
      <c r="C435" s="4" t="s">
        <v>2719</v>
      </c>
      <c r="D435" s="4" t="s">
        <v>2584</v>
      </c>
      <c r="E435" s="4" t="s">
        <v>36</v>
      </c>
      <c r="F435" s="4" t="s">
        <v>37</v>
      </c>
      <c r="G435" s="4" t="s">
        <v>2585</v>
      </c>
      <c r="H435" s="4" t="s">
        <v>1053</v>
      </c>
      <c r="I435" s="4" t="s">
        <v>2720</v>
      </c>
      <c r="J435" s="4" t="s">
        <v>2587</v>
      </c>
      <c r="K435" s="4" t="s">
        <v>2680</v>
      </c>
      <c r="L435" s="4" t="s">
        <v>41</v>
      </c>
      <c r="M435" s="4" t="s">
        <v>2589</v>
      </c>
      <c r="N435" s="10">
        <f t="shared" si="21"/>
        <v>110000</v>
      </c>
      <c r="O435" s="15">
        <f t="shared" si="22"/>
        <v>0</v>
      </c>
      <c r="P435" s="10">
        <v>20900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130900</v>
      </c>
      <c r="AG435" s="4" t="s">
        <v>45</v>
      </c>
      <c r="AH435" s="4" t="s">
        <v>1817</v>
      </c>
    </row>
    <row r="436" spans="1:34" s="4" customFormat="1">
      <c r="A436" s="4" t="s">
        <v>32</v>
      </c>
      <c r="B436" s="4" t="s">
        <v>2814</v>
      </c>
      <c r="C436" s="4" t="s">
        <v>2815</v>
      </c>
      <c r="D436" s="4" t="s">
        <v>2584</v>
      </c>
      <c r="E436" s="4" t="s">
        <v>36</v>
      </c>
      <c r="F436" s="4" t="s">
        <v>37</v>
      </c>
      <c r="G436" s="4" t="s">
        <v>2585</v>
      </c>
      <c r="H436" s="4" t="s">
        <v>2289</v>
      </c>
      <c r="I436" s="4" t="s">
        <v>2816</v>
      </c>
      <c r="J436" s="4" t="s">
        <v>2587</v>
      </c>
      <c r="K436" s="4" t="s">
        <v>2680</v>
      </c>
      <c r="L436" s="4" t="s">
        <v>41</v>
      </c>
      <c r="M436" s="4" t="s">
        <v>2589</v>
      </c>
      <c r="N436" s="10">
        <f t="shared" si="21"/>
        <v>110000</v>
      </c>
      <c r="O436" s="15">
        <f t="shared" si="22"/>
        <v>0</v>
      </c>
      <c r="P436" s="10">
        <v>20900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130900</v>
      </c>
      <c r="AG436" s="4" t="s">
        <v>45</v>
      </c>
      <c r="AH436" s="4" t="s">
        <v>1817</v>
      </c>
    </row>
    <row r="437" spans="1:34" s="4" customFormat="1">
      <c r="A437" s="4" t="s">
        <v>32</v>
      </c>
      <c r="B437" s="4" t="s">
        <v>2911</v>
      </c>
      <c r="C437" s="4" t="s">
        <v>2912</v>
      </c>
      <c r="D437" s="4" t="s">
        <v>2584</v>
      </c>
      <c r="E437" s="4" t="s">
        <v>36</v>
      </c>
      <c r="F437" s="4" t="s">
        <v>37</v>
      </c>
      <c r="G437" s="4" t="s">
        <v>2585</v>
      </c>
      <c r="H437" s="4" t="s">
        <v>2913</v>
      </c>
      <c r="I437" s="4" t="s">
        <v>2914</v>
      </c>
      <c r="J437" s="4" t="s">
        <v>2587</v>
      </c>
      <c r="K437" s="4" t="s">
        <v>2680</v>
      </c>
      <c r="L437" s="4" t="s">
        <v>41</v>
      </c>
      <c r="M437" s="4" t="s">
        <v>2589</v>
      </c>
      <c r="N437" s="10">
        <f t="shared" si="21"/>
        <v>110000</v>
      </c>
      <c r="O437" s="15">
        <f t="shared" si="22"/>
        <v>0</v>
      </c>
      <c r="P437" s="10">
        <v>20900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130900</v>
      </c>
      <c r="AG437" s="4" t="s">
        <v>45</v>
      </c>
      <c r="AH437" s="4" t="s">
        <v>1817</v>
      </c>
    </row>
    <row r="438" spans="1:34" s="4" customFormat="1">
      <c r="A438" s="4" t="s">
        <v>32</v>
      </c>
      <c r="B438" s="4" t="s">
        <v>3057</v>
      </c>
      <c r="C438" s="4" t="s">
        <v>3058</v>
      </c>
      <c r="D438" s="4" t="s">
        <v>2584</v>
      </c>
      <c r="E438" s="4" t="s">
        <v>36</v>
      </c>
      <c r="F438" s="4" t="s">
        <v>37</v>
      </c>
      <c r="G438" s="4" t="s">
        <v>2585</v>
      </c>
      <c r="H438" s="4" t="s">
        <v>3053</v>
      </c>
      <c r="I438" s="4" t="s">
        <v>3059</v>
      </c>
      <c r="J438" s="4" t="s">
        <v>2587</v>
      </c>
      <c r="K438" s="4" t="s">
        <v>2680</v>
      </c>
      <c r="L438" s="4" t="s">
        <v>41</v>
      </c>
      <c r="M438" s="4" t="s">
        <v>2589</v>
      </c>
      <c r="N438" s="10">
        <f t="shared" si="21"/>
        <v>110000</v>
      </c>
      <c r="O438" s="15">
        <f t="shared" si="22"/>
        <v>0</v>
      </c>
      <c r="P438" s="10">
        <v>20900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130900</v>
      </c>
      <c r="AG438" s="4" t="s">
        <v>45</v>
      </c>
      <c r="AH438" s="4" t="s">
        <v>1817</v>
      </c>
    </row>
    <row r="439" spans="1:34" s="4" customFormat="1">
      <c r="A439" s="4" t="s">
        <v>32</v>
      </c>
      <c r="B439" s="4" t="s">
        <v>3356</v>
      </c>
      <c r="C439" s="4" t="s">
        <v>3357</v>
      </c>
      <c r="D439" s="4" t="s">
        <v>2584</v>
      </c>
      <c r="E439" s="4" t="s">
        <v>36</v>
      </c>
      <c r="H439" s="4" t="s">
        <v>1754</v>
      </c>
      <c r="I439" s="4" t="s">
        <v>3358</v>
      </c>
      <c r="J439" s="4" t="s">
        <v>2587</v>
      </c>
      <c r="K439" s="4" t="s">
        <v>2680</v>
      </c>
      <c r="L439" s="4" t="s">
        <v>41</v>
      </c>
      <c r="M439" s="4" t="s">
        <v>2589</v>
      </c>
      <c r="N439" s="10">
        <f t="shared" si="21"/>
        <v>110000</v>
      </c>
      <c r="O439" s="15">
        <f t="shared" si="22"/>
        <v>0</v>
      </c>
      <c r="P439" s="10">
        <v>20900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130900</v>
      </c>
      <c r="AG439" s="4" t="s">
        <v>45</v>
      </c>
      <c r="AH439" s="4" t="s">
        <v>1817</v>
      </c>
    </row>
    <row r="440" spans="1:34" s="4" customFormat="1">
      <c r="A440" s="4" t="s">
        <v>32</v>
      </c>
      <c r="B440" s="4" t="s">
        <v>2590</v>
      </c>
      <c r="C440" s="4" t="s">
        <v>2591</v>
      </c>
      <c r="D440" s="4" t="s">
        <v>2584</v>
      </c>
      <c r="E440" s="4" t="s">
        <v>36</v>
      </c>
      <c r="F440" s="4" t="s">
        <v>37</v>
      </c>
      <c r="G440" s="4" t="s">
        <v>2585</v>
      </c>
      <c r="H440" s="4" t="s">
        <v>2194</v>
      </c>
      <c r="I440" s="4" t="s">
        <v>2592</v>
      </c>
      <c r="J440" s="4" t="s">
        <v>2587</v>
      </c>
      <c r="K440" s="4" t="s">
        <v>2588</v>
      </c>
      <c r="L440" s="4" t="s">
        <v>41</v>
      </c>
      <c r="M440" s="4" t="s">
        <v>2589</v>
      </c>
      <c r="N440" s="10">
        <f t="shared" si="21"/>
        <v>100000</v>
      </c>
      <c r="O440" s="15">
        <f t="shared" si="22"/>
        <v>0</v>
      </c>
      <c r="P440" s="10">
        <v>19000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119000</v>
      </c>
      <c r="AG440" s="4" t="s">
        <v>45</v>
      </c>
      <c r="AH440" s="4" t="s">
        <v>1817</v>
      </c>
    </row>
    <row r="441" spans="1:34" s="4" customFormat="1">
      <c r="A441" s="4" t="s">
        <v>32</v>
      </c>
      <c r="B441" s="4" t="s">
        <v>2582</v>
      </c>
      <c r="C441" s="4" t="s">
        <v>2583</v>
      </c>
      <c r="D441" s="4" t="s">
        <v>2584</v>
      </c>
      <c r="E441" s="4" t="s">
        <v>36</v>
      </c>
      <c r="F441" s="4" t="s">
        <v>37</v>
      </c>
      <c r="G441" s="4" t="s">
        <v>2585</v>
      </c>
      <c r="H441" s="4" t="s">
        <v>2194</v>
      </c>
      <c r="I441" s="4" t="s">
        <v>2586</v>
      </c>
      <c r="J441" s="4" t="s">
        <v>2587</v>
      </c>
      <c r="K441" s="4" t="s">
        <v>2588</v>
      </c>
      <c r="L441" s="4" t="s">
        <v>41</v>
      </c>
      <c r="M441" s="4" t="s">
        <v>2589</v>
      </c>
      <c r="N441" s="10">
        <f t="shared" si="21"/>
        <v>110000</v>
      </c>
      <c r="O441" s="15">
        <f t="shared" si="22"/>
        <v>0</v>
      </c>
      <c r="P441" s="10">
        <v>20900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130900</v>
      </c>
      <c r="AG441" s="4" t="s">
        <v>45</v>
      </c>
      <c r="AH441" s="4" t="s">
        <v>1817</v>
      </c>
    </row>
    <row r="442" spans="1:34" s="4" customFormat="1">
      <c r="A442" s="4" t="s">
        <v>32</v>
      </c>
      <c r="B442" s="4" t="s">
        <v>2409</v>
      </c>
      <c r="C442" s="4" t="s">
        <v>2410</v>
      </c>
      <c r="D442" s="4" t="s">
        <v>1850</v>
      </c>
      <c r="E442" s="4" t="s">
        <v>36</v>
      </c>
      <c r="F442" s="4" t="s">
        <v>470</v>
      </c>
      <c r="G442" s="4" t="s">
        <v>157</v>
      </c>
      <c r="H442" s="4" t="s">
        <v>370</v>
      </c>
      <c r="I442" s="4" t="s">
        <v>2411</v>
      </c>
      <c r="J442" s="4" t="s">
        <v>2412</v>
      </c>
      <c r="K442" s="4" t="s">
        <v>2413</v>
      </c>
      <c r="L442" s="4" t="s">
        <v>41</v>
      </c>
      <c r="M442" s="4" t="s">
        <v>42</v>
      </c>
      <c r="N442" s="10">
        <f t="shared" si="21"/>
        <v>66386.526315789481</v>
      </c>
      <c r="O442" s="15">
        <f t="shared" si="22"/>
        <v>230000.02368421049</v>
      </c>
      <c r="P442" s="10">
        <v>12613.44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308999.99</v>
      </c>
      <c r="AG442" s="4" t="s">
        <v>45</v>
      </c>
      <c r="AH442" s="4" t="s">
        <v>1817</v>
      </c>
    </row>
    <row r="443" spans="1:34" s="4" customFormat="1">
      <c r="A443" s="4" t="s">
        <v>32</v>
      </c>
      <c r="B443" s="4" t="s">
        <v>2959</v>
      </c>
      <c r="C443" s="4" t="s">
        <v>2960</v>
      </c>
      <c r="D443" s="4" t="s">
        <v>1850</v>
      </c>
      <c r="E443" s="4" t="s">
        <v>36</v>
      </c>
      <c r="F443" s="4" t="s">
        <v>470</v>
      </c>
      <c r="G443" s="4" t="s">
        <v>157</v>
      </c>
      <c r="H443" s="4" t="s">
        <v>2939</v>
      </c>
      <c r="I443" s="4" t="s">
        <v>2961</v>
      </c>
      <c r="J443" s="4" t="s">
        <v>2412</v>
      </c>
      <c r="K443" s="4" t="s">
        <v>2413</v>
      </c>
      <c r="L443" s="4" t="s">
        <v>41</v>
      </c>
      <c r="M443" s="4" t="s">
        <v>42</v>
      </c>
      <c r="N443" s="10">
        <f t="shared" si="21"/>
        <v>15966.368421052633</v>
      </c>
      <c r="O443" s="15">
        <f t="shared" si="22"/>
        <v>270000.02157894737</v>
      </c>
      <c r="P443" s="10">
        <v>3033.61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289000</v>
      </c>
      <c r="AG443" s="4" t="s">
        <v>45</v>
      </c>
      <c r="AH443" s="4" t="s">
        <v>1817</v>
      </c>
    </row>
    <row r="444" spans="1:34" s="4" customFormat="1">
      <c r="A444" s="4" t="s">
        <v>32</v>
      </c>
      <c r="B444" s="4" t="s">
        <v>1937</v>
      </c>
      <c r="C444" s="4" t="s">
        <v>1938</v>
      </c>
      <c r="D444" s="4" t="s">
        <v>1939</v>
      </c>
      <c r="E444" s="4" t="s">
        <v>36</v>
      </c>
      <c r="F444" s="4" t="s">
        <v>37</v>
      </c>
      <c r="G444" s="4" t="s">
        <v>1822</v>
      </c>
      <c r="H444" s="4" t="s">
        <v>183</v>
      </c>
      <c r="I444" s="4" t="s">
        <v>1940</v>
      </c>
      <c r="J444" s="4" t="s">
        <v>1941</v>
      </c>
      <c r="K444" s="4" t="s">
        <v>1942</v>
      </c>
      <c r="L444" s="4" t="s">
        <v>41</v>
      </c>
      <c r="M444" s="4" t="s">
        <v>1816</v>
      </c>
      <c r="N444" s="10">
        <f t="shared" si="21"/>
        <v>0</v>
      </c>
      <c r="O444" s="15">
        <f t="shared" si="22"/>
        <v>2070000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2070000</v>
      </c>
      <c r="AG444" s="4" t="s">
        <v>45</v>
      </c>
      <c r="AH444" s="4" t="s">
        <v>1817</v>
      </c>
    </row>
    <row r="445" spans="1:34" s="4" customFormat="1">
      <c r="A445" s="4" t="s">
        <v>32</v>
      </c>
      <c r="B445" s="4" t="s">
        <v>1996</v>
      </c>
      <c r="C445" s="4" t="s">
        <v>1997</v>
      </c>
      <c r="D445" s="4" t="s">
        <v>1939</v>
      </c>
      <c r="E445" s="4" t="s">
        <v>36</v>
      </c>
      <c r="F445" s="4" t="s">
        <v>470</v>
      </c>
      <c r="G445" s="4" t="s">
        <v>1998</v>
      </c>
      <c r="H445" s="4" t="s">
        <v>152</v>
      </c>
      <c r="I445" s="4" t="s">
        <v>1999</v>
      </c>
      <c r="J445" s="4" t="s">
        <v>1941</v>
      </c>
      <c r="K445" s="4" t="s">
        <v>1942</v>
      </c>
      <c r="L445" s="4" t="s">
        <v>41</v>
      </c>
      <c r="M445" s="4" t="s">
        <v>1816</v>
      </c>
      <c r="N445" s="10">
        <f t="shared" si="21"/>
        <v>0</v>
      </c>
      <c r="O445" s="15">
        <f t="shared" si="22"/>
        <v>1149000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1149000</v>
      </c>
      <c r="AG445" s="4" t="s">
        <v>45</v>
      </c>
      <c r="AH445" s="4" t="s">
        <v>1817</v>
      </c>
    </row>
    <row r="446" spans="1:34" s="4" customFormat="1">
      <c r="A446" s="4" t="s">
        <v>32</v>
      </c>
      <c r="B446" s="4" t="s">
        <v>2687</v>
      </c>
      <c r="C446" s="4" t="s">
        <v>2688</v>
      </c>
      <c r="D446" s="4" t="s">
        <v>1939</v>
      </c>
      <c r="E446" s="4" t="s">
        <v>36</v>
      </c>
      <c r="F446" s="4" t="s">
        <v>470</v>
      </c>
      <c r="G446" s="4" t="s">
        <v>1998</v>
      </c>
      <c r="H446" s="4" t="s">
        <v>1058</v>
      </c>
      <c r="I446" s="4" t="s">
        <v>2689</v>
      </c>
      <c r="J446" s="4" t="s">
        <v>1941</v>
      </c>
      <c r="K446" s="4" t="s">
        <v>1942</v>
      </c>
      <c r="L446" s="4" t="s">
        <v>41</v>
      </c>
      <c r="M446" s="4" t="s">
        <v>1816</v>
      </c>
      <c r="N446" s="10">
        <f t="shared" ref="N446:N509" si="23">+P446/19*100</f>
        <v>0</v>
      </c>
      <c r="O446" s="15">
        <f t="shared" ref="O446:O509" si="24">+AF446-N446-P446</f>
        <v>650000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650000</v>
      </c>
      <c r="AG446" s="4" t="s">
        <v>45</v>
      </c>
      <c r="AH446" s="4" t="s">
        <v>1817</v>
      </c>
    </row>
    <row r="447" spans="1:34" s="4" customFormat="1">
      <c r="A447" s="4" t="s">
        <v>32</v>
      </c>
      <c r="B447" s="4" t="s">
        <v>2684</v>
      </c>
      <c r="C447" s="4" t="s">
        <v>2685</v>
      </c>
      <c r="D447" s="4" t="s">
        <v>1939</v>
      </c>
      <c r="E447" s="4" t="s">
        <v>36</v>
      </c>
      <c r="F447" s="4" t="s">
        <v>37</v>
      </c>
      <c r="G447" s="4" t="s">
        <v>1822</v>
      </c>
      <c r="H447" s="4" t="s">
        <v>1058</v>
      </c>
      <c r="I447" s="4" t="s">
        <v>2686</v>
      </c>
      <c r="J447" s="4" t="s">
        <v>1941</v>
      </c>
      <c r="K447" s="4" t="s">
        <v>1942</v>
      </c>
      <c r="L447" s="4" t="s">
        <v>41</v>
      </c>
      <c r="M447" s="4" t="s">
        <v>1816</v>
      </c>
      <c r="N447" s="10">
        <f t="shared" si="23"/>
        <v>0</v>
      </c>
      <c r="O447" s="15">
        <f t="shared" si="24"/>
        <v>2070000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2070000</v>
      </c>
      <c r="AG447" s="4" t="s">
        <v>45</v>
      </c>
      <c r="AH447" s="4" t="s">
        <v>1817</v>
      </c>
    </row>
    <row r="448" spans="1:34" s="4" customFormat="1">
      <c r="A448" s="4" t="s">
        <v>32</v>
      </c>
      <c r="B448" s="4" t="s">
        <v>3337</v>
      </c>
      <c r="C448" s="4" t="s">
        <v>3338</v>
      </c>
      <c r="D448" s="4" t="s">
        <v>3339</v>
      </c>
      <c r="E448" s="4" t="s">
        <v>36</v>
      </c>
      <c r="H448" s="4" t="s">
        <v>1733</v>
      </c>
      <c r="I448" s="4" t="s">
        <v>3340</v>
      </c>
      <c r="J448" s="4" t="s">
        <v>3341</v>
      </c>
      <c r="K448" s="4" t="s">
        <v>3342</v>
      </c>
      <c r="L448" s="4" t="s">
        <v>41</v>
      </c>
      <c r="M448" s="4" t="s">
        <v>3258</v>
      </c>
      <c r="N448" s="10">
        <f t="shared" si="23"/>
        <v>2981600</v>
      </c>
      <c r="O448" s="15">
        <f t="shared" si="24"/>
        <v>0</v>
      </c>
      <c r="P448" s="10">
        <v>566504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3548104</v>
      </c>
      <c r="AG448" s="4" t="s">
        <v>45</v>
      </c>
      <c r="AH448" s="4" t="s">
        <v>1817</v>
      </c>
    </row>
    <row r="449" spans="1:34" s="4" customFormat="1">
      <c r="A449" s="4" t="s">
        <v>32</v>
      </c>
      <c r="B449" s="4" t="s">
        <v>2516</v>
      </c>
      <c r="C449" s="4" t="s">
        <v>2517</v>
      </c>
      <c r="D449" s="4" t="s">
        <v>2518</v>
      </c>
      <c r="E449" s="4" t="s">
        <v>36</v>
      </c>
      <c r="F449" s="4" t="s">
        <v>470</v>
      </c>
      <c r="G449" s="4" t="s">
        <v>157</v>
      </c>
      <c r="H449" s="4" t="s">
        <v>2506</v>
      </c>
      <c r="I449" s="4" t="s">
        <v>2519</v>
      </c>
      <c r="J449" s="4" t="s">
        <v>2520</v>
      </c>
      <c r="K449" s="4" t="s">
        <v>2521</v>
      </c>
      <c r="L449" s="4" t="s">
        <v>41</v>
      </c>
      <c r="M449" s="4" t="s">
        <v>2522</v>
      </c>
      <c r="N449" s="10">
        <f t="shared" si="23"/>
        <v>14500</v>
      </c>
      <c r="O449" s="15">
        <f t="shared" si="24"/>
        <v>0</v>
      </c>
      <c r="P449" s="10">
        <v>2755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17255</v>
      </c>
      <c r="AG449" s="4" t="s">
        <v>45</v>
      </c>
      <c r="AH449" s="4" t="s">
        <v>1817</v>
      </c>
    </row>
    <row r="450" spans="1:34" s="4" customFormat="1">
      <c r="A450" s="4" t="s">
        <v>32</v>
      </c>
      <c r="B450" s="4" t="s">
        <v>2523</v>
      </c>
      <c r="C450" s="4" t="s">
        <v>2206</v>
      </c>
      <c r="D450" s="4" t="s">
        <v>2518</v>
      </c>
      <c r="E450" s="4" t="s">
        <v>36</v>
      </c>
      <c r="F450" s="4" t="s">
        <v>470</v>
      </c>
      <c r="G450" s="4" t="s">
        <v>2457</v>
      </c>
      <c r="H450" s="4" t="s">
        <v>440</v>
      </c>
      <c r="I450" s="4" t="s">
        <v>2524</v>
      </c>
      <c r="J450" s="4" t="s">
        <v>2520</v>
      </c>
      <c r="K450" s="4" t="s">
        <v>2521</v>
      </c>
      <c r="L450" s="4" t="s">
        <v>41</v>
      </c>
      <c r="M450" s="4" t="s">
        <v>2522</v>
      </c>
      <c r="N450" s="10">
        <f t="shared" si="23"/>
        <v>326440</v>
      </c>
      <c r="O450" s="15">
        <f t="shared" si="24"/>
        <v>0</v>
      </c>
      <c r="P450" s="10">
        <v>62023.6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388463.6</v>
      </c>
      <c r="AG450" s="4" t="s">
        <v>45</v>
      </c>
      <c r="AH450" s="4" t="s">
        <v>1817</v>
      </c>
    </row>
    <row r="451" spans="1:34" s="4" customFormat="1">
      <c r="A451" s="4" t="s">
        <v>32</v>
      </c>
      <c r="B451" s="4" t="s">
        <v>2503</v>
      </c>
      <c r="C451" s="4" t="s">
        <v>2504</v>
      </c>
      <c r="D451" s="4" t="s">
        <v>2505</v>
      </c>
      <c r="E451" s="4" t="s">
        <v>36</v>
      </c>
      <c r="F451" s="4" t="s">
        <v>470</v>
      </c>
      <c r="G451" s="4" t="s">
        <v>157</v>
      </c>
      <c r="H451" s="4" t="s">
        <v>2506</v>
      </c>
      <c r="I451" s="4" t="s">
        <v>2507</v>
      </c>
      <c r="J451" s="4" t="s">
        <v>2508</v>
      </c>
      <c r="K451" s="4" t="s">
        <v>2509</v>
      </c>
      <c r="L451" s="4" t="s">
        <v>41</v>
      </c>
      <c r="M451" s="4" t="s">
        <v>1816</v>
      </c>
      <c r="N451" s="10">
        <f t="shared" si="23"/>
        <v>22689</v>
      </c>
      <c r="O451" s="15">
        <f t="shared" si="24"/>
        <v>0</v>
      </c>
      <c r="P451" s="10">
        <v>4310.91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26999.91</v>
      </c>
      <c r="AG451" s="4" t="s">
        <v>45</v>
      </c>
      <c r="AH451" s="4" t="s">
        <v>1817</v>
      </c>
    </row>
    <row r="452" spans="1:34" s="4" customFormat="1">
      <c r="A452" s="4" t="s">
        <v>32</v>
      </c>
      <c r="B452" s="4" t="s">
        <v>2228</v>
      </c>
      <c r="C452" s="4" t="s">
        <v>2229</v>
      </c>
      <c r="D452" s="4" t="s">
        <v>2230</v>
      </c>
      <c r="E452" s="4" t="s">
        <v>36</v>
      </c>
      <c r="F452" s="4" t="s">
        <v>37</v>
      </c>
      <c r="G452" s="4" t="s">
        <v>470</v>
      </c>
      <c r="H452" s="4" t="s">
        <v>2231</v>
      </c>
      <c r="I452" s="4" t="s">
        <v>2232</v>
      </c>
      <c r="J452" s="4" t="s">
        <v>391</v>
      </c>
      <c r="K452" s="4" t="s">
        <v>392</v>
      </c>
      <c r="L452" s="4" t="s">
        <v>41</v>
      </c>
      <c r="M452" s="4" t="s">
        <v>1816</v>
      </c>
      <c r="N452" s="10">
        <f t="shared" si="23"/>
        <v>0</v>
      </c>
      <c r="O452" s="15">
        <f t="shared" si="24"/>
        <v>280000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280000</v>
      </c>
      <c r="AG452" s="4" t="s">
        <v>45</v>
      </c>
      <c r="AH452" s="4" t="s">
        <v>1817</v>
      </c>
    </row>
    <row r="453" spans="1:34" s="4" customFormat="1">
      <c r="A453" s="4" t="s">
        <v>32</v>
      </c>
      <c r="B453" s="4" t="s">
        <v>2996</v>
      </c>
      <c r="C453" s="4" t="s">
        <v>2997</v>
      </c>
      <c r="D453" s="4" t="s">
        <v>2230</v>
      </c>
      <c r="E453" s="4" t="s">
        <v>36</v>
      </c>
      <c r="F453" s="4" t="s">
        <v>37</v>
      </c>
      <c r="G453" s="4" t="s">
        <v>470</v>
      </c>
      <c r="H453" s="4" t="s">
        <v>2356</v>
      </c>
      <c r="I453" s="4" t="s">
        <v>2998</v>
      </c>
      <c r="J453" s="4" t="s">
        <v>391</v>
      </c>
      <c r="K453" s="4" t="s">
        <v>392</v>
      </c>
      <c r="L453" s="4" t="s">
        <v>41</v>
      </c>
      <c r="M453" s="4" t="s">
        <v>1816</v>
      </c>
      <c r="N453" s="10">
        <f t="shared" si="23"/>
        <v>0</v>
      </c>
      <c r="O453" s="15">
        <f t="shared" si="24"/>
        <v>244000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244000</v>
      </c>
      <c r="AG453" s="4" t="s">
        <v>45</v>
      </c>
      <c r="AH453" s="4" t="s">
        <v>1817</v>
      </c>
    </row>
    <row r="454" spans="1:34" s="4" customFormat="1">
      <c r="A454" s="4" t="s">
        <v>32</v>
      </c>
      <c r="B454" s="4" t="s">
        <v>2275</v>
      </c>
      <c r="C454" s="4" t="s">
        <v>2276</v>
      </c>
      <c r="D454" s="4" t="s">
        <v>1850</v>
      </c>
      <c r="E454" s="4" t="s">
        <v>36</v>
      </c>
      <c r="F454" s="4" t="s">
        <v>37</v>
      </c>
      <c r="G454" s="4" t="s">
        <v>1861</v>
      </c>
      <c r="H454" s="4" t="s">
        <v>1095</v>
      </c>
      <c r="I454" s="4" t="s">
        <v>2277</v>
      </c>
      <c r="J454" s="4" t="s">
        <v>393</v>
      </c>
      <c r="K454" s="4" t="s">
        <v>394</v>
      </c>
      <c r="L454" s="4" t="s">
        <v>41</v>
      </c>
      <c r="M454" s="4" t="s">
        <v>1816</v>
      </c>
      <c r="N454" s="10">
        <f t="shared" si="23"/>
        <v>165000</v>
      </c>
      <c r="O454" s="15">
        <f t="shared" si="24"/>
        <v>0</v>
      </c>
      <c r="P454" s="10">
        <v>31350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196350</v>
      </c>
      <c r="AG454" s="4" t="s">
        <v>45</v>
      </c>
      <c r="AH454" s="4" t="s">
        <v>1817</v>
      </c>
    </row>
    <row r="455" spans="1:34" s="4" customFormat="1">
      <c r="A455" s="4" t="s">
        <v>32</v>
      </c>
      <c r="B455" s="4" t="s">
        <v>2313</v>
      </c>
      <c r="C455" s="4" t="s">
        <v>2314</v>
      </c>
      <c r="D455" s="4" t="s">
        <v>1850</v>
      </c>
      <c r="E455" s="4" t="s">
        <v>36</v>
      </c>
      <c r="F455" s="4" t="s">
        <v>37</v>
      </c>
      <c r="G455" s="4" t="s">
        <v>1861</v>
      </c>
      <c r="H455" s="4" t="s">
        <v>1068</v>
      </c>
      <c r="I455" s="4" t="s">
        <v>2315</v>
      </c>
      <c r="J455" s="4" t="s">
        <v>393</v>
      </c>
      <c r="K455" s="4" t="s">
        <v>394</v>
      </c>
      <c r="L455" s="4" t="s">
        <v>41</v>
      </c>
      <c r="M455" s="4" t="s">
        <v>1816</v>
      </c>
      <c r="N455" s="10">
        <f t="shared" si="23"/>
        <v>401100</v>
      </c>
      <c r="O455" s="15">
        <f t="shared" si="24"/>
        <v>0</v>
      </c>
      <c r="P455" s="10">
        <v>76209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477309</v>
      </c>
      <c r="AG455" s="4" t="s">
        <v>45</v>
      </c>
      <c r="AH455" s="4" t="s">
        <v>1817</v>
      </c>
    </row>
    <row r="456" spans="1:34" s="4" customFormat="1">
      <c r="A456" s="4" t="s">
        <v>32</v>
      </c>
      <c r="B456" s="4" t="s">
        <v>2316</v>
      </c>
      <c r="C456" s="4" t="s">
        <v>2317</v>
      </c>
      <c r="D456" s="4" t="s">
        <v>1850</v>
      </c>
      <c r="E456" s="4" t="s">
        <v>36</v>
      </c>
      <c r="F456" s="4" t="s">
        <v>37</v>
      </c>
      <c r="G456" s="4" t="s">
        <v>1861</v>
      </c>
      <c r="H456" s="4" t="s">
        <v>1068</v>
      </c>
      <c r="I456" s="4" t="s">
        <v>2318</v>
      </c>
      <c r="J456" s="4" t="s">
        <v>393</v>
      </c>
      <c r="K456" s="4" t="s">
        <v>394</v>
      </c>
      <c r="L456" s="4" t="s">
        <v>41</v>
      </c>
      <c r="M456" s="4" t="s">
        <v>1816</v>
      </c>
      <c r="N456" s="10">
        <f t="shared" si="23"/>
        <v>327000</v>
      </c>
      <c r="O456" s="15">
        <f t="shared" si="24"/>
        <v>0</v>
      </c>
      <c r="P456" s="10">
        <v>62130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389130</v>
      </c>
      <c r="AG456" s="4" t="s">
        <v>45</v>
      </c>
      <c r="AH456" s="4" t="s">
        <v>1817</v>
      </c>
    </row>
    <row r="457" spans="1:34" s="4" customFormat="1">
      <c r="A457" s="4" t="s">
        <v>32</v>
      </c>
      <c r="B457" s="4" t="s">
        <v>3321</v>
      </c>
      <c r="C457" s="4" t="s">
        <v>3322</v>
      </c>
      <c r="D457" s="4" t="s">
        <v>1850</v>
      </c>
      <c r="E457" s="4" t="s">
        <v>36</v>
      </c>
      <c r="H457" s="4" t="s">
        <v>1620</v>
      </c>
      <c r="I457" s="4" t="s">
        <v>3323</v>
      </c>
      <c r="J457" s="4" t="s">
        <v>393</v>
      </c>
      <c r="K457" s="4" t="s">
        <v>394</v>
      </c>
      <c r="L457" s="4" t="s">
        <v>41</v>
      </c>
      <c r="M457" s="4" t="s">
        <v>1816</v>
      </c>
      <c r="N457" s="10">
        <f t="shared" si="23"/>
        <v>157500</v>
      </c>
      <c r="O457" s="15">
        <f t="shared" si="24"/>
        <v>0</v>
      </c>
      <c r="P457" s="10">
        <v>29925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187425</v>
      </c>
      <c r="AG457" s="4" t="s">
        <v>45</v>
      </c>
      <c r="AH457" s="4" t="s">
        <v>1817</v>
      </c>
    </row>
    <row r="458" spans="1:34" s="4" customFormat="1">
      <c r="A458" s="4" t="s">
        <v>32</v>
      </c>
      <c r="B458" s="4" t="s">
        <v>3327</v>
      </c>
      <c r="C458" s="4" t="s">
        <v>3328</v>
      </c>
      <c r="D458" s="4" t="s">
        <v>1850</v>
      </c>
      <c r="E458" s="4" t="s">
        <v>36</v>
      </c>
      <c r="H458" s="4" t="s">
        <v>1620</v>
      </c>
      <c r="I458" s="4" t="s">
        <v>3329</v>
      </c>
      <c r="J458" s="4" t="s">
        <v>393</v>
      </c>
      <c r="K458" s="4" t="s">
        <v>394</v>
      </c>
      <c r="L458" s="4" t="s">
        <v>41</v>
      </c>
      <c r="M458" s="4" t="s">
        <v>1816</v>
      </c>
      <c r="N458" s="10">
        <f t="shared" si="23"/>
        <v>169000</v>
      </c>
      <c r="O458" s="15">
        <f t="shared" si="24"/>
        <v>0</v>
      </c>
      <c r="P458" s="10">
        <v>32110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201110</v>
      </c>
      <c r="AG458" s="4" t="s">
        <v>45</v>
      </c>
      <c r="AH458" s="4" t="s">
        <v>1817</v>
      </c>
    </row>
    <row r="459" spans="1:34" s="4" customFormat="1">
      <c r="A459" s="4" t="s">
        <v>32</v>
      </c>
      <c r="B459" s="4" t="s">
        <v>3115</v>
      </c>
      <c r="C459" s="4" t="s">
        <v>3116</v>
      </c>
      <c r="D459" s="4" t="s">
        <v>1850</v>
      </c>
      <c r="E459" s="4" t="s">
        <v>36</v>
      </c>
      <c r="H459" s="4" t="s">
        <v>1378</v>
      </c>
      <c r="I459" s="4" t="s">
        <v>3117</v>
      </c>
      <c r="J459" s="4" t="s">
        <v>393</v>
      </c>
      <c r="K459" s="4" t="s">
        <v>394</v>
      </c>
      <c r="L459" s="4" t="s">
        <v>41</v>
      </c>
      <c r="M459" s="4" t="s">
        <v>1816</v>
      </c>
      <c r="N459" s="10">
        <f t="shared" si="23"/>
        <v>310000</v>
      </c>
      <c r="O459" s="15">
        <f t="shared" si="24"/>
        <v>0</v>
      </c>
      <c r="P459" s="10">
        <v>58900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368900</v>
      </c>
      <c r="AG459" s="4" t="s">
        <v>45</v>
      </c>
      <c r="AH459" s="4" t="s">
        <v>1817</v>
      </c>
    </row>
    <row r="460" spans="1:34" s="4" customFormat="1">
      <c r="A460" s="4" t="s">
        <v>32</v>
      </c>
      <c r="B460" s="4" t="s">
        <v>2793</v>
      </c>
      <c r="C460" s="4" t="s">
        <v>2794</v>
      </c>
      <c r="D460" s="4" t="s">
        <v>1850</v>
      </c>
      <c r="E460" s="4" t="s">
        <v>36</v>
      </c>
      <c r="F460" s="4" t="s">
        <v>37</v>
      </c>
      <c r="G460" s="4" t="s">
        <v>1861</v>
      </c>
      <c r="H460" s="4" t="s">
        <v>1095</v>
      </c>
      <c r="I460" s="4" t="s">
        <v>2795</v>
      </c>
      <c r="J460" s="4" t="s">
        <v>393</v>
      </c>
      <c r="K460" s="4" t="s">
        <v>394</v>
      </c>
      <c r="L460" s="4" t="s">
        <v>41</v>
      </c>
      <c r="M460" s="4" t="s">
        <v>1816</v>
      </c>
      <c r="N460" s="10">
        <f t="shared" si="23"/>
        <v>527000</v>
      </c>
      <c r="O460" s="15">
        <f t="shared" si="24"/>
        <v>0</v>
      </c>
      <c r="P460" s="10">
        <v>100130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627130</v>
      </c>
      <c r="AG460" s="4" t="s">
        <v>45</v>
      </c>
      <c r="AH460" s="4" t="s">
        <v>1817</v>
      </c>
    </row>
    <row r="461" spans="1:34" s="4" customFormat="1">
      <c r="A461" s="4" t="s">
        <v>32</v>
      </c>
      <c r="B461" s="4" t="s">
        <v>3200</v>
      </c>
      <c r="C461" s="4" t="s">
        <v>3201</v>
      </c>
      <c r="D461" s="4" t="s">
        <v>1850</v>
      </c>
      <c r="E461" s="4" t="s">
        <v>36</v>
      </c>
      <c r="H461" s="4" t="s">
        <v>3202</v>
      </c>
      <c r="I461" s="4" t="s">
        <v>3203</v>
      </c>
      <c r="J461" s="4" t="s">
        <v>393</v>
      </c>
      <c r="K461" s="4" t="s">
        <v>394</v>
      </c>
      <c r="L461" s="4" t="s">
        <v>41</v>
      </c>
      <c r="M461" s="4" t="s">
        <v>1816</v>
      </c>
      <c r="N461" s="10">
        <f t="shared" si="23"/>
        <v>2500000</v>
      </c>
      <c r="O461" s="15">
        <f t="shared" si="24"/>
        <v>0</v>
      </c>
      <c r="P461" s="10">
        <v>475000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2975000</v>
      </c>
      <c r="AG461" s="4" t="s">
        <v>45</v>
      </c>
      <c r="AH461" s="4" t="s">
        <v>1817</v>
      </c>
    </row>
    <row r="462" spans="1:34" s="4" customFormat="1">
      <c r="A462" s="4" t="s">
        <v>32</v>
      </c>
      <c r="B462" s="4" t="s">
        <v>2853</v>
      </c>
      <c r="C462" s="4" t="s">
        <v>2854</v>
      </c>
      <c r="D462" s="4" t="s">
        <v>2855</v>
      </c>
      <c r="E462" s="4" t="s">
        <v>36</v>
      </c>
      <c r="F462" s="4" t="s">
        <v>37</v>
      </c>
      <c r="G462" s="4" t="s">
        <v>1918</v>
      </c>
      <c r="H462" s="4" t="s">
        <v>1181</v>
      </c>
      <c r="I462" s="4" t="s">
        <v>2856</v>
      </c>
      <c r="J462" s="4" t="s">
        <v>2857</v>
      </c>
      <c r="K462" s="4" t="s">
        <v>2858</v>
      </c>
      <c r="L462" s="4" t="s">
        <v>41</v>
      </c>
      <c r="M462" s="4" t="s">
        <v>1816</v>
      </c>
      <c r="N462" s="10">
        <f t="shared" si="23"/>
        <v>69121.052631578947</v>
      </c>
      <c r="O462" s="15">
        <f t="shared" si="24"/>
        <v>-1.0526315789466025</v>
      </c>
      <c r="P462" s="10">
        <v>13133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82253</v>
      </c>
      <c r="AG462" s="4" t="s">
        <v>45</v>
      </c>
      <c r="AH462" s="4" t="s">
        <v>1817</v>
      </c>
    </row>
    <row r="463" spans="1:34" s="4" customFormat="1">
      <c r="A463" s="4" t="s">
        <v>32</v>
      </c>
      <c r="B463" s="4" t="s">
        <v>3304</v>
      </c>
      <c r="C463" s="4" t="s">
        <v>3305</v>
      </c>
      <c r="D463" s="4" t="s">
        <v>2970</v>
      </c>
      <c r="E463" s="4" t="s">
        <v>36</v>
      </c>
      <c r="H463" s="4" t="s">
        <v>3306</v>
      </c>
      <c r="I463" s="4" t="s">
        <v>3307</v>
      </c>
      <c r="J463" s="4" t="s">
        <v>2972</v>
      </c>
      <c r="K463" s="4" t="s">
        <v>3308</v>
      </c>
      <c r="L463" s="4" t="s">
        <v>41</v>
      </c>
      <c r="M463" s="4" t="s">
        <v>1816</v>
      </c>
      <c r="N463" s="10">
        <f t="shared" si="23"/>
        <v>36806.73684210526</v>
      </c>
      <c r="O463" s="15">
        <f t="shared" si="24"/>
        <v>-6.8421052574194619E-3</v>
      </c>
      <c r="P463" s="10">
        <v>6993.28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43800.01</v>
      </c>
      <c r="AG463" s="4" t="s">
        <v>45</v>
      </c>
      <c r="AH463" s="4" t="s">
        <v>1817</v>
      </c>
    </row>
    <row r="464" spans="1:34" s="4" customFormat="1">
      <c r="A464" s="4" t="s">
        <v>32</v>
      </c>
      <c r="B464" s="4" t="s">
        <v>2968</v>
      </c>
      <c r="C464" s="4" t="s">
        <v>2969</v>
      </c>
      <c r="D464" s="4" t="s">
        <v>2970</v>
      </c>
      <c r="E464" s="4" t="s">
        <v>36</v>
      </c>
      <c r="F464" s="4" t="s">
        <v>470</v>
      </c>
      <c r="G464" s="4" t="s">
        <v>157</v>
      </c>
      <c r="H464" s="4" t="s">
        <v>2352</v>
      </c>
      <c r="I464" s="4" t="s">
        <v>2971</v>
      </c>
      <c r="J464" s="4" t="s">
        <v>2972</v>
      </c>
      <c r="K464" s="4" t="s">
        <v>2973</v>
      </c>
      <c r="L464" s="4" t="s">
        <v>41</v>
      </c>
      <c r="M464" s="4" t="s">
        <v>1816</v>
      </c>
      <c r="N464" s="10">
        <f t="shared" si="23"/>
        <v>6134.4736842105267</v>
      </c>
      <c r="O464" s="15">
        <f t="shared" si="24"/>
        <v>-2.368421052665326E-2</v>
      </c>
      <c r="P464" s="10">
        <v>1165.55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7300</v>
      </c>
      <c r="AG464" s="4" t="s">
        <v>45</v>
      </c>
      <c r="AH464" s="4" t="s">
        <v>1817</v>
      </c>
    </row>
    <row r="465" spans="1:34" s="4" customFormat="1">
      <c r="A465" s="4" t="s">
        <v>32</v>
      </c>
      <c r="B465" s="4" t="s">
        <v>2823</v>
      </c>
      <c r="C465" s="4" t="s">
        <v>2824</v>
      </c>
      <c r="D465" s="4" t="s">
        <v>2481</v>
      </c>
      <c r="E465" s="4" t="s">
        <v>36</v>
      </c>
      <c r="F465" s="4" t="s">
        <v>470</v>
      </c>
      <c r="G465" s="4" t="s">
        <v>1918</v>
      </c>
      <c r="H465" s="4" t="s">
        <v>1112</v>
      </c>
      <c r="I465" s="4" t="s">
        <v>2825</v>
      </c>
      <c r="J465" s="4" t="s">
        <v>2826</v>
      </c>
      <c r="K465" s="4" t="s">
        <v>2827</v>
      </c>
      <c r="L465" s="4" t="s">
        <v>41</v>
      </c>
      <c r="M465" s="4" t="s">
        <v>1816</v>
      </c>
      <c r="N465" s="10">
        <f t="shared" si="23"/>
        <v>96500</v>
      </c>
      <c r="O465" s="15">
        <f t="shared" si="24"/>
        <v>0</v>
      </c>
      <c r="P465" s="10">
        <v>18335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114835</v>
      </c>
      <c r="AG465" s="4" t="s">
        <v>45</v>
      </c>
      <c r="AH465" s="4" t="s">
        <v>1817</v>
      </c>
    </row>
    <row r="466" spans="1:34" s="4" customFormat="1">
      <c r="A466" s="4" t="s">
        <v>32</v>
      </c>
      <c r="B466" s="4" t="s">
        <v>1925</v>
      </c>
      <c r="C466" s="4" t="s">
        <v>1926</v>
      </c>
      <c r="D466" s="4" t="s">
        <v>1927</v>
      </c>
      <c r="E466" s="4" t="s">
        <v>36</v>
      </c>
      <c r="F466" s="4" t="s">
        <v>37</v>
      </c>
      <c r="G466" s="4" t="s">
        <v>157</v>
      </c>
      <c r="H466" s="4" t="s">
        <v>179</v>
      </c>
      <c r="I466" s="4" t="s">
        <v>1928</v>
      </c>
      <c r="J466" s="4" t="s">
        <v>1929</v>
      </c>
      <c r="K466" s="4" t="s">
        <v>1930</v>
      </c>
      <c r="L466" s="4" t="s">
        <v>41</v>
      </c>
      <c r="M466" s="4" t="s">
        <v>42</v>
      </c>
      <c r="N466" s="10">
        <f t="shared" si="23"/>
        <v>0</v>
      </c>
      <c r="O466" s="15">
        <f t="shared" si="24"/>
        <v>250800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250800</v>
      </c>
      <c r="AG466" s="4" t="s">
        <v>45</v>
      </c>
      <c r="AH466" s="4" t="s">
        <v>1817</v>
      </c>
    </row>
    <row r="467" spans="1:34" s="4" customFormat="1">
      <c r="A467" s="4" t="s">
        <v>32</v>
      </c>
      <c r="B467" s="4" t="s">
        <v>2106</v>
      </c>
      <c r="C467" s="4" t="s">
        <v>2107</v>
      </c>
      <c r="D467" s="4" t="s">
        <v>1927</v>
      </c>
      <c r="E467" s="4" t="s">
        <v>36</v>
      </c>
      <c r="F467" s="4" t="s">
        <v>37</v>
      </c>
      <c r="G467" s="4" t="s">
        <v>157</v>
      </c>
      <c r="H467" s="4" t="s">
        <v>2104</v>
      </c>
      <c r="I467" s="4" t="s">
        <v>2108</v>
      </c>
      <c r="J467" s="4" t="s">
        <v>1929</v>
      </c>
      <c r="K467" s="4" t="s">
        <v>1930</v>
      </c>
      <c r="L467" s="4" t="s">
        <v>41</v>
      </c>
      <c r="M467" s="4" t="s">
        <v>42</v>
      </c>
      <c r="N467" s="10">
        <f t="shared" si="23"/>
        <v>0</v>
      </c>
      <c r="O467" s="15">
        <f t="shared" si="24"/>
        <v>284900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284900</v>
      </c>
      <c r="AG467" s="4" t="s">
        <v>45</v>
      </c>
      <c r="AH467" s="4" t="s">
        <v>1817</v>
      </c>
    </row>
    <row r="468" spans="1:34" s="4" customFormat="1">
      <c r="A468" s="4" t="s">
        <v>32</v>
      </c>
      <c r="B468" s="4" t="s">
        <v>2929</v>
      </c>
      <c r="C468" s="4" t="s">
        <v>2930</v>
      </c>
      <c r="D468" s="4" t="s">
        <v>1927</v>
      </c>
      <c r="E468" s="4" t="s">
        <v>36</v>
      </c>
      <c r="F468" s="4" t="s">
        <v>470</v>
      </c>
      <c r="G468" s="4" t="s">
        <v>157</v>
      </c>
      <c r="H468" s="4" t="s">
        <v>1413</v>
      </c>
      <c r="I468" s="4" t="s">
        <v>2931</v>
      </c>
      <c r="J468" s="4" t="s">
        <v>1929</v>
      </c>
      <c r="K468" s="4" t="s">
        <v>1930</v>
      </c>
      <c r="L468" s="4" t="s">
        <v>41</v>
      </c>
      <c r="M468" s="4" t="s">
        <v>42</v>
      </c>
      <c r="N468" s="10">
        <f t="shared" si="23"/>
        <v>0</v>
      </c>
      <c r="O468" s="15">
        <f t="shared" si="24"/>
        <v>200600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200600</v>
      </c>
      <c r="AG468" s="4" t="s">
        <v>45</v>
      </c>
      <c r="AH468" s="4" t="s">
        <v>1817</v>
      </c>
    </row>
    <row r="469" spans="1:34" s="4" customFormat="1">
      <c r="A469" s="4" t="s">
        <v>32</v>
      </c>
      <c r="B469" s="4" t="s">
        <v>3049</v>
      </c>
      <c r="C469" s="4" t="s">
        <v>3050</v>
      </c>
      <c r="D469" s="4" t="s">
        <v>1927</v>
      </c>
      <c r="E469" s="4" t="s">
        <v>36</v>
      </c>
      <c r="F469" s="4" t="s">
        <v>470</v>
      </c>
      <c r="G469" s="4" t="s">
        <v>157</v>
      </c>
      <c r="H469" s="4" t="s">
        <v>3051</v>
      </c>
      <c r="I469" s="4" t="s">
        <v>3052</v>
      </c>
      <c r="J469" s="4" t="s">
        <v>1929</v>
      </c>
      <c r="K469" s="4" t="s">
        <v>1930</v>
      </c>
      <c r="L469" s="4" t="s">
        <v>41</v>
      </c>
      <c r="M469" s="4" t="s">
        <v>42</v>
      </c>
      <c r="N469" s="10">
        <f t="shared" si="23"/>
        <v>0</v>
      </c>
      <c r="O469" s="15">
        <f t="shared" si="24"/>
        <v>200600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200600</v>
      </c>
      <c r="AG469" s="4" t="s">
        <v>45</v>
      </c>
      <c r="AH469" s="4" t="s">
        <v>1817</v>
      </c>
    </row>
    <row r="470" spans="1:34" s="4" customFormat="1">
      <c r="A470" s="4" t="s">
        <v>32</v>
      </c>
      <c r="B470" s="4" t="s">
        <v>3149</v>
      </c>
      <c r="C470" s="4" t="s">
        <v>3150</v>
      </c>
      <c r="D470" s="4" t="s">
        <v>1927</v>
      </c>
      <c r="E470" s="4" t="s">
        <v>36</v>
      </c>
      <c r="H470" s="4" t="s">
        <v>3151</v>
      </c>
      <c r="I470" s="4" t="s">
        <v>3152</v>
      </c>
      <c r="J470" s="4" t="s">
        <v>1929</v>
      </c>
      <c r="K470" s="4" t="s">
        <v>1930</v>
      </c>
      <c r="L470" s="4" t="s">
        <v>41</v>
      </c>
      <c r="M470" s="4" t="s">
        <v>42</v>
      </c>
      <c r="N470" s="10">
        <f t="shared" si="23"/>
        <v>0</v>
      </c>
      <c r="O470" s="15">
        <f t="shared" si="24"/>
        <v>200600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200600</v>
      </c>
      <c r="AG470" s="4" t="s">
        <v>45</v>
      </c>
      <c r="AH470" s="4" t="s">
        <v>1817</v>
      </c>
    </row>
    <row r="471" spans="1:34" s="4" customFormat="1">
      <c r="A471" s="4" t="s">
        <v>32</v>
      </c>
      <c r="B471" s="4" t="s">
        <v>3274</v>
      </c>
      <c r="C471" s="4" t="s">
        <v>3275</v>
      </c>
      <c r="D471" s="4" t="s">
        <v>1927</v>
      </c>
      <c r="E471" s="4" t="s">
        <v>36</v>
      </c>
      <c r="H471" s="4" t="s">
        <v>1747</v>
      </c>
      <c r="I471" s="4" t="s">
        <v>3276</v>
      </c>
      <c r="J471" s="4" t="s">
        <v>1929</v>
      </c>
      <c r="K471" s="4" t="s">
        <v>1930</v>
      </c>
      <c r="L471" s="4" t="s">
        <v>41</v>
      </c>
      <c r="M471" s="4" t="s">
        <v>42</v>
      </c>
      <c r="N471" s="10">
        <f t="shared" si="23"/>
        <v>0</v>
      </c>
      <c r="O471" s="15">
        <f t="shared" si="24"/>
        <v>200600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200600</v>
      </c>
      <c r="AG471" s="4" t="s">
        <v>45</v>
      </c>
      <c r="AH471" s="4" t="s">
        <v>1817</v>
      </c>
    </row>
    <row r="472" spans="1:34" s="4" customFormat="1">
      <c r="A472" s="4" t="s">
        <v>32</v>
      </c>
      <c r="B472" s="4" t="s">
        <v>3362</v>
      </c>
      <c r="C472" s="4" t="s">
        <v>3363</v>
      </c>
      <c r="D472" s="4" t="s">
        <v>1927</v>
      </c>
      <c r="E472" s="4" t="s">
        <v>36</v>
      </c>
      <c r="H472" s="4" t="s">
        <v>3364</v>
      </c>
      <c r="I472" s="4" t="s">
        <v>3365</v>
      </c>
      <c r="J472" s="4" t="s">
        <v>1929</v>
      </c>
      <c r="K472" s="4" t="s">
        <v>1930</v>
      </c>
      <c r="L472" s="4" t="s">
        <v>41</v>
      </c>
      <c r="M472" s="4" t="s">
        <v>42</v>
      </c>
      <c r="N472" s="10">
        <f t="shared" si="23"/>
        <v>0</v>
      </c>
      <c r="O472" s="15">
        <f t="shared" si="24"/>
        <v>200600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200600</v>
      </c>
      <c r="AG472" s="4" t="s">
        <v>45</v>
      </c>
      <c r="AH472" s="4" t="s">
        <v>1817</v>
      </c>
    </row>
    <row r="473" spans="1:34" s="4" customFormat="1">
      <c r="A473" s="4" t="s">
        <v>32</v>
      </c>
      <c r="B473" s="4" t="s">
        <v>2627</v>
      </c>
      <c r="C473" s="4" t="s">
        <v>2628</v>
      </c>
      <c r="D473" s="4" t="s">
        <v>1927</v>
      </c>
      <c r="E473" s="4" t="s">
        <v>36</v>
      </c>
      <c r="F473" s="4" t="s">
        <v>470</v>
      </c>
      <c r="G473" s="4" t="s">
        <v>157</v>
      </c>
      <c r="H473" s="4" t="s">
        <v>2222</v>
      </c>
      <c r="I473" s="4" t="s">
        <v>2629</v>
      </c>
      <c r="J473" s="4" t="s">
        <v>1929</v>
      </c>
      <c r="K473" s="4" t="s">
        <v>1930</v>
      </c>
      <c r="L473" s="4" t="s">
        <v>41</v>
      </c>
      <c r="M473" s="4" t="s">
        <v>42</v>
      </c>
      <c r="N473" s="10">
        <f t="shared" si="23"/>
        <v>0</v>
      </c>
      <c r="O473" s="15">
        <f t="shared" si="24"/>
        <v>263800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263800</v>
      </c>
      <c r="AG473" s="4" t="s">
        <v>45</v>
      </c>
      <c r="AH473" s="4" t="s">
        <v>1817</v>
      </c>
    </row>
    <row r="474" spans="1:34" s="4" customFormat="1">
      <c r="A474" s="4" t="s">
        <v>32</v>
      </c>
      <c r="B474" s="4" t="s">
        <v>2714</v>
      </c>
      <c r="C474" s="4" t="s">
        <v>2715</v>
      </c>
      <c r="D474" s="4" t="s">
        <v>1927</v>
      </c>
      <c r="E474" s="4" t="s">
        <v>36</v>
      </c>
      <c r="F474" s="4" t="s">
        <v>470</v>
      </c>
      <c r="G474" s="4" t="s">
        <v>157</v>
      </c>
      <c r="H474" s="4" t="s">
        <v>2716</v>
      </c>
      <c r="I474" s="4" t="s">
        <v>2717</v>
      </c>
      <c r="J474" s="4" t="s">
        <v>1929</v>
      </c>
      <c r="K474" s="4" t="s">
        <v>1930</v>
      </c>
      <c r="L474" s="4" t="s">
        <v>41</v>
      </c>
      <c r="M474" s="4" t="s">
        <v>42</v>
      </c>
      <c r="N474" s="10">
        <f t="shared" si="23"/>
        <v>0</v>
      </c>
      <c r="O474" s="15">
        <f t="shared" si="24"/>
        <v>263800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263800</v>
      </c>
      <c r="AG474" s="4" t="s">
        <v>45</v>
      </c>
      <c r="AH474" s="4" t="s">
        <v>1817</v>
      </c>
    </row>
    <row r="475" spans="1:34" s="4" customFormat="1">
      <c r="A475" s="4" t="s">
        <v>32</v>
      </c>
      <c r="B475" s="4" t="s">
        <v>2850</v>
      </c>
      <c r="C475" s="4" t="s">
        <v>2851</v>
      </c>
      <c r="D475" s="4" t="s">
        <v>1927</v>
      </c>
      <c r="E475" s="4" t="s">
        <v>36</v>
      </c>
      <c r="F475" s="4" t="s">
        <v>470</v>
      </c>
      <c r="G475" s="4" t="s">
        <v>157</v>
      </c>
      <c r="H475" s="4" t="s">
        <v>1181</v>
      </c>
      <c r="I475" s="4" t="s">
        <v>2852</v>
      </c>
      <c r="J475" s="4" t="s">
        <v>1929</v>
      </c>
      <c r="K475" s="4" t="s">
        <v>1930</v>
      </c>
      <c r="L475" s="4" t="s">
        <v>41</v>
      </c>
      <c r="M475" s="4" t="s">
        <v>42</v>
      </c>
      <c r="N475" s="10">
        <f t="shared" si="23"/>
        <v>0</v>
      </c>
      <c r="O475" s="15">
        <f t="shared" si="24"/>
        <v>263800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263800</v>
      </c>
      <c r="AG475" s="4" t="s">
        <v>45</v>
      </c>
      <c r="AH475" s="4" t="s">
        <v>1817</v>
      </c>
    </row>
    <row r="476" spans="1:34" s="4" customFormat="1">
      <c r="A476" s="4" t="s">
        <v>32</v>
      </c>
      <c r="B476" s="4" t="s">
        <v>2447</v>
      </c>
      <c r="C476" s="4" t="s">
        <v>2448</v>
      </c>
      <c r="D476" s="4" t="s">
        <v>1927</v>
      </c>
      <c r="E476" s="4" t="s">
        <v>36</v>
      </c>
      <c r="F476" s="4" t="s">
        <v>37</v>
      </c>
      <c r="G476" s="4" t="s">
        <v>157</v>
      </c>
      <c r="H476" s="4" t="s">
        <v>2449</v>
      </c>
      <c r="I476" s="4" t="s">
        <v>2450</v>
      </c>
      <c r="J476" s="4" t="s">
        <v>1929</v>
      </c>
      <c r="K476" s="4" t="s">
        <v>1930</v>
      </c>
      <c r="L476" s="4" t="s">
        <v>41</v>
      </c>
      <c r="M476" s="4" t="s">
        <v>42</v>
      </c>
      <c r="N476" s="10">
        <f t="shared" si="23"/>
        <v>0</v>
      </c>
      <c r="O476" s="15">
        <f t="shared" si="24"/>
        <v>284900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284900</v>
      </c>
      <c r="AG476" s="4" t="s">
        <v>45</v>
      </c>
      <c r="AH476" s="4" t="s">
        <v>1817</v>
      </c>
    </row>
    <row r="477" spans="1:34" s="4" customFormat="1">
      <c r="A477" s="4" t="s">
        <v>32</v>
      </c>
      <c r="B477" s="4" t="s">
        <v>2525</v>
      </c>
      <c r="C477" s="4" t="s">
        <v>2526</v>
      </c>
      <c r="D477" s="4" t="s">
        <v>1927</v>
      </c>
      <c r="E477" s="4" t="s">
        <v>36</v>
      </c>
      <c r="F477" s="4" t="s">
        <v>470</v>
      </c>
      <c r="G477" s="4" t="s">
        <v>157</v>
      </c>
      <c r="H477" s="4" t="s">
        <v>444</v>
      </c>
      <c r="I477" s="4" t="s">
        <v>2527</v>
      </c>
      <c r="J477" s="4" t="s">
        <v>1929</v>
      </c>
      <c r="K477" s="4" t="s">
        <v>1930</v>
      </c>
      <c r="L477" s="4" t="s">
        <v>41</v>
      </c>
      <c r="M477" s="4" t="s">
        <v>42</v>
      </c>
      <c r="N477" s="10">
        <f t="shared" si="23"/>
        <v>0</v>
      </c>
      <c r="O477" s="15">
        <f t="shared" si="24"/>
        <v>284900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284900</v>
      </c>
      <c r="AG477" s="4" t="s">
        <v>45</v>
      </c>
      <c r="AH477" s="4" t="s">
        <v>1817</v>
      </c>
    </row>
    <row r="478" spans="1:34" s="4" customFormat="1">
      <c r="A478" s="4" t="s">
        <v>32</v>
      </c>
      <c r="B478" s="4" t="s">
        <v>1915</v>
      </c>
      <c r="C478" s="4" t="s">
        <v>1916</v>
      </c>
      <c r="D478" s="4" t="s">
        <v>1917</v>
      </c>
      <c r="E478" s="4" t="s">
        <v>36</v>
      </c>
      <c r="F478" s="4" t="s">
        <v>470</v>
      </c>
      <c r="G478" s="4" t="s">
        <v>1918</v>
      </c>
      <c r="H478" s="4" t="s">
        <v>179</v>
      </c>
      <c r="I478" s="4" t="s">
        <v>1919</v>
      </c>
      <c r="J478" s="4" t="s">
        <v>1920</v>
      </c>
      <c r="K478" s="4" t="s">
        <v>1921</v>
      </c>
      <c r="L478" s="4" t="s">
        <v>41</v>
      </c>
      <c r="M478" s="4" t="s">
        <v>1816</v>
      </c>
      <c r="N478" s="10">
        <f t="shared" si="23"/>
        <v>0</v>
      </c>
      <c r="O478" s="15">
        <f t="shared" si="24"/>
        <v>1430000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1430000</v>
      </c>
      <c r="AG478" s="4" t="s">
        <v>45</v>
      </c>
      <c r="AH478" s="4" t="s">
        <v>1817</v>
      </c>
    </row>
    <row r="479" spans="1:34" s="4" customFormat="1">
      <c r="A479" s="4" t="s">
        <v>32</v>
      </c>
      <c r="B479" s="4" t="s">
        <v>3102</v>
      </c>
      <c r="C479" s="4" t="s">
        <v>3103</v>
      </c>
      <c r="D479" s="4" t="s">
        <v>3104</v>
      </c>
      <c r="E479" s="4" t="s">
        <v>36</v>
      </c>
      <c r="F479" s="4" t="s">
        <v>470</v>
      </c>
      <c r="G479" s="4" t="s">
        <v>1861</v>
      </c>
      <c r="H479" s="4" t="s">
        <v>1349</v>
      </c>
      <c r="I479" s="4" t="s">
        <v>3105</v>
      </c>
      <c r="J479" s="4" t="s">
        <v>3106</v>
      </c>
      <c r="K479" s="4" t="s">
        <v>3107</v>
      </c>
      <c r="L479" s="4" t="s">
        <v>41</v>
      </c>
      <c r="M479" s="4" t="s">
        <v>42</v>
      </c>
      <c r="N479" s="10">
        <f t="shared" si="23"/>
        <v>3865.5263157894738</v>
      </c>
      <c r="O479" s="15">
        <f t="shared" si="24"/>
        <v>2.3684210526198513E-2</v>
      </c>
      <c r="P479" s="10">
        <v>734.45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4600</v>
      </c>
      <c r="AG479" s="4" t="s">
        <v>45</v>
      </c>
      <c r="AH479" s="4" t="s">
        <v>1817</v>
      </c>
    </row>
    <row r="480" spans="1:34" s="4" customFormat="1">
      <c r="A480" s="4" t="s">
        <v>32</v>
      </c>
      <c r="B480" s="4" t="s">
        <v>3108</v>
      </c>
      <c r="C480" s="4" t="s">
        <v>3109</v>
      </c>
      <c r="D480" s="4" t="s">
        <v>3104</v>
      </c>
      <c r="E480" s="4" t="s">
        <v>36</v>
      </c>
      <c r="F480" s="4" t="s">
        <v>470</v>
      </c>
      <c r="G480" s="4" t="s">
        <v>1861</v>
      </c>
      <c r="H480" s="4" t="s">
        <v>1349</v>
      </c>
      <c r="I480" s="4" t="s">
        <v>3110</v>
      </c>
      <c r="J480" s="4" t="s">
        <v>3106</v>
      </c>
      <c r="K480" s="4" t="s">
        <v>3107</v>
      </c>
      <c r="L480" s="4" t="s">
        <v>41</v>
      </c>
      <c r="M480" s="4" t="s">
        <v>42</v>
      </c>
      <c r="N480" s="10">
        <f t="shared" si="23"/>
        <v>140084.10526315789</v>
      </c>
      <c r="O480" s="15">
        <f t="shared" si="24"/>
        <v>-6.5263157903245883E-2</v>
      </c>
      <c r="P480" s="10">
        <v>26615.98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166700.01999999999</v>
      </c>
      <c r="AG480" s="4" t="s">
        <v>45</v>
      </c>
      <c r="AH480" s="4" t="s">
        <v>1817</v>
      </c>
    </row>
    <row r="481" spans="1:34" s="4" customFormat="1">
      <c r="A481" s="4" t="s">
        <v>32</v>
      </c>
      <c r="B481" s="4" t="s">
        <v>2708</v>
      </c>
      <c r="C481" s="4" t="s">
        <v>2709</v>
      </c>
      <c r="D481" s="4" t="s">
        <v>2710</v>
      </c>
      <c r="E481" s="4" t="s">
        <v>36</v>
      </c>
      <c r="F481" s="4" t="s">
        <v>470</v>
      </c>
      <c r="G481" s="4" t="s">
        <v>157</v>
      </c>
      <c r="H481" s="4" t="s">
        <v>2245</v>
      </c>
      <c r="I481" s="4" t="s">
        <v>2711</v>
      </c>
      <c r="J481" s="4" t="s">
        <v>2712</v>
      </c>
      <c r="K481" s="4" t="s">
        <v>2713</v>
      </c>
      <c r="L481" s="4" t="s">
        <v>41</v>
      </c>
      <c r="M481" s="4" t="s">
        <v>1816</v>
      </c>
      <c r="N481" s="10">
        <f t="shared" si="23"/>
        <v>6736</v>
      </c>
      <c r="O481" s="15">
        <f t="shared" si="24"/>
        <v>0</v>
      </c>
      <c r="P481" s="10">
        <v>1279.8399999999999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8015.84</v>
      </c>
      <c r="AG481" s="4" t="s">
        <v>45</v>
      </c>
      <c r="AH481" s="4" t="s">
        <v>1817</v>
      </c>
    </row>
    <row r="482" spans="1:34" s="4" customFormat="1">
      <c r="A482" s="4" t="s">
        <v>32</v>
      </c>
      <c r="B482" s="4" t="s">
        <v>2461</v>
      </c>
      <c r="C482" s="4" t="s">
        <v>2462</v>
      </c>
      <c r="D482" s="4" t="s">
        <v>2456</v>
      </c>
      <c r="E482" s="4" t="s">
        <v>36</v>
      </c>
      <c r="F482" s="4" t="s">
        <v>470</v>
      </c>
      <c r="G482" s="4" t="s">
        <v>157</v>
      </c>
      <c r="H482" s="4" t="s">
        <v>2463</v>
      </c>
      <c r="I482" s="4" t="s">
        <v>2464</v>
      </c>
      <c r="J482" s="4" t="s">
        <v>2459</v>
      </c>
      <c r="K482" s="4" t="s">
        <v>2460</v>
      </c>
      <c r="L482" s="4" t="s">
        <v>41</v>
      </c>
      <c r="M482" s="4" t="s">
        <v>1816</v>
      </c>
      <c r="N482" s="10">
        <f t="shared" si="23"/>
        <v>0</v>
      </c>
      <c r="O482" s="15">
        <f t="shared" si="24"/>
        <v>40000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40000</v>
      </c>
      <c r="AG482" s="4" t="s">
        <v>45</v>
      </c>
      <c r="AH482" s="4" t="s">
        <v>1817</v>
      </c>
    </row>
    <row r="483" spans="1:34" s="4" customFormat="1">
      <c r="A483" s="4" t="s">
        <v>32</v>
      </c>
      <c r="B483" s="4" t="s">
        <v>2454</v>
      </c>
      <c r="C483" s="4" t="s">
        <v>2455</v>
      </c>
      <c r="D483" s="4" t="s">
        <v>2456</v>
      </c>
      <c r="E483" s="4" t="s">
        <v>36</v>
      </c>
      <c r="F483" s="4" t="s">
        <v>470</v>
      </c>
      <c r="G483" s="4" t="s">
        <v>2457</v>
      </c>
      <c r="H483" s="4" t="s">
        <v>510</v>
      </c>
      <c r="I483" s="4" t="s">
        <v>2458</v>
      </c>
      <c r="J483" s="4" t="s">
        <v>2459</v>
      </c>
      <c r="K483" s="4" t="s">
        <v>2460</v>
      </c>
      <c r="L483" s="4" t="s">
        <v>41</v>
      </c>
      <c r="M483" s="4" t="s">
        <v>1816</v>
      </c>
      <c r="N483" s="10">
        <f t="shared" si="23"/>
        <v>336134</v>
      </c>
      <c r="O483" s="15">
        <f t="shared" si="24"/>
        <v>-0.45999999999912689</v>
      </c>
      <c r="P483" s="10">
        <v>63865.46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399999</v>
      </c>
      <c r="AG483" s="4" t="s">
        <v>45</v>
      </c>
      <c r="AH483" s="4" t="s">
        <v>1817</v>
      </c>
    </row>
    <row r="484" spans="1:34" s="4" customFormat="1">
      <c r="A484" s="4" t="s">
        <v>194</v>
      </c>
      <c r="B484" s="4" t="s">
        <v>2063</v>
      </c>
      <c r="C484" s="4" t="s">
        <v>2064</v>
      </c>
      <c r="H484" s="4" t="s">
        <v>334</v>
      </c>
      <c r="I484" s="4" t="s">
        <v>2065</v>
      </c>
      <c r="J484" s="4" t="s">
        <v>365</v>
      </c>
      <c r="K484" s="4" t="s">
        <v>366</v>
      </c>
      <c r="L484" s="4" t="s">
        <v>41</v>
      </c>
      <c r="M484" s="4" t="s">
        <v>42</v>
      </c>
      <c r="N484" s="10">
        <f t="shared" si="23"/>
        <v>0</v>
      </c>
      <c r="O484" s="15">
        <f t="shared" si="24"/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4" t="s">
        <v>45</v>
      </c>
      <c r="AH484" s="4" t="s">
        <v>1817</v>
      </c>
    </row>
    <row r="485" spans="1:34" s="4" customFormat="1">
      <c r="A485" s="4" t="s">
        <v>194</v>
      </c>
      <c r="B485" s="4" t="s">
        <v>2098</v>
      </c>
      <c r="C485" s="4" t="s">
        <v>2099</v>
      </c>
      <c r="H485" s="4" t="s">
        <v>363</v>
      </c>
      <c r="I485" s="4" t="s">
        <v>2100</v>
      </c>
      <c r="J485" s="4" t="s">
        <v>365</v>
      </c>
      <c r="K485" s="4" t="s">
        <v>366</v>
      </c>
      <c r="L485" s="4" t="s">
        <v>41</v>
      </c>
      <c r="M485" s="4" t="s">
        <v>42</v>
      </c>
      <c r="N485" s="10">
        <f t="shared" si="23"/>
        <v>0</v>
      </c>
      <c r="O485" s="15">
        <f t="shared" si="24"/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4" t="s">
        <v>45</v>
      </c>
      <c r="AH485" s="4" t="s">
        <v>1817</v>
      </c>
    </row>
    <row r="486" spans="1:34" s="4" customFormat="1">
      <c r="A486" s="4" t="s">
        <v>32</v>
      </c>
      <c r="B486" s="4" t="s">
        <v>3268</v>
      </c>
      <c r="C486" s="4" t="s">
        <v>3269</v>
      </c>
      <c r="D486" s="4" t="s">
        <v>2894</v>
      </c>
      <c r="E486" s="4" t="s">
        <v>36</v>
      </c>
      <c r="H486" s="4" t="s">
        <v>3266</v>
      </c>
      <c r="I486" s="4" t="s">
        <v>3270</v>
      </c>
      <c r="J486" s="4" t="s">
        <v>2849</v>
      </c>
      <c r="K486" s="4" t="s">
        <v>2896</v>
      </c>
      <c r="L486" s="4" t="s">
        <v>41</v>
      </c>
      <c r="M486" s="4" t="s">
        <v>42</v>
      </c>
      <c r="N486" s="10">
        <f t="shared" si="23"/>
        <v>564.68421052631584</v>
      </c>
      <c r="O486" s="15">
        <f t="shared" si="24"/>
        <v>2.5789473684156405E-2</v>
      </c>
      <c r="P486" s="10">
        <v>107.29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672</v>
      </c>
      <c r="AG486" s="4" t="s">
        <v>45</v>
      </c>
      <c r="AH486" s="4" t="s">
        <v>1817</v>
      </c>
    </row>
    <row r="487" spans="1:34" s="4" customFormat="1">
      <c r="A487" s="4" t="s">
        <v>32</v>
      </c>
      <c r="B487" s="4" t="s">
        <v>3271</v>
      </c>
      <c r="C487" s="4" t="s">
        <v>3272</v>
      </c>
      <c r="D487" s="4" t="s">
        <v>2894</v>
      </c>
      <c r="E487" s="4" t="s">
        <v>36</v>
      </c>
      <c r="H487" s="4" t="s">
        <v>3266</v>
      </c>
      <c r="I487" s="4" t="s">
        <v>3273</v>
      </c>
      <c r="J487" s="4" t="s">
        <v>2849</v>
      </c>
      <c r="K487" s="4" t="s">
        <v>2896</v>
      </c>
      <c r="L487" s="4" t="s">
        <v>41</v>
      </c>
      <c r="M487" s="4" t="s">
        <v>42</v>
      </c>
      <c r="N487" s="10">
        <f t="shared" si="23"/>
        <v>3025.2105263157896</v>
      </c>
      <c r="O487" s="15">
        <f t="shared" si="24"/>
        <v>-5.2631578955697478E-4</v>
      </c>
      <c r="P487" s="10">
        <v>574.79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3600</v>
      </c>
      <c r="AG487" s="4" t="s">
        <v>45</v>
      </c>
      <c r="AH487" s="4" t="s">
        <v>1817</v>
      </c>
    </row>
    <row r="488" spans="1:34" s="4" customFormat="1">
      <c r="A488" s="4" t="s">
        <v>32</v>
      </c>
      <c r="B488" s="4" t="s">
        <v>3239</v>
      </c>
      <c r="C488" s="4" t="s">
        <v>3240</v>
      </c>
      <c r="D488" s="4" t="s">
        <v>2894</v>
      </c>
      <c r="E488" s="4" t="s">
        <v>36</v>
      </c>
      <c r="H488" s="4" t="s">
        <v>3241</v>
      </c>
      <c r="I488" s="4" t="s">
        <v>3242</v>
      </c>
      <c r="J488" s="4" t="s">
        <v>2849</v>
      </c>
      <c r="K488" s="4" t="s">
        <v>2896</v>
      </c>
      <c r="L488" s="4" t="s">
        <v>41</v>
      </c>
      <c r="M488" s="4" t="s">
        <v>42</v>
      </c>
      <c r="N488" s="10">
        <f t="shared" si="23"/>
        <v>13445.368421052632</v>
      </c>
      <c r="O488" s="15">
        <f t="shared" si="24"/>
        <v>1.1578947368434456E-2</v>
      </c>
      <c r="P488" s="10">
        <v>2554.62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16000</v>
      </c>
      <c r="AG488" s="4" t="s">
        <v>45</v>
      </c>
      <c r="AH488" s="4" t="s">
        <v>1817</v>
      </c>
    </row>
    <row r="489" spans="1:34" s="4" customFormat="1">
      <c r="A489" s="4" t="s">
        <v>32</v>
      </c>
      <c r="B489" s="4" t="s">
        <v>3167</v>
      </c>
      <c r="C489" s="4" t="s">
        <v>3168</v>
      </c>
      <c r="D489" s="4" t="s">
        <v>2894</v>
      </c>
      <c r="E489" s="4" t="s">
        <v>36</v>
      </c>
      <c r="H489" s="4" t="s">
        <v>3169</v>
      </c>
      <c r="I489" s="4" t="s">
        <v>3170</v>
      </c>
      <c r="J489" s="4" t="s">
        <v>2849</v>
      </c>
      <c r="K489" s="4" t="s">
        <v>2896</v>
      </c>
      <c r="L489" s="4" t="s">
        <v>41</v>
      </c>
      <c r="M489" s="4" t="s">
        <v>42</v>
      </c>
      <c r="N489" s="10">
        <f t="shared" si="23"/>
        <v>25042</v>
      </c>
      <c r="O489" s="15">
        <f t="shared" si="24"/>
        <v>2.0000000000436557E-2</v>
      </c>
      <c r="P489" s="10">
        <v>4757.9799999999996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29800</v>
      </c>
      <c r="AG489" s="4" t="s">
        <v>45</v>
      </c>
      <c r="AH489" s="4" t="s">
        <v>1817</v>
      </c>
    </row>
    <row r="490" spans="1:34" s="4" customFormat="1">
      <c r="A490" s="4" t="s">
        <v>32</v>
      </c>
      <c r="B490" s="4" t="s">
        <v>2892</v>
      </c>
      <c r="C490" s="4" t="s">
        <v>2893</v>
      </c>
      <c r="D490" s="4" t="s">
        <v>2894</v>
      </c>
      <c r="E490" s="4" t="s">
        <v>36</v>
      </c>
      <c r="F490" s="4" t="s">
        <v>470</v>
      </c>
      <c r="G490" s="4" t="s">
        <v>38</v>
      </c>
      <c r="H490" s="4" t="s">
        <v>2329</v>
      </c>
      <c r="I490" s="4" t="s">
        <v>2895</v>
      </c>
      <c r="J490" s="4" t="s">
        <v>2849</v>
      </c>
      <c r="K490" s="4" t="s">
        <v>2896</v>
      </c>
      <c r="L490" s="4" t="s">
        <v>41</v>
      </c>
      <c r="M490" s="4" t="s">
        <v>42</v>
      </c>
      <c r="N490" s="10">
        <f t="shared" si="23"/>
        <v>42941.15789473684</v>
      </c>
      <c r="O490" s="15">
        <f t="shared" si="24"/>
        <v>2.2105263160483446E-2</v>
      </c>
      <c r="P490" s="10">
        <v>8158.82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51100</v>
      </c>
      <c r="AG490" s="4" t="s">
        <v>45</v>
      </c>
      <c r="AH490" s="4" t="s">
        <v>1817</v>
      </c>
    </row>
    <row r="491" spans="1:34" s="4" customFormat="1">
      <c r="A491" s="4" t="s">
        <v>32</v>
      </c>
      <c r="B491" s="4" t="s">
        <v>2917</v>
      </c>
      <c r="C491" s="4" t="s">
        <v>2918</v>
      </c>
      <c r="D491" s="4" t="s">
        <v>2919</v>
      </c>
      <c r="E491" s="4" t="s">
        <v>36</v>
      </c>
      <c r="F491" s="4" t="s">
        <v>37</v>
      </c>
      <c r="G491" s="4" t="s">
        <v>2457</v>
      </c>
      <c r="H491" s="4" t="s">
        <v>2913</v>
      </c>
      <c r="I491" s="4" t="s">
        <v>2920</v>
      </c>
      <c r="J491" s="4" t="s">
        <v>2921</v>
      </c>
      <c r="K491" s="4" t="s">
        <v>2922</v>
      </c>
      <c r="L491" s="4" t="s">
        <v>41</v>
      </c>
      <c r="M491" s="4" t="s">
        <v>1816</v>
      </c>
      <c r="N491" s="10">
        <f t="shared" si="23"/>
        <v>0</v>
      </c>
      <c r="O491" s="15">
        <f t="shared" si="24"/>
        <v>942800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942800</v>
      </c>
      <c r="AG491" s="4" t="s">
        <v>45</v>
      </c>
      <c r="AH491" s="4" t="s">
        <v>1817</v>
      </c>
    </row>
    <row r="492" spans="1:34" s="4" customFormat="1">
      <c r="A492" s="4" t="s">
        <v>32</v>
      </c>
      <c r="B492" s="4" t="s">
        <v>3066</v>
      </c>
      <c r="C492" s="4" t="s">
        <v>3067</v>
      </c>
      <c r="D492" s="4" t="s">
        <v>2919</v>
      </c>
      <c r="E492" s="4" t="s">
        <v>36</v>
      </c>
      <c r="F492" s="4" t="s">
        <v>37</v>
      </c>
      <c r="G492" s="4" t="s">
        <v>2457</v>
      </c>
      <c r="H492" s="4" t="s">
        <v>3053</v>
      </c>
      <c r="I492" s="4" t="s">
        <v>3068</v>
      </c>
      <c r="J492" s="4" t="s">
        <v>2921</v>
      </c>
      <c r="K492" s="4" t="s">
        <v>2922</v>
      </c>
      <c r="L492" s="4" t="s">
        <v>41</v>
      </c>
      <c r="M492" s="4" t="s">
        <v>1816</v>
      </c>
      <c r="N492" s="10">
        <f t="shared" si="23"/>
        <v>3732131.5789473685</v>
      </c>
      <c r="O492" s="15">
        <f t="shared" si="24"/>
        <v>-0.57894736854359508</v>
      </c>
      <c r="P492" s="10">
        <v>709105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4441236</v>
      </c>
      <c r="AG492" s="4" t="s">
        <v>45</v>
      </c>
      <c r="AH492" s="4" t="s">
        <v>1817</v>
      </c>
    </row>
    <row r="493" spans="1:34" s="4" customFormat="1">
      <c r="A493" s="4" t="s">
        <v>32</v>
      </c>
      <c r="B493" s="4" t="s">
        <v>1879</v>
      </c>
      <c r="C493" s="4" t="s">
        <v>1880</v>
      </c>
      <c r="D493" s="4" t="s">
        <v>1881</v>
      </c>
      <c r="E493" s="4" t="s">
        <v>36</v>
      </c>
      <c r="F493" s="4" t="s">
        <v>37</v>
      </c>
      <c r="G493" s="4" t="s">
        <v>470</v>
      </c>
      <c r="H493" s="4" t="s">
        <v>51</v>
      </c>
      <c r="I493" s="4" t="s">
        <v>1882</v>
      </c>
      <c r="J493" s="4" t="s">
        <v>1883</v>
      </c>
      <c r="K493" s="4" t="s">
        <v>1884</v>
      </c>
      <c r="L493" s="4" t="s">
        <v>41</v>
      </c>
      <c r="M493" s="4" t="s">
        <v>1816</v>
      </c>
      <c r="N493" s="10">
        <f t="shared" si="23"/>
        <v>90000</v>
      </c>
      <c r="O493" s="15">
        <f t="shared" si="24"/>
        <v>0</v>
      </c>
      <c r="P493" s="10">
        <v>17100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107100</v>
      </c>
      <c r="AG493" s="4" t="s">
        <v>45</v>
      </c>
      <c r="AH493" s="4" t="s">
        <v>1817</v>
      </c>
    </row>
    <row r="494" spans="1:34" s="4" customFormat="1">
      <c r="A494" s="4" t="s">
        <v>32</v>
      </c>
      <c r="B494" s="4" t="s">
        <v>1888</v>
      </c>
      <c r="C494" s="4" t="s">
        <v>1889</v>
      </c>
      <c r="D494" s="4" t="s">
        <v>1890</v>
      </c>
      <c r="E494" s="4" t="s">
        <v>36</v>
      </c>
      <c r="F494" s="4" t="s">
        <v>37</v>
      </c>
      <c r="G494" s="4" t="s">
        <v>470</v>
      </c>
      <c r="H494" s="4" t="s">
        <v>51</v>
      </c>
      <c r="I494" s="4" t="s">
        <v>1891</v>
      </c>
      <c r="J494" s="4" t="s">
        <v>1883</v>
      </c>
      <c r="K494" s="4" t="s">
        <v>1884</v>
      </c>
      <c r="L494" s="4" t="s">
        <v>41</v>
      </c>
      <c r="M494" s="4" t="s">
        <v>1816</v>
      </c>
      <c r="N494" s="10">
        <f t="shared" si="23"/>
        <v>111321</v>
      </c>
      <c r="O494" s="15">
        <f t="shared" si="24"/>
        <v>0</v>
      </c>
      <c r="P494" s="10">
        <v>21150.99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132471.99</v>
      </c>
      <c r="AG494" s="4" t="s">
        <v>45</v>
      </c>
      <c r="AH494" s="4" t="s">
        <v>1817</v>
      </c>
    </row>
    <row r="495" spans="1:34" s="4" customFormat="1">
      <c r="A495" s="4" t="s">
        <v>32</v>
      </c>
      <c r="B495" s="4" t="s">
        <v>2000</v>
      </c>
      <c r="C495" s="4" t="s">
        <v>2001</v>
      </c>
      <c r="D495" s="4" t="s">
        <v>1890</v>
      </c>
      <c r="E495" s="4" t="s">
        <v>36</v>
      </c>
      <c r="F495" s="4" t="s">
        <v>37</v>
      </c>
      <c r="G495" s="4" t="s">
        <v>470</v>
      </c>
      <c r="H495" s="4" t="s">
        <v>2002</v>
      </c>
      <c r="I495" s="4" t="s">
        <v>2003</v>
      </c>
      <c r="J495" s="4" t="s">
        <v>1883</v>
      </c>
      <c r="K495" s="4" t="s">
        <v>1884</v>
      </c>
      <c r="L495" s="4" t="s">
        <v>41</v>
      </c>
      <c r="M495" s="4" t="s">
        <v>1816</v>
      </c>
      <c r="N495" s="10">
        <f t="shared" si="23"/>
        <v>84033.999999999985</v>
      </c>
      <c r="O495" s="15">
        <f t="shared" si="24"/>
        <v>2.1827872842550278E-11</v>
      </c>
      <c r="P495" s="10">
        <v>15966.46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100000.46</v>
      </c>
      <c r="AG495" s="4" t="s">
        <v>45</v>
      </c>
      <c r="AH495" s="4" t="s">
        <v>1817</v>
      </c>
    </row>
    <row r="496" spans="1:34" s="4" customFormat="1">
      <c r="A496" s="4" t="s">
        <v>32</v>
      </c>
      <c r="B496" s="4" t="s">
        <v>2004</v>
      </c>
      <c r="C496" s="4" t="s">
        <v>2005</v>
      </c>
      <c r="D496" s="4" t="s">
        <v>1881</v>
      </c>
      <c r="E496" s="4" t="s">
        <v>36</v>
      </c>
      <c r="F496" s="4" t="s">
        <v>37</v>
      </c>
      <c r="G496" s="4" t="s">
        <v>470</v>
      </c>
      <c r="H496" s="4" t="s">
        <v>2002</v>
      </c>
      <c r="I496" s="4" t="s">
        <v>2006</v>
      </c>
      <c r="J496" s="4" t="s">
        <v>1883</v>
      </c>
      <c r="K496" s="4" t="s">
        <v>1884</v>
      </c>
      <c r="L496" s="4" t="s">
        <v>41</v>
      </c>
      <c r="M496" s="4" t="s">
        <v>1816</v>
      </c>
      <c r="N496" s="10">
        <f t="shared" si="23"/>
        <v>795600</v>
      </c>
      <c r="O496" s="15">
        <f t="shared" si="24"/>
        <v>0</v>
      </c>
      <c r="P496" s="10">
        <v>151164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946764</v>
      </c>
      <c r="AG496" s="4" t="s">
        <v>45</v>
      </c>
      <c r="AH496" s="4" t="s">
        <v>1817</v>
      </c>
    </row>
    <row r="497" spans="1:34" s="4" customFormat="1">
      <c r="A497" s="4" t="s">
        <v>32</v>
      </c>
      <c r="B497" s="4" t="s">
        <v>2024</v>
      </c>
      <c r="C497" s="4" t="s">
        <v>2025</v>
      </c>
      <c r="D497" s="4" t="s">
        <v>1881</v>
      </c>
      <c r="E497" s="4" t="s">
        <v>36</v>
      </c>
      <c r="F497" s="4" t="s">
        <v>37</v>
      </c>
      <c r="G497" s="4" t="s">
        <v>470</v>
      </c>
      <c r="H497" s="4" t="s">
        <v>203</v>
      </c>
      <c r="I497" s="4" t="s">
        <v>2026</v>
      </c>
      <c r="J497" s="4" t="s">
        <v>1883</v>
      </c>
      <c r="K497" s="4" t="s">
        <v>1884</v>
      </c>
      <c r="L497" s="4" t="s">
        <v>41</v>
      </c>
      <c r="M497" s="4" t="s">
        <v>1816</v>
      </c>
      <c r="N497" s="10">
        <f t="shared" si="23"/>
        <v>90000</v>
      </c>
      <c r="O497" s="15">
        <f t="shared" si="24"/>
        <v>0</v>
      </c>
      <c r="P497" s="10">
        <v>17100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107100</v>
      </c>
      <c r="AG497" s="4" t="s">
        <v>45</v>
      </c>
      <c r="AH497" s="4" t="s">
        <v>1817</v>
      </c>
    </row>
    <row r="498" spans="1:34" s="4" customFormat="1">
      <c r="A498" s="4" t="s">
        <v>32</v>
      </c>
      <c r="B498" s="4" t="s">
        <v>2027</v>
      </c>
      <c r="C498" s="4" t="s">
        <v>2028</v>
      </c>
      <c r="D498" s="4" t="s">
        <v>1890</v>
      </c>
      <c r="E498" s="4" t="s">
        <v>36</v>
      </c>
      <c r="F498" s="4" t="s">
        <v>37</v>
      </c>
      <c r="G498" s="4" t="s">
        <v>470</v>
      </c>
      <c r="H498" s="4" t="s">
        <v>203</v>
      </c>
      <c r="I498" s="4" t="s">
        <v>2029</v>
      </c>
      <c r="J498" s="4" t="s">
        <v>1883</v>
      </c>
      <c r="K498" s="4" t="s">
        <v>1884</v>
      </c>
      <c r="L498" s="4" t="s">
        <v>41</v>
      </c>
      <c r="M498" s="4" t="s">
        <v>1816</v>
      </c>
      <c r="N498" s="10">
        <f t="shared" si="23"/>
        <v>176295.99999999997</v>
      </c>
      <c r="O498" s="15">
        <f t="shared" si="24"/>
        <v>0</v>
      </c>
      <c r="P498" s="10">
        <v>33496.239999999998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209792.24</v>
      </c>
      <c r="AG498" s="4" t="s">
        <v>45</v>
      </c>
      <c r="AH498" s="4" t="s">
        <v>1817</v>
      </c>
    </row>
    <row r="499" spans="1:34" s="4" customFormat="1">
      <c r="A499" s="4" t="s">
        <v>32</v>
      </c>
      <c r="B499" s="4" t="s">
        <v>2147</v>
      </c>
      <c r="C499" s="4" t="s">
        <v>2148</v>
      </c>
      <c r="D499" s="4" t="s">
        <v>1881</v>
      </c>
      <c r="E499" s="4" t="s">
        <v>36</v>
      </c>
      <c r="F499" s="4" t="s">
        <v>37</v>
      </c>
      <c r="G499" s="4" t="s">
        <v>470</v>
      </c>
      <c r="H499" s="4" t="s">
        <v>381</v>
      </c>
      <c r="I499" s="4" t="s">
        <v>2149</v>
      </c>
      <c r="J499" s="4" t="s">
        <v>1883</v>
      </c>
      <c r="K499" s="4" t="s">
        <v>1884</v>
      </c>
      <c r="L499" s="4" t="s">
        <v>41</v>
      </c>
      <c r="M499" s="4" t="s">
        <v>1816</v>
      </c>
      <c r="N499" s="10">
        <f t="shared" si="23"/>
        <v>84033.999999999985</v>
      </c>
      <c r="O499" s="15">
        <f t="shared" si="24"/>
        <v>2.1827872842550278E-11</v>
      </c>
      <c r="P499" s="10">
        <v>15966.46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100000.46</v>
      </c>
      <c r="AG499" s="4" t="s">
        <v>45</v>
      </c>
      <c r="AH499" s="4" t="s">
        <v>1817</v>
      </c>
    </row>
    <row r="500" spans="1:34" s="4" customFormat="1">
      <c r="A500" s="4" t="s">
        <v>32</v>
      </c>
      <c r="B500" s="4" t="s">
        <v>2150</v>
      </c>
      <c r="C500" s="4" t="s">
        <v>2151</v>
      </c>
      <c r="D500" s="4" t="s">
        <v>1881</v>
      </c>
      <c r="E500" s="4" t="s">
        <v>36</v>
      </c>
      <c r="F500" s="4" t="s">
        <v>37</v>
      </c>
      <c r="G500" s="4" t="s">
        <v>470</v>
      </c>
      <c r="H500" s="4" t="s">
        <v>381</v>
      </c>
      <c r="I500" s="4" t="s">
        <v>2152</v>
      </c>
      <c r="J500" s="4" t="s">
        <v>1883</v>
      </c>
      <c r="K500" s="4" t="s">
        <v>1884</v>
      </c>
      <c r="L500" s="4" t="s">
        <v>41</v>
      </c>
      <c r="M500" s="4" t="s">
        <v>1816</v>
      </c>
      <c r="N500" s="10">
        <f t="shared" si="23"/>
        <v>84033.999999999985</v>
      </c>
      <c r="O500" s="15">
        <f t="shared" si="24"/>
        <v>2.1827872842550278E-11</v>
      </c>
      <c r="P500" s="10">
        <v>15966.46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100000.46</v>
      </c>
      <c r="AG500" s="4" t="s">
        <v>45</v>
      </c>
      <c r="AH500" s="4" t="s">
        <v>1817</v>
      </c>
    </row>
    <row r="501" spans="1:34" s="4" customFormat="1">
      <c r="A501" s="4" t="s">
        <v>32</v>
      </c>
      <c r="B501" s="4" t="s">
        <v>2162</v>
      </c>
      <c r="C501" s="4" t="s">
        <v>2163</v>
      </c>
      <c r="D501" s="4" t="s">
        <v>1890</v>
      </c>
      <c r="E501" s="4" t="s">
        <v>36</v>
      </c>
      <c r="F501" s="4" t="s">
        <v>37</v>
      </c>
      <c r="G501" s="4" t="s">
        <v>470</v>
      </c>
      <c r="H501" s="4" t="s">
        <v>381</v>
      </c>
      <c r="I501" s="4" t="s">
        <v>2164</v>
      </c>
      <c r="J501" s="4" t="s">
        <v>1883</v>
      </c>
      <c r="K501" s="4" t="s">
        <v>1884</v>
      </c>
      <c r="L501" s="4" t="s">
        <v>41</v>
      </c>
      <c r="M501" s="4" t="s">
        <v>1816</v>
      </c>
      <c r="N501" s="10">
        <f t="shared" si="23"/>
        <v>93086.999999999985</v>
      </c>
      <c r="O501" s="15">
        <f t="shared" si="24"/>
        <v>0</v>
      </c>
      <c r="P501" s="10">
        <v>17686.53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110773.53</v>
      </c>
      <c r="AG501" s="4" t="s">
        <v>45</v>
      </c>
      <c r="AH501" s="4" t="s">
        <v>1817</v>
      </c>
    </row>
    <row r="502" spans="1:34" s="4" customFormat="1">
      <c r="A502" s="4" t="s">
        <v>32</v>
      </c>
      <c r="B502" s="4" t="s">
        <v>2180</v>
      </c>
      <c r="C502" s="4" t="s">
        <v>2181</v>
      </c>
      <c r="D502" s="4" t="s">
        <v>1890</v>
      </c>
      <c r="E502" s="4" t="s">
        <v>36</v>
      </c>
      <c r="F502" s="4" t="s">
        <v>37</v>
      </c>
      <c r="G502" s="4" t="s">
        <v>470</v>
      </c>
      <c r="H502" s="4" t="s">
        <v>381</v>
      </c>
      <c r="I502" s="4" t="s">
        <v>2182</v>
      </c>
      <c r="J502" s="4" t="s">
        <v>1883</v>
      </c>
      <c r="K502" s="4" t="s">
        <v>1884</v>
      </c>
      <c r="L502" s="4" t="s">
        <v>41</v>
      </c>
      <c r="M502" s="4" t="s">
        <v>1816</v>
      </c>
      <c r="N502" s="10">
        <f t="shared" si="23"/>
        <v>99320</v>
      </c>
      <c r="O502" s="15">
        <f t="shared" si="24"/>
        <v>0</v>
      </c>
      <c r="P502" s="10">
        <v>18870.8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118190.8</v>
      </c>
      <c r="AG502" s="4" t="s">
        <v>45</v>
      </c>
      <c r="AH502" s="4" t="s">
        <v>1817</v>
      </c>
    </row>
    <row r="503" spans="1:34" s="4" customFormat="1">
      <c r="A503" s="4" t="s">
        <v>32</v>
      </c>
      <c r="B503" s="4" t="s">
        <v>2926</v>
      </c>
      <c r="C503" s="4" t="s">
        <v>2927</v>
      </c>
      <c r="D503" s="4" t="s">
        <v>1890</v>
      </c>
      <c r="E503" s="4" t="s">
        <v>36</v>
      </c>
      <c r="F503" s="4" t="s">
        <v>37</v>
      </c>
      <c r="G503" s="4" t="s">
        <v>470</v>
      </c>
      <c r="H503" s="4" t="s">
        <v>693</v>
      </c>
      <c r="I503" s="4" t="s">
        <v>2928</v>
      </c>
      <c r="J503" s="4" t="s">
        <v>1883</v>
      </c>
      <c r="K503" s="4" t="s">
        <v>1884</v>
      </c>
      <c r="L503" s="4" t="s">
        <v>41</v>
      </c>
      <c r="M503" s="4" t="s">
        <v>1816</v>
      </c>
      <c r="N503" s="10">
        <f t="shared" si="23"/>
        <v>84033</v>
      </c>
      <c r="O503" s="15">
        <f t="shared" si="24"/>
        <v>0</v>
      </c>
      <c r="P503" s="10">
        <v>15966.27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99999.27</v>
      </c>
      <c r="AG503" s="4" t="s">
        <v>45</v>
      </c>
      <c r="AH503" s="4" t="s">
        <v>1817</v>
      </c>
    </row>
    <row r="504" spans="1:34" s="4" customFormat="1">
      <c r="A504" s="4" t="s">
        <v>32</v>
      </c>
      <c r="B504" s="4" t="s">
        <v>3012</v>
      </c>
      <c r="C504" s="4" t="s">
        <v>3013</v>
      </c>
      <c r="D504" s="4" t="s">
        <v>1890</v>
      </c>
      <c r="E504" s="4" t="s">
        <v>36</v>
      </c>
      <c r="F504" s="4" t="s">
        <v>37</v>
      </c>
      <c r="G504" s="4" t="s">
        <v>470</v>
      </c>
      <c r="H504" s="4" t="s">
        <v>3001</v>
      </c>
      <c r="I504" s="4" t="s">
        <v>3014</v>
      </c>
      <c r="J504" s="4" t="s">
        <v>1883</v>
      </c>
      <c r="K504" s="4" t="s">
        <v>1884</v>
      </c>
      <c r="L504" s="4" t="s">
        <v>41</v>
      </c>
      <c r="M504" s="4" t="s">
        <v>1816</v>
      </c>
      <c r="N504" s="10">
        <f t="shared" si="23"/>
        <v>84033</v>
      </c>
      <c r="O504" s="15">
        <f t="shared" si="24"/>
        <v>0</v>
      </c>
      <c r="P504" s="10">
        <v>15966.27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99999.27</v>
      </c>
      <c r="AG504" s="4" t="s">
        <v>45</v>
      </c>
      <c r="AH504" s="4" t="s">
        <v>1817</v>
      </c>
    </row>
    <row r="505" spans="1:34" s="4" customFormat="1">
      <c r="A505" s="4" t="s">
        <v>32</v>
      </c>
      <c r="B505" s="4" t="s">
        <v>3030</v>
      </c>
      <c r="C505" s="4" t="s">
        <v>3031</v>
      </c>
      <c r="D505" s="4" t="s">
        <v>1890</v>
      </c>
      <c r="E505" s="4" t="s">
        <v>36</v>
      </c>
      <c r="F505" s="4" t="s">
        <v>37</v>
      </c>
      <c r="G505" s="4" t="s">
        <v>470</v>
      </c>
      <c r="H505" s="4" t="s">
        <v>1388</v>
      </c>
      <c r="I505" s="4" t="s">
        <v>3032</v>
      </c>
      <c r="J505" s="4" t="s">
        <v>1883</v>
      </c>
      <c r="K505" s="4" t="s">
        <v>1884</v>
      </c>
      <c r="L505" s="4" t="s">
        <v>41</v>
      </c>
      <c r="M505" s="4" t="s">
        <v>1816</v>
      </c>
      <c r="N505" s="10">
        <f t="shared" si="23"/>
        <v>84033</v>
      </c>
      <c r="O505" s="15">
        <f t="shared" si="24"/>
        <v>0</v>
      </c>
      <c r="P505" s="10">
        <v>15966.27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99999.27</v>
      </c>
      <c r="AG505" s="4" t="s">
        <v>45</v>
      </c>
      <c r="AH505" s="4" t="s">
        <v>1817</v>
      </c>
    </row>
    <row r="506" spans="1:34" s="4" customFormat="1">
      <c r="A506" s="4" t="s">
        <v>32</v>
      </c>
      <c r="B506" s="4" t="s">
        <v>2468</v>
      </c>
      <c r="C506" s="4" t="s">
        <v>2469</v>
      </c>
      <c r="D506" s="4" t="s">
        <v>1881</v>
      </c>
      <c r="E506" s="4" t="s">
        <v>36</v>
      </c>
      <c r="F506" s="4" t="s">
        <v>37</v>
      </c>
      <c r="G506" s="4" t="s">
        <v>470</v>
      </c>
      <c r="H506" s="4" t="s">
        <v>2169</v>
      </c>
      <c r="I506" s="4" t="s">
        <v>2470</v>
      </c>
      <c r="J506" s="4" t="s">
        <v>1883</v>
      </c>
      <c r="K506" s="4" t="s">
        <v>1884</v>
      </c>
      <c r="L506" s="4" t="s">
        <v>41</v>
      </c>
      <c r="M506" s="4" t="s">
        <v>1816</v>
      </c>
      <c r="N506" s="10">
        <f t="shared" si="23"/>
        <v>84033.999999999985</v>
      </c>
      <c r="O506" s="15">
        <f t="shared" si="24"/>
        <v>2.1827872842550278E-11</v>
      </c>
      <c r="P506" s="10">
        <v>15966.46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0</v>
      </c>
      <c r="AF506" s="10">
        <v>100000.46</v>
      </c>
      <c r="AG506" s="4" t="s">
        <v>45</v>
      </c>
      <c r="AH506" s="4" t="s">
        <v>1817</v>
      </c>
    </row>
    <row r="507" spans="1:34" s="4" customFormat="1">
      <c r="A507" s="4" t="s">
        <v>32</v>
      </c>
      <c r="B507" s="4" t="s">
        <v>2471</v>
      </c>
      <c r="C507" s="4" t="s">
        <v>2472</v>
      </c>
      <c r="D507" s="4" t="s">
        <v>1890</v>
      </c>
      <c r="E507" s="4" t="s">
        <v>36</v>
      </c>
      <c r="F507" s="4" t="s">
        <v>37</v>
      </c>
      <c r="G507" s="4" t="s">
        <v>470</v>
      </c>
      <c r="H507" s="4" t="s">
        <v>2169</v>
      </c>
      <c r="I507" s="4" t="s">
        <v>2473</v>
      </c>
      <c r="J507" s="4" t="s">
        <v>1883</v>
      </c>
      <c r="K507" s="4" t="s">
        <v>1884</v>
      </c>
      <c r="L507" s="4" t="s">
        <v>41</v>
      </c>
      <c r="M507" s="4" t="s">
        <v>1816</v>
      </c>
      <c r="N507" s="10">
        <f t="shared" si="23"/>
        <v>84033.999999999985</v>
      </c>
      <c r="O507" s="15">
        <f t="shared" si="24"/>
        <v>2.1827872842550278E-11</v>
      </c>
      <c r="P507" s="10">
        <v>15966.46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100000.46</v>
      </c>
      <c r="AG507" s="4" t="s">
        <v>45</v>
      </c>
      <c r="AH507" s="4" t="s">
        <v>1817</v>
      </c>
    </row>
    <row r="508" spans="1:34" s="4" customFormat="1">
      <c r="A508" s="4" t="s">
        <v>32</v>
      </c>
      <c r="B508" s="4" t="s">
        <v>2550</v>
      </c>
      <c r="C508" s="4" t="s">
        <v>2551</v>
      </c>
      <c r="D508" s="4" t="s">
        <v>1881</v>
      </c>
      <c r="E508" s="4" t="s">
        <v>36</v>
      </c>
      <c r="F508" s="4" t="s">
        <v>37</v>
      </c>
      <c r="G508" s="4" t="s">
        <v>470</v>
      </c>
      <c r="H508" s="4" t="s">
        <v>2552</v>
      </c>
      <c r="I508" s="4" t="s">
        <v>2553</v>
      </c>
      <c r="J508" s="4" t="s">
        <v>1883</v>
      </c>
      <c r="K508" s="4" t="s">
        <v>1884</v>
      </c>
      <c r="L508" s="4" t="s">
        <v>41</v>
      </c>
      <c r="M508" s="4" t="s">
        <v>1816</v>
      </c>
      <c r="N508" s="10">
        <f t="shared" si="23"/>
        <v>84033.999999999985</v>
      </c>
      <c r="O508" s="15">
        <f t="shared" si="24"/>
        <v>2.1827872842550278E-11</v>
      </c>
      <c r="P508" s="10">
        <v>15966.46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100000.46</v>
      </c>
      <c r="AG508" s="4" t="s">
        <v>45</v>
      </c>
      <c r="AH508" s="4" t="s">
        <v>1817</v>
      </c>
    </row>
    <row r="509" spans="1:34" s="4" customFormat="1">
      <c r="A509" s="4" t="s">
        <v>32</v>
      </c>
      <c r="B509" s="4" t="s">
        <v>2554</v>
      </c>
      <c r="C509" s="4" t="s">
        <v>2555</v>
      </c>
      <c r="D509" s="4" t="s">
        <v>1890</v>
      </c>
      <c r="E509" s="4" t="s">
        <v>36</v>
      </c>
      <c r="F509" s="4" t="s">
        <v>37</v>
      </c>
      <c r="G509" s="4" t="s">
        <v>470</v>
      </c>
      <c r="H509" s="4" t="s">
        <v>2552</v>
      </c>
      <c r="I509" s="4" t="s">
        <v>2556</v>
      </c>
      <c r="J509" s="4" t="s">
        <v>1883</v>
      </c>
      <c r="K509" s="4" t="s">
        <v>1884</v>
      </c>
      <c r="L509" s="4" t="s">
        <v>41</v>
      </c>
      <c r="M509" s="4" t="s">
        <v>1816</v>
      </c>
      <c r="N509" s="10">
        <f t="shared" si="23"/>
        <v>84033.999999999985</v>
      </c>
      <c r="O509" s="15">
        <f t="shared" si="24"/>
        <v>2.1827872842550278E-11</v>
      </c>
      <c r="P509" s="10">
        <v>15966.46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100000.46</v>
      </c>
      <c r="AG509" s="4" t="s">
        <v>45</v>
      </c>
      <c r="AH509" s="4" t="s">
        <v>1817</v>
      </c>
    </row>
    <row r="510" spans="1:34" s="4" customFormat="1">
      <c r="A510" s="4" t="s">
        <v>32</v>
      </c>
      <c r="B510" s="4" t="s">
        <v>2557</v>
      </c>
      <c r="C510" s="4" t="s">
        <v>2558</v>
      </c>
      <c r="D510" s="4" t="s">
        <v>1881</v>
      </c>
      <c r="E510" s="4" t="s">
        <v>36</v>
      </c>
      <c r="F510" s="4" t="s">
        <v>37</v>
      </c>
      <c r="G510" s="4" t="s">
        <v>470</v>
      </c>
      <c r="H510" s="4" t="s">
        <v>2559</v>
      </c>
      <c r="I510" s="4" t="s">
        <v>2560</v>
      </c>
      <c r="J510" s="4" t="s">
        <v>1883</v>
      </c>
      <c r="K510" s="4" t="s">
        <v>1884</v>
      </c>
      <c r="L510" s="4" t="s">
        <v>41</v>
      </c>
      <c r="M510" s="4" t="s">
        <v>1816</v>
      </c>
      <c r="N510" s="10">
        <f t="shared" ref="N510:N573" si="25">+P510/19*100</f>
        <v>84033.999999999985</v>
      </c>
      <c r="O510" s="15">
        <f t="shared" ref="O510:O573" si="26">+AF510-N510-P510</f>
        <v>2.1827872842550278E-11</v>
      </c>
      <c r="P510" s="10">
        <v>15966.46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100000.46</v>
      </c>
      <c r="AG510" s="4" t="s">
        <v>45</v>
      </c>
      <c r="AH510" s="4" t="s">
        <v>1817</v>
      </c>
    </row>
    <row r="511" spans="1:34" s="4" customFormat="1">
      <c r="A511" s="4" t="s">
        <v>32</v>
      </c>
      <c r="B511" s="4" t="s">
        <v>2561</v>
      </c>
      <c r="C511" s="4" t="s">
        <v>2562</v>
      </c>
      <c r="D511" s="4" t="s">
        <v>1881</v>
      </c>
      <c r="E511" s="4" t="s">
        <v>36</v>
      </c>
      <c r="F511" s="4" t="s">
        <v>37</v>
      </c>
      <c r="G511" s="4" t="s">
        <v>470</v>
      </c>
      <c r="H511" s="4" t="s">
        <v>2559</v>
      </c>
      <c r="I511" s="4" t="s">
        <v>2563</v>
      </c>
      <c r="J511" s="4" t="s">
        <v>1883</v>
      </c>
      <c r="K511" s="4" t="s">
        <v>1884</v>
      </c>
      <c r="L511" s="4" t="s">
        <v>41</v>
      </c>
      <c r="M511" s="4" t="s">
        <v>1816</v>
      </c>
      <c r="N511" s="10">
        <f t="shared" si="25"/>
        <v>84033.999999999985</v>
      </c>
      <c r="O511" s="15">
        <f t="shared" si="26"/>
        <v>2.1827872842550278E-11</v>
      </c>
      <c r="P511" s="10">
        <v>15966.46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100000.46</v>
      </c>
      <c r="AG511" s="4" t="s">
        <v>45</v>
      </c>
      <c r="AH511" s="4" t="s">
        <v>1817</v>
      </c>
    </row>
    <row r="512" spans="1:34" s="4" customFormat="1">
      <c r="A512" s="4" t="s">
        <v>32</v>
      </c>
      <c r="B512" s="4" t="s">
        <v>2564</v>
      </c>
      <c r="C512" s="4" t="s">
        <v>2565</v>
      </c>
      <c r="D512" s="4" t="s">
        <v>1890</v>
      </c>
      <c r="E512" s="4" t="s">
        <v>36</v>
      </c>
      <c r="F512" s="4" t="s">
        <v>37</v>
      </c>
      <c r="G512" s="4" t="s">
        <v>470</v>
      </c>
      <c r="H512" s="4" t="s">
        <v>2559</v>
      </c>
      <c r="I512" s="4" t="s">
        <v>2566</v>
      </c>
      <c r="J512" s="4" t="s">
        <v>1883</v>
      </c>
      <c r="K512" s="4" t="s">
        <v>1884</v>
      </c>
      <c r="L512" s="4" t="s">
        <v>41</v>
      </c>
      <c r="M512" s="4" t="s">
        <v>1816</v>
      </c>
      <c r="N512" s="10">
        <f t="shared" si="25"/>
        <v>84033.999999999985</v>
      </c>
      <c r="O512" s="15">
        <f t="shared" si="26"/>
        <v>2.1827872842550278E-11</v>
      </c>
      <c r="P512" s="10">
        <v>15966.46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100000.46</v>
      </c>
      <c r="AG512" s="4" t="s">
        <v>45</v>
      </c>
      <c r="AH512" s="4" t="s">
        <v>1817</v>
      </c>
    </row>
    <row r="513" spans="1:34" s="4" customFormat="1">
      <c r="A513" s="4" t="s">
        <v>32</v>
      </c>
      <c r="B513" s="4" t="s">
        <v>2567</v>
      </c>
      <c r="C513" s="4" t="s">
        <v>2568</v>
      </c>
      <c r="D513" s="4" t="s">
        <v>1890</v>
      </c>
      <c r="E513" s="4" t="s">
        <v>36</v>
      </c>
      <c r="F513" s="4" t="s">
        <v>37</v>
      </c>
      <c r="G513" s="4" t="s">
        <v>470</v>
      </c>
      <c r="H513" s="4" t="s">
        <v>2559</v>
      </c>
      <c r="I513" s="4" t="s">
        <v>2569</v>
      </c>
      <c r="J513" s="4" t="s">
        <v>1883</v>
      </c>
      <c r="K513" s="4" t="s">
        <v>1884</v>
      </c>
      <c r="L513" s="4" t="s">
        <v>41</v>
      </c>
      <c r="M513" s="4" t="s">
        <v>1816</v>
      </c>
      <c r="N513" s="10">
        <f t="shared" si="25"/>
        <v>84033.999999999985</v>
      </c>
      <c r="O513" s="15">
        <f t="shared" si="26"/>
        <v>2.1827872842550278E-11</v>
      </c>
      <c r="P513" s="10">
        <v>15966.46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100000.46</v>
      </c>
      <c r="AG513" s="4" t="s">
        <v>45</v>
      </c>
      <c r="AH513" s="4" t="s">
        <v>1817</v>
      </c>
    </row>
    <row r="514" spans="1:34" s="4" customFormat="1">
      <c r="A514" s="4" t="s">
        <v>32</v>
      </c>
      <c r="B514" s="4" t="s">
        <v>2570</v>
      </c>
      <c r="C514" s="4" t="s">
        <v>2571</v>
      </c>
      <c r="D514" s="4" t="s">
        <v>1881</v>
      </c>
      <c r="E514" s="4" t="s">
        <v>36</v>
      </c>
      <c r="F514" s="4" t="s">
        <v>37</v>
      </c>
      <c r="G514" s="4" t="s">
        <v>470</v>
      </c>
      <c r="H514" s="4" t="s">
        <v>2559</v>
      </c>
      <c r="I514" s="4" t="s">
        <v>2572</v>
      </c>
      <c r="J514" s="4" t="s">
        <v>1883</v>
      </c>
      <c r="K514" s="4" t="s">
        <v>1884</v>
      </c>
      <c r="L514" s="4" t="s">
        <v>41</v>
      </c>
      <c r="M514" s="4" t="s">
        <v>1816</v>
      </c>
      <c r="N514" s="10">
        <f t="shared" si="25"/>
        <v>84033.999999999985</v>
      </c>
      <c r="O514" s="15">
        <f t="shared" si="26"/>
        <v>2.1827872842550278E-11</v>
      </c>
      <c r="P514" s="10">
        <v>15966.46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100000.46</v>
      </c>
      <c r="AG514" s="4" t="s">
        <v>45</v>
      </c>
      <c r="AH514" s="4" t="s">
        <v>1817</v>
      </c>
    </row>
    <row r="515" spans="1:34" s="4" customFormat="1">
      <c r="A515" s="4" t="s">
        <v>32</v>
      </c>
      <c r="B515" s="4" t="s">
        <v>2573</v>
      </c>
      <c r="C515" s="4" t="s">
        <v>2574</v>
      </c>
      <c r="D515" s="4" t="s">
        <v>1890</v>
      </c>
      <c r="E515" s="4" t="s">
        <v>36</v>
      </c>
      <c r="F515" s="4" t="s">
        <v>37</v>
      </c>
      <c r="G515" s="4" t="s">
        <v>470</v>
      </c>
      <c r="H515" s="4" t="s">
        <v>2559</v>
      </c>
      <c r="I515" s="4" t="s">
        <v>2575</v>
      </c>
      <c r="J515" s="4" t="s">
        <v>1883</v>
      </c>
      <c r="K515" s="4" t="s">
        <v>1884</v>
      </c>
      <c r="L515" s="4" t="s">
        <v>41</v>
      </c>
      <c r="M515" s="4" t="s">
        <v>1816</v>
      </c>
      <c r="N515" s="10">
        <f t="shared" si="25"/>
        <v>84033.999999999985</v>
      </c>
      <c r="O515" s="15">
        <f t="shared" si="26"/>
        <v>2.1827872842550278E-11</v>
      </c>
      <c r="P515" s="10">
        <v>15966.46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100000.46</v>
      </c>
      <c r="AG515" s="4" t="s">
        <v>45</v>
      </c>
      <c r="AH515" s="4" t="s">
        <v>1817</v>
      </c>
    </row>
    <row r="516" spans="1:34" s="4" customFormat="1">
      <c r="A516" s="4" t="s">
        <v>32</v>
      </c>
      <c r="B516" s="4" t="s">
        <v>2614</v>
      </c>
      <c r="C516" s="4" t="s">
        <v>2615</v>
      </c>
      <c r="D516" s="4" t="s">
        <v>1881</v>
      </c>
      <c r="E516" s="4" t="s">
        <v>36</v>
      </c>
      <c r="F516" s="4" t="s">
        <v>37</v>
      </c>
      <c r="G516" s="4" t="s">
        <v>470</v>
      </c>
      <c r="H516" s="4" t="s">
        <v>2616</v>
      </c>
      <c r="I516" s="4" t="s">
        <v>2617</v>
      </c>
      <c r="J516" s="4" t="s">
        <v>1883</v>
      </c>
      <c r="K516" s="4" t="s">
        <v>1884</v>
      </c>
      <c r="L516" s="4" t="s">
        <v>41</v>
      </c>
      <c r="M516" s="4" t="s">
        <v>1816</v>
      </c>
      <c r="N516" s="10">
        <f t="shared" si="25"/>
        <v>84033.999999999985</v>
      </c>
      <c r="O516" s="15">
        <f t="shared" si="26"/>
        <v>2.1827872842550278E-11</v>
      </c>
      <c r="P516" s="10">
        <v>15966.46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100000.46</v>
      </c>
      <c r="AG516" s="4" t="s">
        <v>45</v>
      </c>
      <c r="AH516" s="4" t="s">
        <v>1817</v>
      </c>
    </row>
    <row r="517" spans="1:34" s="4" customFormat="1">
      <c r="A517" s="4" t="s">
        <v>32</v>
      </c>
      <c r="B517" s="4" t="s">
        <v>2618</v>
      </c>
      <c r="C517" s="4" t="s">
        <v>2619</v>
      </c>
      <c r="D517" s="4" t="s">
        <v>1890</v>
      </c>
      <c r="E517" s="4" t="s">
        <v>36</v>
      </c>
      <c r="F517" s="4" t="s">
        <v>37</v>
      </c>
      <c r="G517" s="4" t="s">
        <v>470</v>
      </c>
      <c r="H517" s="4" t="s">
        <v>2616</v>
      </c>
      <c r="I517" s="4" t="s">
        <v>2620</v>
      </c>
      <c r="J517" s="4" t="s">
        <v>1883</v>
      </c>
      <c r="K517" s="4" t="s">
        <v>1884</v>
      </c>
      <c r="L517" s="4" t="s">
        <v>41</v>
      </c>
      <c r="M517" s="4" t="s">
        <v>1816</v>
      </c>
      <c r="N517" s="10">
        <f t="shared" si="25"/>
        <v>84033.999999999985</v>
      </c>
      <c r="O517" s="15">
        <f t="shared" si="26"/>
        <v>2.1827872842550278E-11</v>
      </c>
      <c r="P517" s="10">
        <v>15966.46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100000.46</v>
      </c>
      <c r="AG517" s="4" t="s">
        <v>45</v>
      </c>
      <c r="AH517" s="4" t="s">
        <v>1817</v>
      </c>
    </row>
    <row r="518" spans="1:34" s="4" customFormat="1">
      <c r="A518" s="4" t="s">
        <v>32</v>
      </c>
      <c r="B518" s="4" t="s">
        <v>2693</v>
      </c>
      <c r="C518" s="4" t="s">
        <v>2694</v>
      </c>
      <c r="D518" s="4" t="s">
        <v>1881</v>
      </c>
      <c r="E518" s="4" t="s">
        <v>36</v>
      </c>
      <c r="F518" s="4" t="s">
        <v>37</v>
      </c>
      <c r="G518" s="4" t="s">
        <v>470</v>
      </c>
      <c r="H518" s="4" t="s">
        <v>2235</v>
      </c>
      <c r="I518" s="4" t="s">
        <v>2695</v>
      </c>
      <c r="J518" s="4" t="s">
        <v>1883</v>
      </c>
      <c r="K518" s="4" t="s">
        <v>1884</v>
      </c>
      <c r="L518" s="4" t="s">
        <v>41</v>
      </c>
      <c r="M518" s="4" t="s">
        <v>1816</v>
      </c>
      <c r="N518" s="10">
        <f t="shared" si="25"/>
        <v>84033.999999999985</v>
      </c>
      <c r="O518" s="15">
        <f t="shared" si="26"/>
        <v>2.1827872842550278E-11</v>
      </c>
      <c r="P518" s="10">
        <v>15966.46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100000.46</v>
      </c>
      <c r="AG518" s="4" t="s">
        <v>45</v>
      </c>
      <c r="AH518" s="4" t="s">
        <v>1817</v>
      </c>
    </row>
    <row r="519" spans="1:34" s="4" customFormat="1">
      <c r="A519" s="4" t="s">
        <v>32</v>
      </c>
      <c r="B519" s="4" t="s">
        <v>2696</v>
      </c>
      <c r="C519" s="4" t="s">
        <v>2697</v>
      </c>
      <c r="D519" s="4" t="s">
        <v>1890</v>
      </c>
      <c r="E519" s="4" t="s">
        <v>36</v>
      </c>
      <c r="F519" s="4" t="s">
        <v>37</v>
      </c>
      <c r="G519" s="4" t="s">
        <v>470</v>
      </c>
      <c r="H519" s="4" t="s">
        <v>2235</v>
      </c>
      <c r="I519" s="4" t="s">
        <v>2698</v>
      </c>
      <c r="J519" s="4" t="s">
        <v>1883</v>
      </c>
      <c r="K519" s="4" t="s">
        <v>1884</v>
      </c>
      <c r="L519" s="4" t="s">
        <v>41</v>
      </c>
      <c r="M519" s="4" t="s">
        <v>1816</v>
      </c>
      <c r="N519" s="10">
        <f t="shared" si="25"/>
        <v>84033.999999999985</v>
      </c>
      <c r="O519" s="15">
        <f t="shared" si="26"/>
        <v>2.1827872842550278E-11</v>
      </c>
      <c r="P519" s="10">
        <v>15966.46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100000.46</v>
      </c>
      <c r="AG519" s="4" t="s">
        <v>45</v>
      </c>
      <c r="AH519" s="4" t="s">
        <v>1817</v>
      </c>
    </row>
    <row r="520" spans="1:34" s="4" customFormat="1">
      <c r="A520" s="4" t="s">
        <v>32</v>
      </c>
      <c r="B520" s="4" t="s">
        <v>2865</v>
      </c>
      <c r="C520" s="4" t="s">
        <v>2866</v>
      </c>
      <c r="D520" s="4" t="s">
        <v>1881</v>
      </c>
      <c r="E520" s="4" t="s">
        <v>36</v>
      </c>
      <c r="F520" s="4" t="s">
        <v>37</v>
      </c>
      <c r="G520" s="4" t="s">
        <v>470</v>
      </c>
      <c r="H520" s="4" t="s">
        <v>1376</v>
      </c>
      <c r="I520" s="4" t="s">
        <v>2867</v>
      </c>
      <c r="J520" s="4" t="s">
        <v>1883</v>
      </c>
      <c r="K520" s="4" t="s">
        <v>1884</v>
      </c>
      <c r="L520" s="4" t="s">
        <v>41</v>
      </c>
      <c r="M520" s="4" t="s">
        <v>1816</v>
      </c>
      <c r="N520" s="10">
        <f t="shared" si="25"/>
        <v>84033.999999999985</v>
      </c>
      <c r="O520" s="15">
        <f t="shared" si="26"/>
        <v>2.1827872842550278E-11</v>
      </c>
      <c r="P520" s="10">
        <v>15966.46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100000.46</v>
      </c>
      <c r="AG520" s="4" t="s">
        <v>45</v>
      </c>
      <c r="AH520" s="4" t="s">
        <v>1817</v>
      </c>
    </row>
    <row r="521" spans="1:34" s="4" customFormat="1">
      <c r="A521" s="4" t="s">
        <v>32</v>
      </c>
      <c r="B521" s="4" t="s">
        <v>2868</v>
      </c>
      <c r="C521" s="4" t="s">
        <v>2869</v>
      </c>
      <c r="D521" s="4" t="s">
        <v>1890</v>
      </c>
      <c r="E521" s="4" t="s">
        <v>36</v>
      </c>
      <c r="F521" s="4" t="s">
        <v>37</v>
      </c>
      <c r="G521" s="4" t="s">
        <v>470</v>
      </c>
      <c r="H521" s="4" t="s">
        <v>1376</v>
      </c>
      <c r="I521" s="4" t="s">
        <v>2870</v>
      </c>
      <c r="J521" s="4" t="s">
        <v>1883</v>
      </c>
      <c r="K521" s="4" t="s">
        <v>1884</v>
      </c>
      <c r="L521" s="4" t="s">
        <v>41</v>
      </c>
      <c r="M521" s="4" t="s">
        <v>1816</v>
      </c>
      <c r="N521" s="10">
        <f t="shared" si="25"/>
        <v>84033.999999999985</v>
      </c>
      <c r="O521" s="15">
        <f t="shared" si="26"/>
        <v>2.1827872842550278E-11</v>
      </c>
      <c r="P521" s="10">
        <v>15966.46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100000.46</v>
      </c>
      <c r="AG521" s="4" t="s">
        <v>45</v>
      </c>
      <c r="AH521" s="4" t="s">
        <v>1817</v>
      </c>
    </row>
    <row r="522" spans="1:34" s="4" customFormat="1">
      <c r="A522" s="4" t="s">
        <v>32</v>
      </c>
      <c r="B522" s="4" t="s">
        <v>2897</v>
      </c>
      <c r="C522" s="4" t="s">
        <v>2898</v>
      </c>
      <c r="D522" s="4" t="s">
        <v>1881</v>
      </c>
      <c r="E522" s="4" t="s">
        <v>36</v>
      </c>
      <c r="F522" s="4" t="s">
        <v>37</v>
      </c>
      <c r="G522" s="4" t="s">
        <v>470</v>
      </c>
      <c r="H522" s="4" t="s">
        <v>2899</v>
      </c>
      <c r="I522" s="4" t="s">
        <v>2900</v>
      </c>
      <c r="J522" s="4" t="s">
        <v>1883</v>
      </c>
      <c r="K522" s="4" t="s">
        <v>1884</v>
      </c>
      <c r="L522" s="4" t="s">
        <v>41</v>
      </c>
      <c r="M522" s="4" t="s">
        <v>1816</v>
      </c>
      <c r="N522" s="10">
        <f t="shared" si="25"/>
        <v>84033.999999999985</v>
      </c>
      <c r="O522" s="15">
        <f t="shared" si="26"/>
        <v>2.1827872842550278E-11</v>
      </c>
      <c r="P522" s="10">
        <v>15966.46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100000.46</v>
      </c>
      <c r="AG522" s="4" t="s">
        <v>45</v>
      </c>
      <c r="AH522" s="4" t="s">
        <v>1817</v>
      </c>
    </row>
    <row r="523" spans="1:34" s="4" customFormat="1">
      <c r="A523" s="4" t="s">
        <v>32</v>
      </c>
      <c r="B523" s="4" t="s">
        <v>2901</v>
      </c>
      <c r="C523" s="4" t="s">
        <v>2902</v>
      </c>
      <c r="D523" s="4" t="s">
        <v>1890</v>
      </c>
      <c r="E523" s="4" t="s">
        <v>36</v>
      </c>
      <c r="F523" s="4" t="s">
        <v>37</v>
      </c>
      <c r="G523" s="4" t="s">
        <v>470</v>
      </c>
      <c r="H523" s="4" t="s">
        <v>2899</v>
      </c>
      <c r="I523" s="4" t="s">
        <v>2903</v>
      </c>
      <c r="J523" s="4" t="s">
        <v>1883</v>
      </c>
      <c r="K523" s="4" t="s">
        <v>1884</v>
      </c>
      <c r="L523" s="4" t="s">
        <v>41</v>
      </c>
      <c r="M523" s="4" t="s">
        <v>1816</v>
      </c>
      <c r="N523" s="10">
        <f t="shared" si="25"/>
        <v>84033.999999999985</v>
      </c>
      <c r="O523" s="15">
        <f t="shared" si="26"/>
        <v>2.1827872842550278E-11</v>
      </c>
      <c r="P523" s="10">
        <v>15966.46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100000.46</v>
      </c>
      <c r="AG523" s="4" t="s">
        <v>45</v>
      </c>
      <c r="AH523" s="4" t="s">
        <v>1817</v>
      </c>
    </row>
    <row r="524" spans="1:34" s="4" customFormat="1">
      <c r="A524" s="4" t="s">
        <v>32</v>
      </c>
      <c r="B524" s="4" t="s">
        <v>2923</v>
      </c>
      <c r="C524" s="4" t="s">
        <v>2924</v>
      </c>
      <c r="D524" s="4" t="s">
        <v>1881</v>
      </c>
      <c r="E524" s="4" t="s">
        <v>36</v>
      </c>
      <c r="F524" s="4" t="s">
        <v>37</v>
      </c>
      <c r="G524" s="4" t="s">
        <v>470</v>
      </c>
      <c r="H524" s="4" t="s">
        <v>693</v>
      </c>
      <c r="I524" s="4" t="s">
        <v>2925</v>
      </c>
      <c r="J524" s="4" t="s">
        <v>1883</v>
      </c>
      <c r="K524" s="4" t="s">
        <v>1884</v>
      </c>
      <c r="L524" s="4" t="s">
        <v>41</v>
      </c>
      <c r="M524" s="4" t="s">
        <v>1816</v>
      </c>
      <c r="N524" s="10">
        <f t="shared" si="25"/>
        <v>84033.999999999985</v>
      </c>
      <c r="O524" s="15">
        <f t="shared" si="26"/>
        <v>2.1827872842550278E-11</v>
      </c>
      <c r="P524" s="10">
        <v>15966.46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100000.46</v>
      </c>
      <c r="AG524" s="4" t="s">
        <v>45</v>
      </c>
      <c r="AH524" s="4" t="s">
        <v>1817</v>
      </c>
    </row>
    <row r="525" spans="1:34" s="4" customFormat="1">
      <c r="A525" s="4" t="s">
        <v>32</v>
      </c>
      <c r="B525" s="4" t="s">
        <v>2974</v>
      </c>
      <c r="C525" s="4" t="s">
        <v>2975</v>
      </c>
      <c r="D525" s="4" t="s">
        <v>1890</v>
      </c>
      <c r="E525" s="4" t="s">
        <v>36</v>
      </c>
      <c r="F525" s="4" t="s">
        <v>37</v>
      </c>
      <c r="G525" s="4" t="s">
        <v>470</v>
      </c>
      <c r="H525" s="4" t="s">
        <v>2352</v>
      </c>
      <c r="I525" s="4" t="s">
        <v>2976</v>
      </c>
      <c r="J525" s="4" t="s">
        <v>1883</v>
      </c>
      <c r="K525" s="4" t="s">
        <v>1884</v>
      </c>
      <c r="L525" s="4" t="s">
        <v>41</v>
      </c>
      <c r="M525" s="4" t="s">
        <v>1816</v>
      </c>
      <c r="N525" s="10">
        <f t="shared" si="25"/>
        <v>84033.999999999985</v>
      </c>
      <c r="O525" s="15">
        <f t="shared" si="26"/>
        <v>2.1827872842550278E-11</v>
      </c>
      <c r="P525" s="10">
        <v>15966.46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100000.46</v>
      </c>
      <c r="AG525" s="4" t="s">
        <v>45</v>
      </c>
      <c r="AH525" s="4" t="s">
        <v>1817</v>
      </c>
    </row>
    <row r="526" spans="1:34" s="4" customFormat="1">
      <c r="A526" s="4" t="s">
        <v>32</v>
      </c>
      <c r="B526" s="4" t="s">
        <v>2981</v>
      </c>
      <c r="C526" s="4" t="s">
        <v>2982</v>
      </c>
      <c r="D526" s="4" t="s">
        <v>1881</v>
      </c>
      <c r="E526" s="4" t="s">
        <v>36</v>
      </c>
      <c r="F526" s="4" t="s">
        <v>37</v>
      </c>
      <c r="G526" s="4" t="s">
        <v>470</v>
      </c>
      <c r="H526" s="4" t="s">
        <v>2979</v>
      </c>
      <c r="I526" s="4" t="s">
        <v>2983</v>
      </c>
      <c r="J526" s="4" t="s">
        <v>1883</v>
      </c>
      <c r="K526" s="4" t="s">
        <v>1884</v>
      </c>
      <c r="L526" s="4" t="s">
        <v>41</v>
      </c>
      <c r="M526" s="4" t="s">
        <v>1816</v>
      </c>
      <c r="N526" s="10">
        <f t="shared" si="25"/>
        <v>84033.999999999985</v>
      </c>
      <c r="O526" s="15">
        <f t="shared" si="26"/>
        <v>2.1827872842550278E-11</v>
      </c>
      <c r="P526" s="10">
        <v>15966.46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100000.46</v>
      </c>
      <c r="AG526" s="4" t="s">
        <v>45</v>
      </c>
      <c r="AH526" s="4" t="s">
        <v>1817</v>
      </c>
    </row>
    <row r="527" spans="1:34" s="4" customFormat="1">
      <c r="A527" s="4" t="s">
        <v>32</v>
      </c>
      <c r="B527" s="4" t="s">
        <v>2984</v>
      </c>
      <c r="C527" s="4" t="s">
        <v>2985</v>
      </c>
      <c r="D527" s="4" t="s">
        <v>1890</v>
      </c>
      <c r="E527" s="4" t="s">
        <v>36</v>
      </c>
      <c r="F527" s="4" t="s">
        <v>37</v>
      </c>
      <c r="G527" s="4" t="s">
        <v>470</v>
      </c>
      <c r="H527" s="4" t="s">
        <v>2979</v>
      </c>
      <c r="I527" s="4" t="s">
        <v>2986</v>
      </c>
      <c r="J527" s="4" t="s">
        <v>1883</v>
      </c>
      <c r="K527" s="4" t="s">
        <v>1884</v>
      </c>
      <c r="L527" s="4" t="s">
        <v>41</v>
      </c>
      <c r="M527" s="4" t="s">
        <v>1816</v>
      </c>
      <c r="N527" s="10">
        <f t="shared" si="25"/>
        <v>84033.999999999985</v>
      </c>
      <c r="O527" s="15">
        <f t="shared" si="26"/>
        <v>2.1827872842550278E-11</v>
      </c>
      <c r="P527" s="10">
        <v>15966.46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100000.46</v>
      </c>
      <c r="AG527" s="4" t="s">
        <v>45</v>
      </c>
      <c r="AH527" s="4" t="s">
        <v>1817</v>
      </c>
    </row>
    <row r="528" spans="1:34" s="4" customFormat="1">
      <c r="A528" s="4" t="s">
        <v>32</v>
      </c>
      <c r="B528" s="4" t="s">
        <v>2987</v>
      </c>
      <c r="C528" s="4" t="s">
        <v>2988</v>
      </c>
      <c r="D528" s="4" t="s">
        <v>1890</v>
      </c>
      <c r="E528" s="4" t="s">
        <v>36</v>
      </c>
      <c r="F528" s="4" t="s">
        <v>37</v>
      </c>
      <c r="G528" s="4" t="s">
        <v>470</v>
      </c>
      <c r="H528" s="4" t="s">
        <v>2356</v>
      </c>
      <c r="I528" s="4" t="s">
        <v>2989</v>
      </c>
      <c r="J528" s="4" t="s">
        <v>1883</v>
      </c>
      <c r="K528" s="4" t="s">
        <v>1884</v>
      </c>
      <c r="L528" s="4" t="s">
        <v>41</v>
      </c>
      <c r="M528" s="4" t="s">
        <v>1816</v>
      </c>
      <c r="N528" s="10">
        <f t="shared" si="25"/>
        <v>84033.999999999985</v>
      </c>
      <c r="O528" s="15">
        <f t="shared" si="26"/>
        <v>2.1827872842550278E-11</v>
      </c>
      <c r="P528" s="10">
        <v>15966.46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100000.46</v>
      </c>
      <c r="AG528" s="4" t="s">
        <v>45</v>
      </c>
      <c r="AH528" s="4" t="s">
        <v>1817</v>
      </c>
    </row>
    <row r="529" spans="1:34" s="4" customFormat="1">
      <c r="A529" s="4" t="s">
        <v>32</v>
      </c>
      <c r="B529" s="4" t="s">
        <v>2990</v>
      </c>
      <c r="C529" s="4" t="s">
        <v>2991</v>
      </c>
      <c r="D529" s="4" t="s">
        <v>1881</v>
      </c>
      <c r="E529" s="4" t="s">
        <v>36</v>
      </c>
      <c r="F529" s="4" t="s">
        <v>37</v>
      </c>
      <c r="G529" s="4" t="s">
        <v>470</v>
      </c>
      <c r="H529" s="4" t="s">
        <v>2356</v>
      </c>
      <c r="I529" s="4" t="s">
        <v>2992</v>
      </c>
      <c r="J529" s="4" t="s">
        <v>1883</v>
      </c>
      <c r="K529" s="4" t="s">
        <v>1884</v>
      </c>
      <c r="L529" s="4" t="s">
        <v>41</v>
      </c>
      <c r="M529" s="4" t="s">
        <v>1816</v>
      </c>
      <c r="N529" s="10">
        <f t="shared" si="25"/>
        <v>84033.999999999985</v>
      </c>
      <c r="O529" s="15">
        <f t="shared" si="26"/>
        <v>2.1827872842550278E-11</v>
      </c>
      <c r="P529" s="10">
        <v>15966.46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100000.46</v>
      </c>
      <c r="AG529" s="4" t="s">
        <v>45</v>
      </c>
      <c r="AH529" s="4" t="s">
        <v>1817</v>
      </c>
    </row>
    <row r="530" spans="1:34" s="4" customFormat="1">
      <c r="A530" s="4" t="s">
        <v>32</v>
      </c>
      <c r="B530" s="4" t="s">
        <v>3003</v>
      </c>
      <c r="C530" s="4" t="s">
        <v>3004</v>
      </c>
      <c r="D530" s="4" t="s">
        <v>1890</v>
      </c>
      <c r="E530" s="4" t="s">
        <v>36</v>
      </c>
      <c r="F530" s="4" t="s">
        <v>37</v>
      </c>
      <c r="G530" s="4" t="s">
        <v>470</v>
      </c>
      <c r="H530" s="4" t="s">
        <v>3001</v>
      </c>
      <c r="I530" s="4" t="s">
        <v>3005</v>
      </c>
      <c r="J530" s="4" t="s">
        <v>1883</v>
      </c>
      <c r="K530" s="4" t="s">
        <v>1884</v>
      </c>
      <c r="L530" s="4" t="s">
        <v>41</v>
      </c>
      <c r="M530" s="4" t="s">
        <v>1816</v>
      </c>
      <c r="N530" s="10">
        <f t="shared" si="25"/>
        <v>84033.999999999985</v>
      </c>
      <c r="O530" s="15">
        <f t="shared" si="26"/>
        <v>2.1827872842550278E-11</v>
      </c>
      <c r="P530" s="10">
        <v>15966.46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100000.46</v>
      </c>
      <c r="AG530" s="4" t="s">
        <v>45</v>
      </c>
      <c r="AH530" s="4" t="s">
        <v>1817</v>
      </c>
    </row>
    <row r="531" spans="1:34" s="4" customFormat="1">
      <c r="A531" s="4" t="s">
        <v>32</v>
      </c>
      <c r="B531" s="4" t="s">
        <v>3006</v>
      </c>
      <c r="C531" s="4" t="s">
        <v>3007</v>
      </c>
      <c r="D531" s="4" t="s">
        <v>1881</v>
      </c>
      <c r="E531" s="4" t="s">
        <v>36</v>
      </c>
      <c r="F531" s="4" t="s">
        <v>37</v>
      </c>
      <c r="G531" s="4" t="s">
        <v>470</v>
      </c>
      <c r="H531" s="4" t="s">
        <v>3001</v>
      </c>
      <c r="I531" s="4" t="s">
        <v>3008</v>
      </c>
      <c r="J531" s="4" t="s">
        <v>1883</v>
      </c>
      <c r="K531" s="4" t="s">
        <v>1884</v>
      </c>
      <c r="L531" s="4" t="s">
        <v>41</v>
      </c>
      <c r="M531" s="4" t="s">
        <v>1816</v>
      </c>
      <c r="N531" s="10">
        <f t="shared" si="25"/>
        <v>84033.999999999985</v>
      </c>
      <c r="O531" s="15">
        <f t="shared" si="26"/>
        <v>2.1827872842550278E-11</v>
      </c>
      <c r="P531" s="10">
        <v>15966.46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100000.46</v>
      </c>
      <c r="AG531" s="4" t="s">
        <v>45</v>
      </c>
      <c r="AH531" s="4" t="s">
        <v>1817</v>
      </c>
    </row>
    <row r="532" spans="1:34" s="4" customFormat="1">
      <c r="A532" s="4" t="s">
        <v>32</v>
      </c>
      <c r="B532" s="4" t="s">
        <v>3009</v>
      </c>
      <c r="C532" s="4" t="s">
        <v>3010</v>
      </c>
      <c r="D532" s="4" t="s">
        <v>1881</v>
      </c>
      <c r="E532" s="4" t="s">
        <v>36</v>
      </c>
      <c r="F532" s="4" t="s">
        <v>37</v>
      </c>
      <c r="G532" s="4" t="s">
        <v>470</v>
      </c>
      <c r="H532" s="4" t="s">
        <v>3001</v>
      </c>
      <c r="I532" s="4" t="s">
        <v>3011</v>
      </c>
      <c r="J532" s="4" t="s">
        <v>1883</v>
      </c>
      <c r="K532" s="4" t="s">
        <v>1884</v>
      </c>
      <c r="L532" s="4" t="s">
        <v>41</v>
      </c>
      <c r="M532" s="4" t="s">
        <v>1816</v>
      </c>
      <c r="N532" s="10">
        <f t="shared" si="25"/>
        <v>84033.999999999985</v>
      </c>
      <c r="O532" s="15">
        <f t="shared" si="26"/>
        <v>2.1827872842550278E-11</v>
      </c>
      <c r="P532" s="10">
        <v>15966.46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100000.46</v>
      </c>
      <c r="AG532" s="4" t="s">
        <v>45</v>
      </c>
      <c r="AH532" s="4" t="s">
        <v>1817</v>
      </c>
    </row>
    <row r="533" spans="1:34" s="4" customFormat="1">
      <c r="A533" s="4" t="s">
        <v>32</v>
      </c>
      <c r="B533" s="4" t="s">
        <v>3015</v>
      </c>
      <c r="C533" s="4" t="s">
        <v>3016</v>
      </c>
      <c r="D533" s="4" t="s">
        <v>1890</v>
      </c>
      <c r="E533" s="4" t="s">
        <v>36</v>
      </c>
      <c r="F533" s="4" t="s">
        <v>37</v>
      </c>
      <c r="G533" s="4" t="s">
        <v>470</v>
      </c>
      <c r="H533" s="4" t="s">
        <v>3001</v>
      </c>
      <c r="I533" s="4" t="s">
        <v>3017</v>
      </c>
      <c r="J533" s="4" t="s">
        <v>1883</v>
      </c>
      <c r="K533" s="4" t="s">
        <v>1884</v>
      </c>
      <c r="L533" s="4" t="s">
        <v>41</v>
      </c>
      <c r="M533" s="4" t="s">
        <v>1816</v>
      </c>
      <c r="N533" s="10">
        <f t="shared" si="25"/>
        <v>84033.999999999985</v>
      </c>
      <c r="O533" s="15">
        <f t="shared" si="26"/>
        <v>2.1827872842550278E-11</v>
      </c>
      <c r="P533" s="10">
        <v>15966.46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100000.46</v>
      </c>
      <c r="AG533" s="4" t="s">
        <v>45</v>
      </c>
      <c r="AH533" s="4" t="s">
        <v>1817</v>
      </c>
    </row>
    <row r="534" spans="1:34" s="4" customFormat="1">
      <c r="A534" s="4" t="s">
        <v>32</v>
      </c>
      <c r="B534" s="4" t="s">
        <v>3018</v>
      </c>
      <c r="C534" s="4" t="s">
        <v>3019</v>
      </c>
      <c r="D534" s="4" t="s">
        <v>1881</v>
      </c>
      <c r="E534" s="4" t="s">
        <v>36</v>
      </c>
      <c r="F534" s="4" t="s">
        <v>37</v>
      </c>
      <c r="G534" s="4" t="s">
        <v>470</v>
      </c>
      <c r="H534" s="4" t="s">
        <v>3001</v>
      </c>
      <c r="I534" s="4" t="s">
        <v>3017</v>
      </c>
      <c r="J534" s="4" t="s">
        <v>1883</v>
      </c>
      <c r="K534" s="4" t="s">
        <v>1884</v>
      </c>
      <c r="L534" s="4" t="s">
        <v>41</v>
      </c>
      <c r="M534" s="4" t="s">
        <v>1816</v>
      </c>
      <c r="N534" s="10">
        <f t="shared" si="25"/>
        <v>84033.999999999985</v>
      </c>
      <c r="O534" s="15">
        <f t="shared" si="26"/>
        <v>2.1827872842550278E-11</v>
      </c>
      <c r="P534" s="10">
        <v>15966.46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100000.46</v>
      </c>
      <c r="AG534" s="4" t="s">
        <v>45</v>
      </c>
      <c r="AH534" s="4" t="s">
        <v>1817</v>
      </c>
    </row>
    <row r="535" spans="1:34" s="4" customFormat="1">
      <c r="A535" s="4" t="s">
        <v>32</v>
      </c>
      <c r="B535" s="4" t="s">
        <v>3033</v>
      </c>
      <c r="C535" s="4" t="s">
        <v>3034</v>
      </c>
      <c r="D535" s="4" t="s">
        <v>1881</v>
      </c>
      <c r="E535" s="4" t="s">
        <v>36</v>
      </c>
      <c r="F535" s="4" t="s">
        <v>37</v>
      </c>
      <c r="G535" s="4" t="s">
        <v>470</v>
      </c>
      <c r="H535" s="4" t="s">
        <v>1388</v>
      </c>
      <c r="I535" s="4" t="s">
        <v>3035</v>
      </c>
      <c r="J535" s="4" t="s">
        <v>1883</v>
      </c>
      <c r="K535" s="4" t="s">
        <v>1884</v>
      </c>
      <c r="L535" s="4" t="s">
        <v>41</v>
      </c>
      <c r="M535" s="4" t="s">
        <v>1816</v>
      </c>
      <c r="N535" s="10">
        <f t="shared" si="25"/>
        <v>84033.999999999985</v>
      </c>
      <c r="O535" s="15">
        <f t="shared" si="26"/>
        <v>2.1827872842550278E-11</v>
      </c>
      <c r="P535" s="10">
        <v>15966.46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100000.46</v>
      </c>
      <c r="AG535" s="4" t="s">
        <v>45</v>
      </c>
      <c r="AH535" s="4" t="s">
        <v>1817</v>
      </c>
    </row>
    <row r="536" spans="1:34" s="4" customFormat="1">
      <c r="A536" s="4" t="s">
        <v>32</v>
      </c>
      <c r="B536" s="4" t="s">
        <v>3036</v>
      </c>
      <c r="C536" s="4" t="s">
        <v>3037</v>
      </c>
      <c r="D536" s="4" t="s">
        <v>1890</v>
      </c>
      <c r="E536" s="4" t="s">
        <v>36</v>
      </c>
      <c r="F536" s="4" t="s">
        <v>37</v>
      </c>
      <c r="G536" s="4" t="s">
        <v>470</v>
      </c>
      <c r="H536" s="4" t="s">
        <v>1388</v>
      </c>
      <c r="I536" s="4" t="s">
        <v>3038</v>
      </c>
      <c r="J536" s="4" t="s">
        <v>1883</v>
      </c>
      <c r="K536" s="4" t="s">
        <v>1884</v>
      </c>
      <c r="L536" s="4" t="s">
        <v>41</v>
      </c>
      <c r="M536" s="4" t="s">
        <v>1816</v>
      </c>
      <c r="N536" s="10">
        <f t="shared" si="25"/>
        <v>84033.999999999985</v>
      </c>
      <c r="O536" s="15">
        <f t="shared" si="26"/>
        <v>2.1827872842550278E-11</v>
      </c>
      <c r="P536" s="10">
        <v>15966.46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100000.46</v>
      </c>
      <c r="AG536" s="4" t="s">
        <v>45</v>
      </c>
      <c r="AH536" s="4" t="s">
        <v>1817</v>
      </c>
    </row>
    <row r="537" spans="1:34" s="4" customFormat="1">
      <c r="A537" s="4" t="s">
        <v>32</v>
      </c>
      <c r="B537" s="4" t="s">
        <v>3039</v>
      </c>
      <c r="C537" s="4" t="s">
        <v>3040</v>
      </c>
      <c r="D537" s="4" t="s">
        <v>1881</v>
      </c>
      <c r="E537" s="4" t="s">
        <v>36</v>
      </c>
      <c r="F537" s="4" t="s">
        <v>37</v>
      </c>
      <c r="G537" s="4" t="s">
        <v>470</v>
      </c>
      <c r="H537" s="4" t="s">
        <v>1388</v>
      </c>
      <c r="I537" s="4" t="s">
        <v>3041</v>
      </c>
      <c r="J537" s="4" t="s">
        <v>1883</v>
      </c>
      <c r="K537" s="4" t="s">
        <v>1884</v>
      </c>
      <c r="L537" s="4" t="s">
        <v>41</v>
      </c>
      <c r="M537" s="4" t="s">
        <v>1816</v>
      </c>
      <c r="N537" s="10">
        <f t="shared" si="25"/>
        <v>84033.999999999985</v>
      </c>
      <c r="O537" s="15">
        <f t="shared" si="26"/>
        <v>2.1827872842550278E-11</v>
      </c>
      <c r="P537" s="10">
        <v>15966.46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100000.46</v>
      </c>
      <c r="AG537" s="4" t="s">
        <v>45</v>
      </c>
      <c r="AH537" s="4" t="s">
        <v>1817</v>
      </c>
    </row>
    <row r="538" spans="1:34" s="4" customFormat="1">
      <c r="A538" s="4" t="s">
        <v>32</v>
      </c>
      <c r="B538" s="4" t="s">
        <v>3324</v>
      </c>
      <c r="C538" s="4" t="s">
        <v>3325</v>
      </c>
      <c r="D538" s="4" t="s">
        <v>1890</v>
      </c>
      <c r="E538" s="4" t="s">
        <v>36</v>
      </c>
      <c r="H538" s="4" t="s">
        <v>1620</v>
      </c>
      <c r="I538" s="4" t="s">
        <v>3326</v>
      </c>
      <c r="J538" s="4" t="s">
        <v>1883</v>
      </c>
      <c r="K538" s="4" t="s">
        <v>1884</v>
      </c>
      <c r="L538" s="4" t="s">
        <v>41</v>
      </c>
      <c r="M538" s="4" t="s">
        <v>1816</v>
      </c>
      <c r="N538" s="10">
        <f t="shared" si="25"/>
        <v>84033.999999999985</v>
      </c>
      <c r="O538" s="15">
        <f t="shared" si="26"/>
        <v>2.1827872842550278E-11</v>
      </c>
      <c r="P538" s="10">
        <v>15966.46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100000.46</v>
      </c>
      <c r="AG538" s="4" t="s">
        <v>45</v>
      </c>
      <c r="AH538" s="4" t="s">
        <v>1817</v>
      </c>
    </row>
    <row r="539" spans="1:34" s="4" customFormat="1">
      <c r="A539" s="4" t="s">
        <v>32</v>
      </c>
      <c r="B539" s="4" t="s">
        <v>2488</v>
      </c>
      <c r="C539" s="4" t="s">
        <v>2489</v>
      </c>
      <c r="D539" s="4" t="s">
        <v>1881</v>
      </c>
      <c r="E539" s="4" t="s">
        <v>36</v>
      </c>
      <c r="F539" s="4" t="s">
        <v>37</v>
      </c>
      <c r="G539" s="4" t="s">
        <v>470</v>
      </c>
      <c r="H539" s="4" t="s">
        <v>328</v>
      </c>
      <c r="I539" s="4" t="s">
        <v>2490</v>
      </c>
      <c r="J539" s="4" t="s">
        <v>1883</v>
      </c>
      <c r="K539" s="4" t="s">
        <v>1884</v>
      </c>
      <c r="L539" s="4" t="s">
        <v>41</v>
      </c>
      <c r="M539" s="4" t="s">
        <v>1816</v>
      </c>
      <c r="N539" s="10">
        <f t="shared" si="25"/>
        <v>90000</v>
      </c>
      <c r="O539" s="15">
        <f t="shared" si="26"/>
        <v>0</v>
      </c>
      <c r="P539" s="10">
        <v>17100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107100</v>
      </c>
      <c r="AG539" s="4" t="s">
        <v>45</v>
      </c>
      <c r="AH539" s="4" t="s">
        <v>1817</v>
      </c>
    </row>
    <row r="540" spans="1:34" s="4" customFormat="1">
      <c r="A540" s="4" t="s">
        <v>32</v>
      </c>
      <c r="B540" s="4" t="s">
        <v>2491</v>
      </c>
      <c r="C540" s="4" t="s">
        <v>2492</v>
      </c>
      <c r="D540" s="4" t="s">
        <v>1890</v>
      </c>
      <c r="E540" s="4" t="s">
        <v>36</v>
      </c>
      <c r="F540" s="4" t="s">
        <v>37</v>
      </c>
      <c r="G540" s="4" t="s">
        <v>470</v>
      </c>
      <c r="H540" s="4" t="s">
        <v>759</v>
      </c>
      <c r="I540" s="4" t="s">
        <v>2493</v>
      </c>
      <c r="J540" s="4" t="s">
        <v>1883</v>
      </c>
      <c r="K540" s="4" t="s">
        <v>1884</v>
      </c>
      <c r="L540" s="4" t="s">
        <v>41</v>
      </c>
      <c r="M540" s="4" t="s">
        <v>1816</v>
      </c>
      <c r="N540" s="10">
        <f t="shared" si="25"/>
        <v>90000</v>
      </c>
      <c r="O540" s="15">
        <f t="shared" si="26"/>
        <v>0</v>
      </c>
      <c r="P540" s="10">
        <v>17100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107100</v>
      </c>
      <c r="AG540" s="4" t="s">
        <v>45</v>
      </c>
      <c r="AH540" s="4" t="s">
        <v>1817</v>
      </c>
    </row>
    <row r="541" spans="1:34" s="4" customFormat="1">
      <c r="A541" s="4" t="s">
        <v>32</v>
      </c>
      <c r="B541" s="4" t="s">
        <v>2528</v>
      </c>
      <c r="C541" s="4" t="s">
        <v>2529</v>
      </c>
      <c r="D541" s="4" t="s">
        <v>1881</v>
      </c>
      <c r="E541" s="4" t="s">
        <v>36</v>
      </c>
      <c r="F541" s="4" t="s">
        <v>37</v>
      </c>
      <c r="G541" s="4" t="s">
        <v>470</v>
      </c>
      <c r="H541" s="4" t="s">
        <v>444</v>
      </c>
      <c r="I541" s="4" t="s">
        <v>2530</v>
      </c>
      <c r="J541" s="4" t="s">
        <v>1883</v>
      </c>
      <c r="K541" s="4" t="s">
        <v>1884</v>
      </c>
      <c r="L541" s="4" t="s">
        <v>41</v>
      </c>
      <c r="M541" s="4" t="s">
        <v>1816</v>
      </c>
      <c r="N541" s="10">
        <f t="shared" si="25"/>
        <v>90000</v>
      </c>
      <c r="O541" s="15">
        <f t="shared" si="26"/>
        <v>0</v>
      </c>
      <c r="P541" s="10">
        <v>17100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107100</v>
      </c>
      <c r="AG541" s="4" t="s">
        <v>45</v>
      </c>
      <c r="AH541" s="4" t="s">
        <v>1817</v>
      </c>
    </row>
    <row r="542" spans="1:34" s="4" customFormat="1">
      <c r="A542" s="4" t="s">
        <v>32</v>
      </c>
      <c r="B542" s="4" t="s">
        <v>2531</v>
      </c>
      <c r="C542" s="4" t="s">
        <v>2532</v>
      </c>
      <c r="D542" s="4" t="s">
        <v>1890</v>
      </c>
      <c r="E542" s="4" t="s">
        <v>36</v>
      </c>
      <c r="F542" s="4" t="s">
        <v>37</v>
      </c>
      <c r="G542" s="4" t="s">
        <v>470</v>
      </c>
      <c r="H542" s="4" t="s">
        <v>444</v>
      </c>
      <c r="I542" s="4" t="s">
        <v>2533</v>
      </c>
      <c r="J542" s="4" t="s">
        <v>1883</v>
      </c>
      <c r="K542" s="4" t="s">
        <v>1884</v>
      </c>
      <c r="L542" s="4" t="s">
        <v>41</v>
      </c>
      <c r="M542" s="4" t="s">
        <v>1816</v>
      </c>
      <c r="N542" s="10">
        <f t="shared" si="25"/>
        <v>90000</v>
      </c>
      <c r="O542" s="15">
        <f t="shared" si="26"/>
        <v>0</v>
      </c>
      <c r="P542" s="10">
        <v>17100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107100</v>
      </c>
      <c r="AG542" s="4" t="s">
        <v>45</v>
      </c>
      <c r="AH542" s="4" t="s">
        <v>1817</v>
      </c>
    </row>
    <row r="543" spans="1:34" s="4" customFormat="1">
      <c r="A543" s="4" t="s">
        <v>32</v>
      </c>
      <c r="B543" s="4" t="s">
        <v>2576</v>
      </c>
      <c r="C543" s="4" t="s">
        <v>2577</v>
      </c>
      <c r="D543" s="4" t="s">
        <v>1890</v>
      </c>
      <c r="E543" s="4" t="s">
        <v>36</v>
      </c>
      <c r="F543" s="4" t="s">
        <v>37</v>
      </c>
      <c r="G543" s="4" t="s">
        <v>470</v>
      </c>
      <c r="H543" s="4" t="s">
        <v>854</v>
      </c>
      <c r="I543" s="4" t="s">
        <v>2578</v>
      </c>
      <c r="J543" s="4" t="s">
        <v>1883</v>
      </c>
      <c r="K543" s="4" t="s">
        <v>1884</v>
      </c>
      <c r="L543" s="4" t="s">
        <v>41</v>
      </c>
      <c r="M543" s="4" t="s">
        <v>1816</v>
      </c>
      <c r="N543" s="10">
        <f t="shared" si="25"/>
        <v>90000</v>
      </c>
      <c r="O543" s="15">
        <f t="shared" si="26"/>
        <v>0</v>
      </c>
      <c r="P543" s="10">
        <v>17100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107100</v>
      </c>
      <c r="AG543" s="4" t="s">
        <v>45</v>
      </c>
      <c r="AH543" s="4" t="s">
        <v>1817</v>
      </c>
    </row>
    <row r="544" spans="1:34" s="4" customFormat="1">
      <c r="A544" s="4" t="s">
        <v>32</v>
      </c>
      <c r="B544" s="4" t="s">
        <v>2579</v>
      </c>
      <c r="C544" s="4" t="s">
        <v>2580</v>
      </c>
      <c r="D544" s="4" t="s">
        <v>1881</v>
      </c>
      <c r="E544" s="4" t="s">
        <v>36</v>
      </c>
      <c r="F544" s="4" t="s">
        <v>37</v>
      </c>
      <c r="G544" s="4" t="s">
        <v>470</v>
      </c>
      <c r="H544" s="4" t="s">
        <v>854</v>
      </c>
      <c r="I544" s="4" t="s">
        <v>2581</v>
      </c>
      <c r="J544" s="4" t="s">
        <v>1883</v>
      </c>
      <c r="K544" s="4" t="s">
        <v>1884</v>
      </c>
      <c r="L544" s="4" t="s">
        <v>41</v>
      </c>
      <c r="M544" s="4" t="s">
        <v>1816</v>
      </c>
      <c r="N544" s="10">
        <f t="shared" si="25"/>
        <v>90000</v>
      </c>
      <c r="O544" s="15">
        <f t="shared" si="26"/>
        <v>0</v>
      </c>
      <c r="P544" s="10">
        <v>17100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107100</v>
      </c>
      <c r="AG544" s="4" t="s">
        <v>45</v>
      </c>
      <c r="AH544" s="4" t="s">
        <v>1817</v>
      </c>
    </row>
    <row r="545" spans="1:34" s="4" customFormat="1">
      <c r="A545" s="4" t="s">
        <v>32</v>
      </c>
      <c r="B545" s="4" t="s">
        <v>2999</v>
      </c>
      <c r="C545" s="4" t="s">
        <v>3000</v>
      </c>
      <c r="D545" s="4" t="s">
        <v>1890</v>
      </c>
      <c r="E545" s="4" t="s">
        <v>36</v>
      </c>
      <c r="F545" s="4" t="s">
        <v>37</v>
      </c>
      <c r="G545" s="4" t="s">
        <v>470</v>
      </c>
      <c r="H545" s="4" t="s">
        <v>3001</v>
      </c>
      <c r="I545" s="4" t="s">
        <v>3002</v>
      </c>
      <c r="J545" s="4" t="s">
        <v>1883</v>
      </c>
      <c r="K545" s="4" t="s">
        <v>1884</v>
      </c>
      <c r="L545" s="4" t="s">
        <v>41</v>
      </c>
      <c r="M545" s="4" t="s">
        <v>1816</v>
      </c>
      <c r="N545" s="10">
        <f t="shared" si="25"/>
        <v>95131</v>
      </c>
      <c r="O545" s="15">
        <f t="shared" si="26"/>
        <v>0</v>
      </c>
      <c r="P545" s="10">
        <v>18074.89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113205.89</v>
      </c>
      <c r="AG545" s="4" t="s">
        <v>45</v>
      </c>
      <c r="AH545" s="4" t="s">
        <v>1817</v>
      </c>
    </row>
    <row r="546" spans="1:34" s="4" customFormat="1">
      <c r="A546" s="4" t="s">
        <v>194</v>
      </c>
      <c r="B546" s="4" t="s">
        <v>2079</v>
      </c>
      <c r="C546" s="4" t="s">
        <v>2080</v>
      </c>
      <c r="H546" s="4" t="s">
        <v>2081</v>
      </c>
      <c r="I546" s="4" t="s">
        <v>2082</v>
      </c>
      <c r="J546" s="4" t="s">
        <v>372</v>
      </c>
      <c r="K546" s="4" t="s">
        <v>373</v>
      </c>
      <c r="L546" s="4" t="s">
        <v>41</v>
      </c>
      <c r="M546" s="4" t="s">
        <v>42</v>
      </c>
      <c r="N546" s="10">
        <f t="shared" si="25"/>
        <v>0</v>
      </c>
      <c r="O546" s="15">
        <f t="shared" si="26"/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  <c r="AG546" s="4" t="s">
        <v>55</v>
      </c>
      <c r="AH546" s="4" t="s">
        <v>1817</v>
      </c>
    </row>
    <row r="547" spans="1:34" s="4" customFormat="1">
      <c r="A547" s="4" t="s">
        <v>194</v>
      </c>
      <c r="B547" s="4" t="s">
        <v>2083</v>
      </c>
      <c r="C547" s="4" t="s">
        <v>2084</v>
      </c>
      <c r="H547" s="4" t="s">
        <v>2081</v>
      </c>
      <c r="I547" s="4" t="s">
        <v>2085</v>
      </c>
      <c r="J547" s="4" t="s">
        <v>372</v>
      </c>
      <c r="K547" s="4" t="s">
        <v>373</v>
      </c>
      <c r="L547" s="4" t="s">
        <v>41</v>
      </c>
      <c r="M547" s="4" t="s">
        <v>42</v>
      </c>
      <c r="N547" s="10">
        <f t="shared" si="25"/>
        <v>0</v>
      </c>
      <c r="O547" s="15">
        <f t="shared" si="26"/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  <c r="AG547" s="4" t="s">
        <v>45</v>
      </c>
      <c r="AH547" s="4" t="s">
        <v>1817</v>
      </c>
    </row>
    <row r="548" spans="1:34" s="4" customFormat="1">
      <c r="A548" s="4" t="s">
        <v>194</v>
      </c>
      <c r="B548" s="4" t="s">
        <v>2086</v>
      </c>
      <c r="C548" s="4" t="s">
        <v>2087</v>
      </c>
      <c r="H548" s="4" t="s">
        <v>2081</v>
      </c>
      <c r="I548" s="4" t="s">
        <v>2088</v>
      </c>
      <c r="J548" s="4" t="s">
        <v>372</v>
      </c>
      <c r="K548" s="4" t="s">
        <v>373</v>
      </c>
      <c r="L548" s="4" t="s">
        <v>41</v>
      </c>
      <c r="M548" s="4" t="s">
        <v>42</v>
      </c>
      <c r="N548" s="10">
        <f t="shared" si="25"/>
        <v>0</v>
      </c>
      <c r="O548" s="15">
        <f t="shared" si="26"/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4" t="s">
        <v>45</v>
      </c>
      <c r="AH548" s="4" t="s">
        <v>1817</v>
      </c>
    </row>
    <row r="549" spans="1:34" s="4" customFormat="1">
      <c r="A549" s="4" t="s">
        <v>194</v>
      </c>
      <c r="B549" s="4" t="s">
        <v>2089</v>
      </c>
      <c r="C549" s="4" t="s">
        <v>2090</v>
      </c>
      <c r="H549" s="4" t="s">
        <v>2081</v>
      </c>
      <c r="I549" s="4" t="s">
        <v>2091</v>
      </c>
      <c r="J549" s="4" t="s">
        <v>372</v>
      </c>
      <c r="K549" s="4" t="s">
        <v>373</v>
      </c>
      <c r="L549" s="4" t="s">
        <v>41</v>
      </c>
      <c r="M549" s="4" t="s">
        <v>42</v>
      </c>
      <c r="N549" s="10">
        <f t="shared" si="25"/>
        <v>0</v>
      </c>
      <c r="O549" s="15">
        <f t="shared" si="26"/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  <c r="AG549" s="4" t="s">
        <v>55</v>
      </c>
      <c r="AH549" s="4" t="s">
        <v>1817</v>
      </c>
    </row>
    <row r="550" spans="1:34" s="4" customFormat="1">
      <c r="A550" s="4" t="s">
        <v>194</v>
      </c>
      <c r="B550" s="4" t="s">
        <v>2092</v>
      </c>
      <c r="C550" s="4" t="s">
        <v>2093</v>
      </c>
      <c r="H550" s="4" t="s">
        <v>2081</v>
      </c>
      <c r="I550" s="4" t="s">
        <v>2094</v>
      </c>
      <c r="J550" s="4" t="s">
        <v>372</v>
      </c>
      <c r="K550" s="4" t="s">
        <v>373</v>
      </c>
      <c r="L550" s="4" t="s">
        <v>41</v>
      </c>
      <c r="M550" s="4" t="s">
        <v>42</v>
      </c>
      <c r="N550" s="10">
        <f t="shared" si="25"/>
        <v>0</v>
      </c>
      <c r="O550" s="15">
        <f t="shared" si="26"/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4" t="s">
        <v>45</v>
      </c>
      <c r="AH550" s="4" t="s">
        <v>1817</v>
      </c>
    </row>
    <row r="551" spans="1:34" s="4" customFormat="1">
      <c r="A551" s="4" t="s">
        <v>194</v>
      </c>
      <c r="B551" s="4" t="s">
        <v>2095</v>
      </c>
      <c r="C551" s="4" t="s">
        <v>2096</v>
      </c>
      <c r="H551" s="4" t="s">
        <v>2081</v>
      </c>
      <c r="I551" s="4" t="s">
        <v>2097</v>
      </c>
      <c r="J551" s="4" t="s">
        <v>372</v>
      </c>
      <c r="K551" s="4" t="s">
        <v>373</v>
      </c>
      <c r="L551" s="4" t="s">
        <v>41</v>
      </c>
      <c r="M551" s="4" t="s">
        <v>42</v>
      </c>
      <c r="N551" s="10">
        <f t="shared" si="25"/>
        <v>0</v>
      </c>
      <c r="O551" s="15">
        <f t="shared" si="26"/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4" t="s">
        <v>45</v>
      </c>
      <c r="AH551" s="4" t="s">
        <v>1817</v>
      </c>
    </row>
    <row r="552" spans="1:34" s="4" customFormat="1">
      <c r="A552" s="4" t="s">
        <v>32</v>
      </c>
      <c r="B552" s="4" t="s">
        <v>1864</v>
      </c>
      <c r="C552" s="4" t="s">
        <v>1865</v>
      </c>
      <c r="D552" s="4" t="s">
        <v>1866</v>
      </c>
      <c r="E552" s="4" t="s">
        <v>36</v>
      </c>
      <c r="F552" s="4" t="s">
        <v>470</v>
      </c>
      <c r="G552" s="4" t="s">
        <v>38</v>
      </c>
      <c r="H552" s="4" t="s">
        <v>39</v>
      </c>
      <c r="I552" s="4" t="s">
        <v>1867</v>
      </c>
      <c r="J552" s="4" t="s">
        <v>1868</v>
      </c>
      <c r="K552" s="4" t="s">
        <v>1869</v>
      </c>
      <c r="L552" s="4" t="s">
        <v>41</v>
      </c>
      <c r="M552" s="4" t="s">
        <v>1816</v>
      </c>
      <c r="N552" s="10">
        <f t="shared" si="25"/>
        <v>0</v>
      </c>
      <c r="O552" s="15">
        <f t="shared" si="26"/>
        <v>287500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287500</v>
      </c>
      <c r="AG552" s="4" t="s">
        <v>45</v>
      </c>
      <c r="AH552" s="4" t="s">
        <v>1817</v>
      </c>
    </row>
    <row r="553" spans="1:34" s="4" customFormat="1">
      <c r="A553" s="4" t="s">
        <v>422</v>
      </c>
      <c r="B553" s="4" t="s">
        <v>1892</v>
      </c>
      <c r="C553" s="4" t="s">
        <v>1893</v>
      </c>
      <c r="E553" s="4" t="s">
        <v>36</v>
      </c>
      <c r="F553" s="4" t="s">
        <v>470</v>
      </c>
      <c r="G553" s="4" t="s">
        <v>38</v>
      </c>
      <c r="H553" s="4" t="s">
        <v>145</v>
      </c>
      <c r="I553" s="4" t="s">
        <v>1894</v>
      </c>
      <c r="J553" s="4" t="s">
        <v>1868</v>
      </c>
      <c r="K553" s="4" t="s">
        <v>1869</v>
      </c>
      <c r="L553" s="4" t="s">
        <v>41</v>
      </c>
      <c r="M553" s="4" t="s">
        <v>1816</v>
      </c>
      <c r="N553" s="10">
        <f t="shared" si="25"/>
        <v>0</v>
      </c>
      <c r="O553" s="15">
        <f t="shared" si="26"/>
        <v>828270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828270</v>
      </c>
      <c r="AG553" s="4" t="s">
        <v>45</v>
      </c>
      <c r="AH553" s="4" t="s">
        <v>1817</v>
      </c>
    </row>
    <row r="554" spans="1:34" s="4" customFormat="1">
      <c r="A554" s="4" t="s">
        <v>32</v>
      </c>
      <c r="B554" s="4" t="s">
        <v>1895</v>
      </c>
      <c r="C554" s="4" t="s">
        <v>1896</v>
      </c>
      <c r="D554" s="4" t="s">
        <v>1897</v>
      </c>
      <c r="E554" s="4" t="s">
        <v>36</v>
      </c>
      <c r="F554" s="4" t="s">
        <v>470</v>
      </c>
      <c r="G554" s="4" t="s">
        <v>38</v>
      </c>
      <c r="H554" s="4" t="s">
        <v>190</v>
      </c>
      <c r="I554" s="4" t="s">
        <v>1898</v>
      </c>
      <c r="J554" s="4" t="s">
        <v>1868</v>
      </c>
      <c r="K554" s="4" t="s">
        <v>1869</v>
      </c>
      <c r="L554" s="4" t="s">
        <v>41</v>
      </c>
      <c r="M554" s="4" t="s">
        <v>1816</v>
      </c>
      <c r="N554" s="10">
        <f t="shared" si="25"/>
        <v>3549842.1052631582</v>
      </c>
      <c r="O554" s="15">
        <f t="shared" si="26"/>
        <v>591506.89473684179</v>
      </c>
      <c r="P554" s="10">
        <v>674470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4815819</v>
      </c>
      <c r="AG554" s="4" t="s">
        <v>45</v>
      </c>
      <c r="AH554" s="4" t="s">
        <v>1817</v>
      </c>
    </row>
    <row r="555" spans="1:34" s="4" customFormat="1">
      <c r="A555" s="4" t="s">
        <v>32</v>
      </c>
      <c r="B555" s="4" t="s">
        <v>2871</v>
      </c>
      <c r="C555" s="4" t="s">
        <v>2872</v>
      </c>
      <c r="D555" s="4" t="s">
        <v>1554</v>
      </c>
      <c r="E555" s="4" t="s">
        <v>36</v>
      </c>
      <c r="F555" s="4" t="s">
        <v>470</v>
      </c>
      <c r="G555" s="4" t="s">
        <v>1987</v>
      </c>
      <c r="H555" s="4" t="s">
        <v>2321</v>
      </c>
      <c r="I555" s="4" t="s">
        <v>2873</v>
      </c>
      <c r="J555" s="4" t="s">
        <v>2874</v>
      </c>
      <c r="K555" s="4" t="s">
        <v>2875</v>
      </c>
      <c r="L555" s="4" t="s">
        <v>41</v>
      </c>
      <c r="M555" s="4" t="s">
        <v>2876</v>
      </c>
      <c r="N555" s="10">
        <f t="shared" si="25"/>
        <v>31848.736842105263</v>
      </c>
      <c r="O555" s="15">
        <f t="shared" si="26"/>
        <v>3.157894736432354E-3</v>
      </c>
      <c r="P555" s="10">
        <v>6051.26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37900</v>
      </c>
      <c r="AG555" s="4" t="s">
        <v>45</v>
      </c>
      <c r="AH555" s="4" t="s">
        <v>1817</v>
      </c>
    </row>
    <row r="556" spans="1:34" s="4" customFormat="1">
      <c r="A556" s="4" t="s">
        <v>32</v>
      </c>
      <c r="B556" s="4" t="s">
        <v>2367</v>
      </c>
      <c r="C556" s="4" t="s">
        <v>981</v>
      </c>
      <c r="D556" s="4" t="s">
        <v>2368</v>
      </c>
      <c r="E556" s="4" t="s">
        <v>36</v>
      </c>
      <c r="F556" s="4" t="s">
        <v>470</v>
      </c>
      <c r="G556" s="4" t="s">
        <v>1987</v>
      </c>
      <c r="H556" s="4" t="s">
        <v>2369</v>
      </c>
      <c r="I556" s="4" t="s">
        <v>2370</v>
      </c>
      <c r="J556" s="4" t="s">
        <v>2371</v>
      </c>
      <c r="K556" s="4" t="s">
        <v>2372</v>
      </c>
      <c r="L556" s="4" t="s">
        <v>41</v>
      </c>
      <c r="M556" s="4" t="s">
        <v>42</v>
      </c>
      <c r="N556" s="10">
        <f t="shared" si="25"/>
        <v>18736.84210526316</v>
      </c>
      <c r="O556" s="15">
        <f t="shared" si="26"/>
        <v>3.1578947368398076</v>
      </c>
      <c r="P556" s="10">
        <v>3560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22300</v>
      </c>
      <c r="AG556" s="4" t="s">
        <v>45</v>
      </c>
      <c r="AH556" s="4" t="s">
        <v>1817</v>
      </c>
    </row>
    <row r="557" spans="1:34" s="4" customFormat="1">
      <c r="A557" s="4" t="s">
        <v>32</v>
      </c>
      <c r="B557" s="4" t="s">
        <v>2434</v>
      </c>
      <c r="C557" s="4" t="s">
        <v>2435</v>
      </c>
      <c r="D557" s="4" t="s">
        <v>2436</v>
      </c>
      <c r="E557" s="4" t="s">
        <v>36</v>
      </c>
      <c r="F557" s="4" t="s">
        <v>470</v>
      </c>
      <c r="G557" s="4" t="s">
        <v>38</v>
      </c>
      <c r="H557" s="4" t="s">
        <v>2437</v>
      </c>
      <c r="I557" s="4" t="s">
        <v>2438</v>
      </c>
      <c r="J557" s="4" t="s">
        <v>2371</v>
      </c>
      <c r="K557" s="4" t="s">
        <v>2372</v>
      </c>
      <c r="L557" s="4" t="s">
        <v>41</v>
      </c>
      <c r="M557" s="4" t="s">
        <v>1816</v>
      </c>
      <c r="N557" s="10">
        <f t="shared" si="25"/>
        <v>25210.526315789473</v>
      </c>
      <c r="O557" s="15">
        <f t="shared" si="26"/>
        <v>-0.52631578947330127</v>
      </c>
      <c r="P557" s="10">
        <v>4790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30000</v>
      </c>
      <c r="AG557" s="4" t="s">
        <v>45</v>
      </c>
      <c r="AH557" s="4" t="s">
        <v>1817</v>
      </c>
    </row>
    <row r="558" spans="1:34" s="4" customFormat="1">
      <c r="A558" s="4" t="s">
        <v>32</v>
      </c>
      <c r="B558" s="4" t="s">
        <v>2439</v>
      </c>
      <c r="C558" s="4" t="s">
        <v>2440</v>
      </c>
      <c r="D558" s="4" t="s">
        <v>2441</v>
      </c>
      <c r="E558" s="4" t="s">
        <v>36</v>
      </c>
      <c r="F558" s="4" t="s">
        <v>470</v>
      </c>
      <c r="G558" s="4" t="s">
        <v>38</v>
      </c>
      <c r="H558" s="4" t="s">
        <v>2437</v>
      </c>
      <c r="I558" s="4" t="s">
        <v>2442</v>
      </c>
      <c r="J558" s="4" t="s">
        <v>2371</v>
      </c>
      <c r="K558" s="4" t="s">
        <v>2372</v>
      </c>
      <c r="L558" s="4" t="s">
        <v>41</v>
      </c>
      <c r="M558" s="4" t="s">
        <v>1816</v>
      </c>
      <c r="N558" s="10">
        <f t="shared" si="25"/>
        <v>28531.578947368424</v>
      </c>
      <c r="O558" s="15">
        <f t="shared" si="26"/>
        <v>-2.5789473684235418</v>
      </c>
      <c r="P558" s="10">
        <v>5421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33950</v>
      </c>
      <c r="AG558" s="4" t="s">
        <v>45</v>
      </c>
      <c r="AH558" s="4" t="s">
        <v>1817</v>
      </c>
    </row>
    <row r="559" spans="1:34" s="4" customFormat="1">
      <c r="A559" s="4" t="s">
        <v>32</v>
      </c>
      <c r="B559" s="4" t="s">
        <v>2904</v>
      </c>
      <c r="C559" s="4" t="s">
        <v>2905</v>
      </c>
      <c r="D559" s="4" t="s">
        <v>2906</v>
      </c>
      <c r="E559" s="4" t="s">
        <v>36</v>
      </c>
      <c r="F559" s="4" t="s">
        <v>470</v>
      </c>
      <c r="G559" s="4" t="s">
        <v>157</v>
      </c>
      <c r="H559" s="4" t="s">
        <v>1091</v>
      </c>
      <c r="I559" s="4" t="s">
        <v>2907</v>
      </c>
      <c r="J559" s="4" t="s">
        <v>2371</v>
      </c>
      <c r="K559" s="4" t="s">
        <v>2372</v>
      </c>
      <c r="L559" s="4" t="s">
        <v>41</v>
      </c>
      <c r="M559" s="4" t="s">
        <v>2743</v>
      </c>
      <c r="N559" s="10">
        <f t="shared" si="25"/>
        <v>5546.2105263157891</v>
      </c>
      <c r="O559" s="15">
        <f t="shared" si="26"/>
        <v>9.4736842108886776E-3</v>
      </c>
      <c r="P559" s="10">
        <v>1053.78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6600</v>
      </c>
      <c r="AG559" s="4" t="s">
        <v>45</v>
      </c>
      <c r="AH559" s="4" t="s">
        <v>1817</v>
      </c>
    </row>
    <row r="560" spans="1:34" s="4" customFormat="1">
      <c r="A560" s="4" t="s">
        <v>32</v>
      </c>
      <c r="B560" s="4" t="s">
        <v>2699</v>
      </c>
      <c r="C560" s="4" t="s">
        <v>2700</v>
      </c>
      <c r="D560" s="4" t="s">
        <v>2368</v>
      </c>
      <c r="E560" s="4" t="s">
        <v>36</v>
      </c>
      <c r="F560" s="4" t="s">
        <v>470</v>
      </c>
      <c r="G560" s="4" t="s">
        <v>157</v>
      </c>
      <c r="H560" s="4" t="s">
        <v>2235</v>
      </c>
      <c r="I560" s="4" t="s">
        <v>2701</v>
      </c>
      <c r="J560" s="4" t="s">
        <v>2371</v>
      </c>
      <c r="K560" s="4" t="s">
        <v>2372</v>
      </c>
      <c r="L560" s="4" t="s">
        <v>41</v>
      </c>
      <c r="M560" s="4" t="s">
        <v>1816</v>
      </c>
      <c r="N560" s="10">
        <f t="shared" si="25"/>
        <v>10336.842105263158</v>
      </c>
      <c r="O560" s="15">
        <f t="shared" si="26"/>
        <v>-0.84210526315837342</v>
      </c>
      <c r="P560" s="10">
        <v>1964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12300</v>
      </c>
      <c r="AG560" s="4" t="s">
        <v>45</v>
      </c>
      <c r="AH560" s="4" t="s">
        <v>1817</v>
      </c>
    </row>
    <row r="561" spans="1:34" s="4" customFormat="1">
      <c r="A561" s="4" t="s">
        <v>32</v>
      </c>
      <c r="B561" s="4" t="s">
        <v>3264</v>
      </c>
      <c r="C561" s="4" t="s">
        <v>3265</v>
      </c>
      <c r="D561" s="4" t="s">
        <v>2740</v>
      </c>
      <c r="E561" s="4" t="s">
        <v>36</v>
      </c>
      <c r="H561" s="4" t="s">
        <v>3266</v>
      </c>
      <c r="I561" s="4" t="s">
        <v>3267</v>
      </c>
      <c r="J561" s="4" t="s">
        <v>2371</v>
      </c>
      <c r="K561" s="4" t="s">
        <v>2372</v>
      </c>
      <c r="L561" s="4" t="s">
        <v>41</v>
      </c>
      <c r="M561" s="4" t="s">
        <v>2743</v>
      </c>
      <c r="N561" s="10">
        <f t="shared" si="25"/>
        <v>0</v>
      </c>
      <c r="O561" s="15">
        <f t="shared" si="26"/>
        <v>21400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21400</v>
      </c>
      <c r="AG561" s="4" t="s">
        <v>45</v>
      </c>
      <c r="AH561" s="4" t="s">
        <v>1817</v>
      </c>
    </row>
    <row r="562" spans="1:34" s="4" customFormat="1">
      <c r="A562" s="4" t="s">
        <v>32</v>
      </c>
      <c r="B562" s="4" t="s">
        <v>2534</v>
      </c>
      <c r="C562" s="4" t="s">
        <v>2535</v>
      </c>
      <c r="D562" s="4" t="s">
        <v>2368</v>
      </c>
      <c r="E562" s="4" t="s">
        <v>36</v>
      </c>
      <c r="F562" s="4" t="s">
        <v>470</v>
      </c>
      <c r="G562" s="4" t="s">
        <v>157</v>
      </c>
      <c r="H562" s="4" t="s">
        <v>444</v>
      </c>
      <c r="I562" s="4" t="s">
        <v>2536</v>
      </c>
      <c r="J562" s="4" t="s">
        <v>2371</v>
      </c>
      <c r="K562" s="4" t="s">
        <v>2372</v>
      </c>
      <c r="L562" s="4" t="s">
        <v>41</v>
      </c>
      <c r="M562" s="4" t="s">
        <v>1816</v>
      </c>
      <c r="N562" s="10">
        <f t="shared" si="25"/>
        <v>18405.263157894737</v>
      </c>
      <c r="O562" s="15">
        <f t="shared" si="26"/>
        <v>-2.2631578947366506</v>
      </c>
      <c r="P562" s="10">
        <v>3497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21900</v>
      </c>
      <c r="AG562" s="4" t="s">
        <v>45</v>
      </c>
      <c r="AH562" s="4" t="s">
        <v>1817</v>
      </c>
    </row>
    <row r="563" spans="1:34" s="4" customFormat="1">
      <c r="A563" s="4" t="s">
        <v>32</v>
      </c>
      <c r="B563" s="4" t="s">
        <v>2605</v>
      </c>
      <c r="C563" s="4" t="s">
        <v>2606</v>
      </c>
      <c r="D563" s="4" t="s">
        <v>2436</v>
      </c>
      <c r="E563" s="4" t="s">
        <v>36</v>
      </c>
      <c r="F563" s="4" t="s">
        <v>470</v>
      </c>
      <c r="G563" s="4" t="s">
        <v>157</v>
      </c>
      <c r="H563" s="4" t="s">
        <v>2215</v>
      </c>
      <c r="I563" s="4" t="s">
        <v>2607</v>
      </c>
      <c r="J563" s="4" t="s">
        <v>2371</v>
      </c>
      <c r="K563" s="4" t="s">
        <v>2372</v>
      </c>
      <c r="L563" s="4" t="s">
        <v>41</v>
      </c>
      <c r="M563" s="4" t="s">
        <v>1816</v>
      </c>
      <c r="N563" s="10">
        <f t="shared" si="25"/>
        <v>21973.684210526317</v>
      </c>
      <c r="O563" s="15">
        <f t="shared" si="26"/>
        <v>1.3157894736832532</v>
      </c>
      <c r="P563" s="10">
        <v>4175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26150</v>
      </c>
      <c r="AG563" s="4" t="s">
        <v>45</v>
      </c>
      <c r="AH563" s="4" t="s">
        <v>1817</v>
      </c>
    </row>
    <row r="564" spans="1:34" s="4" customFormat="1">
      <c r="A564" s="4" t="s">
        <v>32</v>
      </c>
      <c r="B564" s="4" t="s">
        <v>2738</v>
      </c>
      <c r="C564" s="4" t="s">
        <v>2739</v>
      </c>
      <c r="D564" s="4" t="s">
        <v>2740</v>
      </c>
      <c r="E564" s="4" t="s">
        <v>36</v>
      </c>
      <c r="F564" s="4" t="s">
        <v>470</v>
      </c>
      <c r="G564" s="4" t="s">
        <v>157</v>
      </c>
      <c r="H564" s="4" t="s">
        <v>2741</v>
      </c>
      <c r="I564" s="4" t="s">
        <v>2742</v>
      </c>
      <c r="J564" s="4" t="s">
        <v>2371</v>
      </c>
      <c r="K564" s="4" t="s">
        <v>2372</v>
      </c>
      <c r="L564" s="4" t="s">
        <v>41</v>
      </c>
      <c r="M564" s="4" t="s">
        <v>2743</v>
      </c>
      <c r="N564" s="10">
        <f t="shared" si="25"/>
        <v>24033.63157894737</v>
      </c>
      <c r="O564" s="15">
        <f t="shared" si="26"/>
        <v>-2.1578947370471724E-2</v>
      </c>
      <c r="P564" s="10">
        <v>4566.3900000000003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28600</v>
      </c>
      <c r="AG564" s="4" t="s">
        <v>45</v>
      </c>
      <c r="AH564" s="4" t="s">
        <v>1817</v>
      </c>
    </row>
    <row r="565" spans="1:34" s="4" customFormat="1">
      <c r="A565" s="4" t="s">
        <v>32</v>
      </c>
      <c r="B565" s="4" t="s">
        <v>3131</v>
      </c>
      <c r="C565" s="4" t="s">
        <v>3132</v>
      </c>
      <c r="D565" s="4" t="s">
        <v>3133</v>
      </c>
      <c r="E565" s="4" t="s">
        <v>36</v>
      </c>
      <c r="H565" s="4" t="s">
        <v>3134</v>
      </c>
      <c r="I565" s="4" t="s">
        <v>3135</v>
      </c>
      <c r="J565" s="4" t="s">
        <v>2371</v>
      </c>
      <c r="K565" s="4" t="s">
        <v>2372</v>
      </c>
      <c r="L565" s="4" t="s">
        <v>41</v>
      </c>
      <c r="M565" s="4" t="s">
        <v>2743</v>
      </c>
      <c r="N565" s="10">
        <f t="shared" si="25"/>
        <v>24327.684210526317</v>
      </c>
      <c r="O565" s="15">
        <f t="shared" si="26"/>
        <v>5.5789473683034885E-2</v>
      </c>
      <c r="P565" s="10">
        <v>4622.26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28950</v>
      </c>
      <c r="AG565" s="4" t="s">
        <v>45</v>
      </c>
      <c r="AH565" s="4" t="s">
        <v>1817</v>
      </c>
    </row>
    <row r="566" spans="1:34" s="4" customFormat="1">
      <c r="A566" s="4" t="s">
        <v>32</v>
      </c>
      <c r="B566" s="4" t="s">
        <v>2537</v>
      </c>
      <c r="C566" s="4" t="s">
        <v>2538</v>
      </c>
      <c r="D566" s="4" t="s">
        <v>2436</v>
      </c>
      <c r="E566" s="4" t="s">
        <v>36</v>
      </c>
      <c r="F566" s="4" t="s">
        <v>470</v>
      </c>
      <c r="G566" s="4" t="s">
        <v>1987</v>
      </c>
      <c r="H566" s="4" t="s">
        <v>565</v>
      </c>
      <c r="I566" s="4" t="s">
        <v>2539</v>
      </c>
      <c r="J566" s="4" t="s">
        <v>2371</v>
      </c>
      <c r="K566" s="4" t="s">
        <v>2372</v>
      </c>
      <c r="L566" s="4" t="s">
        <v>41</v>
      </c>
      <c r="M566" s="4" t="s">
        <v>1816</v>
      </c>
      <c r="N566" s="10">
        <f t="shared" si="25"/>
        <v>36052.631578947367</v>
      </c>
      <c r="O566" s="15">
        <f t="shared" si="26"/>
        <v>-2.6315789473665063</v>
      </c>
      <c r="P566" s="10">
        <v>6850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42900</v>
      </c>
      <c r="AG566" s="4" t="s">
        <v>45</v>
      </c>
      <c r="AH566" s="4" t="s">
        <v>1817</v>
      </c>
    </row>
    <row r="567" spans="1:34" s="4" customFormat="1">
      <c r="A567" s="4" t="s">
        <v>32</v>
      </c>
      <c r="B567" s="4" t="s">
        <v>2611</v>
      </c>
      <c r="C567" s="4" t="s">
        <v>2612</v>
      </c>
      <c r="D567" s="4" t="s">
        <v>2436</v>
      </c>
      <c r="E567" s="4" t="s">
        <v>36</v>
      </c>
      <c r="F567" s="4" t="s">
        <v>470</v>
      </c>
      <c r="G567" s="4" t="s">
        <v>157</v>
      </c>
      <c r="H567" s="4" t="s">
        <v>1025</v>
      </c>
      <c r="I567" s="4" t="s">
        <v>2613</v>
      </c>
      <c r="J567" s="4" t="s">
        <v>2371</v>
      </c>
      <c r="K567" s="4" t="s">
        <v>2372</v>
      </c>
      <c r="L567" s="4" t="s">
        <v>41</v>
      </c>
      <c r="M567" s="4" t="s">
        <v>1816</v>
      </c>
      <c r="N567" s="10">
        <f t="shared" si="25"/>
        <v>26889.473684210527</v>
      </c>
      <c r="O567" s="15">
        <f t="shared" si="26"/>
        <v>21401.526315789473</v>
      </c>
      <c r="P567" s="10">
        <v>5109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53400</v>
      </c>
      <c r="AG567" s="4" t="s">
        <v>45</v>
      </c>
      <c r="AH567" s="4" t="s">
        <v>1817</v>
      </c>
    </row>
    <row r="568" spans="1:34" s="4" customFormat="1">
      <c r="A568" s="4" t="s">
        <v>32</v>
      </c>
      <c r="B568" s="4" t="s">
        <v>3259</v>
      </c>
      <c r="C568" s="4" t="s">
        <v>3260</v>
      </c>
      <c r="D568" s="4" t="s">
        <v>3261</v>
      </c>
      <c r="E568" s="4" t="s">
        <v>36</v>
      </c>
      <c r="H568" s="4" t="s">
        <v>3262</v>
      </c>
      <c r="I568" s="4" t="s">
        <v>3263</v>
      </c>
      <c r="J568" s="4" t="s">
        <v>2371</v>
      </c>
      <c r="K568" s="4" t="s">
        <v>2372</v>
      </c>
      <c r="L568" s="4" t="s">
        <v>41</v>
      </c>
      <c r="M568" s="4" t="s">
        <v>2743</v>
      </c>
      <c r="N568" s="10">
        <f t="shared" si="25"/>
        <v>46722.684210526313</v>
      </c>
      <c r="O568" s="15">
        <f t="shared" si="26"/>
        <v>5.7894736874004593E-3</v>
      </c>
      <c r="P568" s="10">
        <v>8877.31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55600</v>
      </c>
      <c r="AG568" s="4" t="s">
        <v>45</v>
      </c>
      <c r="AH568" s="4" t="s">
        <v>1817</v>
      </c>
    </row>
    <row r="569" spans="1:34" s="4" customFormat="1">
      <c r="A569" s="4" t="s">
        <v>32</v>
      </c>
      <c r="B569" s="4" t="s">
        <v>2540</v>
      </c>
      <c r="C569" s="4" t="s">
        <v>2541</v>
      </c>
      <c r="D569" s="4" t="s">
        <v>2436</v>
      </c>
      <c r="E569" s="4" t="s">
        <v>36</v>
      </c>
      <c r="F569" s="4" t="s">
        <v>470</v>
      </c>
      <c r="G569" s="4" t="s">
        <v>157</v>
      </c>
      <c r="H569" s="4" t="s">
        <v>565</v>
      </c>
      <c r="I569" s="4" t="s">
        <v>2542</v>
      </c>
      <c r="J569" s="4" t="s">
        <v>2371</v>
      </c>
      <c r="K569" s="4" t="s">
        <v>2372</v>
      </c>
      <c r="L569" s="4" t="s">
        <v>41</v>
      </c>
      <c r="M569" s="4" t="s">
        <v>1816</v>
      </c>
      <c r="N569" s="10">
        <f t="shared" si="25"/>
        <v>55463.157894736847</v>
      </c>
      <c r="O569" s="15">
        <f t="shared" si="26"/>
        <v>3398.8421052631529</v>
      </c>
      <c r="P569" s="10">
        <v>10538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69400</v>
      </c>
      <c r="AG569" s="4" t="s">
        <v>45</v>
      </c>
      <c r="AH569" s="4" t="s">
        <v>1817</v>
      </c>
    </row>
    <row r="570" spans="1:34" s="4" customFormat="1">
      <c r="A570" s="4" t="s">
        <v>32</v>
      </c>
      <c r="B570" s="4" t="s">
        <v>3136</v>
      </c>
      <c r="C570" s="4" t="s">
        <v>3137</v>
      </c>
      <c r="D570" s="4" t="s">
        <v>3133</v>
      </c>
      <c r="E570" s="4" t="s">
        <v>36</v>
      </c>
      <c r="H570" s="4" t="s">
        <v>3134</v>
      </c>
      <c r="I570" s="4" t="s">
        <v>3138</v>
      </c>
      <c r="J570" s="4" t="s">
        <v>2371</v>
      </c>
      <c r="K570" s="4" t="s">
        <v>2372</v>
      </c>
      <c r="L570" s="4" t="s">
        <v>41</v>
      </c>
      <c r="M570" s="4" t="s">
        <v>2743</v>
      </c>
      <c r="N570" s="10">
        <f t="shared" si="25"/>
        <v>65798.315789473694</v>
      </c>
      <c r="O570" s="15">
        <f t="shared" si="26"/>
        <v>4.2105263055418618E-3</v>
      </c>
      <c r="P570" s="10">
        <v>12501.68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78300</v>
      </c>
      <c r="AG570" s="4" t="s">
        <v>45</v>
      </c>
      <c r="AH570" s="4" t="s">
        <v>1817</v>
      </c>
    </row>
    <row r="571" spans="1:34" s="4" customFormat="1">
      <c r="A571" s="4" t="s">
        <v>32</v>
      </c>
      <c r="B571" s="4" t="s">
        <v>2485</v>
      </c>
      <c r="C571" s="4" t="s">
        <v>2486</v>
      </c>
      <c r="D571" s="4" t="s">
        <v>2436</v>
      </c>
      <c r="E571" s="4" t="s">
        <v>36</v>
      </c>
      <c r="F571" s="4" t="s">
        <v>470</v>
      </c>
      <c r="G571" s="4" t="s">
        <v>157</v>
      </c>
      <c r="H571" s="4" t="s">
        <v>536</v>
      </c>
      <c r="I571" s="4" t="s">
        <v>2487</v>
      </c>
      <c r="J571" s="4" t="s">
        <v>2371</v>
      </c>
      <c r="K571" s="4" t="s">
        <v>2372</v>
      </c>
      <c r="L571" s="4" t="s">
        <v>41</v>
      </c>
      <c r="M571" s="4" t="s">
        <v>1816</v>
      </c>
      <c r="N571" s="10">
        <f t="shared" si="25"/>
        <v>87731.578947368413</v>
      </c>
      <c r="O571" s="15">
        <f t="shared" si="26"/>
        <v>-0.57894736841262784</v>
      </c>
      <c r="P571" s="10">
        <v>16669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104400</v>
      </c>
      <c r="AG571" s="4" t="s">
        <v>45</v>
      </c>
      <c r="AH571" s="4" t="s">
        <v>1817</v>
      </c>
    </row>
    <row r="572" spans="1:34" s="4" customFormat="1">
      <c r="A572" s="4" t="s">
        <v>32</v>
      </c>
      <c r="B572" s="4" t="s">
        <v>2428</v>
      </c>
      <c r="C572" s="4" t="s">
        <v>1008</v>
      </c>
      <c r="D572" s="4" t="s">
        <v>2207</v>
      </c>
      <c r="E572" s="4" t="s">
        <v>36</v>
      </c>
      <c r="F572" s="4" t="s">
        <v>470</v>
      </c>
      <c r="G572" s="4" t="s">
        <v>2429</v>
      </c>
      <c r="H572" s="4" t="s">
        <v>2430</v>
      </c>
      <c r="I572" s="4" t="s">
        <v>2431</v>
      </c>
      <c r="J572" s="4" t="s">
        <v>2432</v>
      </c>
      <c r="K572" s="4" t="s">
        <v>2433</v>
      </c>
      <c r="L572" s="4" t="s">
        <v>41</v>
      </c>
      <c r="M572" s="4" t="s">
        <v>1816</v>
      </c>
      <c r="N572" s="10">
        <f t="shared" si="25"/>
        <v>1079454</v>
      </c>
      <c r="O572" s="15">
        <f t="shared" si="26"/>
        <v>0</v>
      </c>
      <c r="P572" s="10">
        <v>205096.26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1284550.26</v>
      </c>
      <c r="AG572" s="4" t="s">
        <v>45</v>
      </c>
      <c r="AH572" s="4" t="s">
        <v>1817</v>
      </c>
    </row>
    <row r="573" spans="1:34" s="4" customFormat="1">
      <c r="A573" s="4" t="s">
        <v>32</v>
      </c>
      <c r="B573" s="4" t="s">
        <v>2883</v>
      </c>
      <c r="C573" s="4" t="s">
        <v>2884</v>
      </c>
      <c r="D573" s="4" t="s">
        <v>2885</v>
      </c>
      <c r="E573" s="4" t="s">
        <v>36</v>
      </c>
      <c r="F573" s="4" t="s">
        <v>470</v>
      </c>
      <c r="G573" s="4" t="s">
        <v>157</v>
      </c>
      <c r="H573" s="4" t="s">
        <v>1061</v>
      </c>
      <c r="I573" s="4" t="s">
        <v>2886</v>
      </c>
      <c r="J573" s="4" t="s">
        <v>2887</v>
      </c>
      <c r="K573" s="4" t="s">
        <v>2888</v>
      </c>
      <c r="L573" s="4" t="s">
        <v>41</v>
      </c>
      <c r="M573" s="4" t="s">
        <v>42</v>
      </c>
      <c r="N573" s="10">
        <f t="shared" si="25"/>
        <v>0</v>
      </c>
      <c r="O573" s="15">
        <f t="shared" si="26"/>
        <v>14000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14000</v>
      </c>
      <c r="AG573" s="4" t="s">
        <v>45</v>
      </c>
      <c r="AH573" s="4" t="s">
        <v>1817</v>
      </c>
    </row>
    <row r="574" spans="1:34" s="4" customFormat="1">
      <c r="A574" s="4" t="s">
        <v>32</v>
      </c>
      <c r="B574" s="4" t="s">
        <v>2880</v>
      </c>
      <c r="C574" s="4" t="s">
        <v>2881</v>
      </c>
      <c r="D574" s="4" t="s">
        <v>2481</v>
      </c>
      <c r="E574" s="4" t="s">
        <v>36</v>
      </c>
      <c r="F574" s="4" t="s">
        <v>470</v>
      </c>
      <c r="G574" s="4" t="s">
        <v>38</v>
      </c>
      <c r="H574" s="4" t="s">
        <v>2325</v>
      </c>
      <c r="I574" s="4" t="s">
        <v>2882</v>
      </c>
      <c r="J574" s="4" t="s">
        <v>2690</v>
      </c>
      <c r="K574" s="4" t="s">
        <v>2691</v>
      </c>
      <c r="L574" s="4" t="s">
        <v>41</v>
      </c>
      <c r="M574" s="4" t="s">
        <v>2692</v>
      </c>
      <c r="N574" s="10">
        <f t="shared" ref="N574:N614" si="27">+P574/19*100</f>
        <v>1470000</v>
      </c>
      <c r="O574" s="15">
        <f t="shared" ref="O574:O614" si="28">+AF574-N574-P574</f>
        <v>0</v>
      </c>
      <c r="P574" s="10">
        <v>279300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1749300</v>
      </c>
      <c r="AG574" s="4" t="s">
        <v>45</v>
      </c>
      <c r="AH574" s="4" t="s">
        <v>1817</v>
      </c>
    </row>
    <row r="575" spans="1:34" s="4" customFormat="1">
      <c r="A575" s="4" t="s">
        <v>32</v>
      </c>
      <c r="B575" s="4" t="s">
        <v>2805</v>
      </c>
      <c r="C575" s="4" t="s">
        <v>2806</v>
      </c>
      <c r="D575" s="4" t="s">
        <v>2807</v>
      </c>
      <c r="E575" s="4" t="s">
        <v>36</v>
      </c>
      <c r="F575" s="4" t="s">
        <v>470</v>
      </c>
      <c r="G575" s="4" t="s">
        <v>157</v>
      </c>
      <c r="H575" s="4" t="s">
        <v>2289</v>
      </c>
      <c r="I575" s="4" t="s">
        <v>2808</v>
      </c>
      <c r="J575" s="4" t="s">
        <v>2809</v>
      </c>
      <c r="K575" s="4" t="s">
        <v>2810</v>
      </c>
      <c r="L575" s="4" t="s">
        <v>41</v>
      </c>
      <c r="M575" s="4" t="s">
        <v>42</v>
      </c>
      <c r="N575" s="10">
        <f t="shared" si="27"/>
        <v>352100.94736842101</v>
      </c>
      <c r="O575" s="15">
        <f t="shared" si="28"/>
        <v>-0.1273684210027568</v>
      </c>
      <c r="P575" s="10">
        <v>66899.179999999993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419000</v>
      </c>
      <c r="AG575" s="4" t="s">
        <v>45</v>
      </c>
      <c r="AH575" s="4" t="s">
        <v>1817</v>
      </c>
    </row>
    <row r="576" spans="1:34" s="4" customFormat="1">
      <c r="A576" s="4" t="s">
        <v>32</v>
      </c>
      <c r="B576" s="4" t="s">
        <v>2831</v>
      </c>
      <c r="C576" s="4" t="s">
        <v>2832</v>
      </c>
      <c r="D576" s="4" t="s">
        <v>2833</v>
      </c>
      <c r="E576" s="4" t="s">
        <v>36</v>
      </c>
      <c r="F576" s="4" t="s">
        <v>470</v>
      </c>
      <c r="G576" s="4" t="s">
        <v>157</v>
      </c>
      <c r="H576" s="4" t="s">
        <v>2297</v>
      </c>
      <c r="I576" s="4" t="s">
        <v>2834</v>
      </c>
      <c r="J576" s="4" t="s">
        <v>2835</v>
      </c>
      <c r="K576" s="4" t="s">
        <v>2836</v>
      </c>
      <c r="L576" s="4" t="s">
        <v>41</v>
      </c>
      <c r="M576" s="4" t="s">
        <v>1816</v>
      </c>
      <c r="N576" s="10">
        <f t="shared" si="27"/>
        <v>121849</v>
      </c>
      <c r="O576" s="15">
        <f t="shared" si="28"/>
        <v>0</v>
      </c>
      <c r="P576" s="10">
        <v>23151.31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0</v>
      </c>
      <c r="AE576" s="10">
        <v>0</v>
      </c>
      <c r="AF576" s="10">
        <v>145000.31</v>
      </c>
      <c r="AG576" s="4" t="s">
        <v>45</v>
      </c>
      <c r="AH576" s="4" t="s">
        <v>1817</v>
      </c>
    </row>
    <row r="577" spans="1:34" s="4" customFormat="1">
      <c r="A577" s="4" t="s">
        <v>32</v>
      </c>
      <c r="B577" s="4" t="s">
        <v>2657</v>
      </c>
      <c r="C577" s="4" t="s">
        <v>2658</v>
      </c>
      <c r="D577" s="4" t="s">
        <v>2475</v>
      </c>
      <c r="E577" s="4" t="s">
        <v>36</v>
      </c>
      <c r="F577" s="4" t="s">
        <v>470</v>
      </c>
      <c r="G577" s="4" t="s">
        <v>157</v>
      </c>
      <c r="H577" s="4" t="s">
        <v>2652</v>
      </c>
      <c r="I577" s="4" t="s">
        <v>2659</v>
      </c>
      <c r="J577" s="4" t="s">
        <v>2477</v>
      </c>
      <c r="K577" s="4" t="s">
        <v>2478</v>
      </c>
      <c r="L577" s="4" t="s">
        <v>41</v>
      </c>
      <c r="M577" s="4" t="s">
        <v>1816</v>
      </c>
      <c r="N577" s="10">
        <f t="shared" si="27"/>
        <v>28571.421052631576</v>
      </c>
      <c r="O577" s="15">
        <f t="shared" si="28"/>
        <v>8.9473684238328133E-3</v>
      </c>
      <c r="P577" s="10">
        <v>5428.57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34000</v>
      </c>
      <c r="AG577" s="4" t="s">
        <v>45</v>
      </c>
      <c r="AH577" s="4" t="s">
        <v>1817</v>
      </c>
    </row>
    <row r="578" spans="1:34" s="4" customFormat="1">
      <c r="A578" s="4" t="s">
        <v>32</v>
      </c>
      <c r="B578" s="4" t="s">
        <v>2546</v>
      </c>
      <c r="C578" s="4" t="s">
        <v>2547</v>
      </c>
      <c r="D578" s="4" t="s">
        <v>2475</v>
      </c>
      <c r="E578" s="4" t="s">
        <v>36</v>
      </c>
      <c r="F578" s="4" t="s">
        <v>470</v>
      </c>
      <c r="G578" s="4" t="s">
        <v>157</v>
      </c>
      <c r="H578" s="4" t="s">
        <v>2548</v>
      </c>
      <c r="I578" s="4" t="s">
        <v>2549</v>
      </c>
      <c r="J578" s="4" t="s">
        <v>2477</v>
      </c>
      <c r="K578" s="4" t="s">
        <v>2478</v>
      </c>
      <c r="L578" s="4" t="s">
        <v>41</v>
      </c>
      <c r="M578" s="4" t="s">
        <v>1816</v>
      </c>
      <c r="N578" s="10">
        <f t="shared" si="27"/>
        <v>48739.473684210527</v>
      </c>
      <c r="O578" s="15">
        <f t="shared" si="28"/>
        <v>2.6315789473301265E-2</v>
      </c>
      <c r="P578" s="10">
        <v>9260.5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58000</v>
      </c>
      <c r="AG578" s="4" t="s">
        <v>45</v>
      </c>
      <c r="AH578" s="4" t="s">
        <v>1817</v>
      </c>
    </row>
    <row r="579" spans="1:34" s="4" customFormat="1">
      <c r="A579" s="4" t="s">
        <v>32</v>
      </c>
      <c r="B579" s="4" t="s">
        <v>2474</v>
      </c>
      <c r="C579" s="4" t="s">
        <v>636</v>
      </c>
      <c r="D579" s="4" t="s">
        <v>2475</v>
      </c>
      <c r="E579" s="4" t="s">
        <v>36</v>
      </c>
      <c r="F579" s="4" t="s">
        <v>470</v>
      </c>
      <c r="G579" s="4" t="s">
        <v>157</v>
      </c>
      <c r="H579" s="4" t="s">
        <v>2169</v>
      </c>
      <c r="I579" s="4" t="s">
        <v>2476</v>
      </c>
      <c r="J579" s="4" t="s">
        <v>2477</v>
      </c>
      <c r="K579" s="4" t="s">
        <v>2478</v>
      </c>
      <c r="L579" s="4" t="s">
        <v>41</v>
      </c>
      <c r="M579" s="4" t="s">
        <v>1816</v>
      </c>
      <c r="N579" s="10">
        <f t="shared" si="27"/>
        <v>50420.15789473684</v>
      </c>
      <c r="O579" s="15">
        <f t="shared" si="28"/>
        <v>1.2105263160265167E-2</v>
      </c>
      <c r="P579" s="10">
        <v>9579.83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60000</v>
      </c>
      <c r="AG579" s="4" t="s">
        <v>45</v>
      </c>
      <c r="AH579" s="4" t="s">
        <v>1817</v>
      </c>
    </row>
    <row r="580" spans="1:34" s="4" customFormat="1">
      <c r="A580" s="4" t="s">
        <v>32</v>
      </c>
      <c r="B580" s="4" t="s">
        <v>2602</v>
      </c>
      <c r="C580" s="4" t="s">
        <v>2603</v>
      </c>
      <c r="D580" s="4" t="s">
        <v>2475</v>
      </c>
      <c r="E580" s="4" t="s">
        <v>36</v>
      </c>
      <c r="F580" s="4" t="s">
        <v>470</v>
      </c>
      <c r="G580" s="4" t="s">
        <v>157</v>
      </c>
      <c r="H580" s="4" t="s">
        <v>903</v>
      </c>
      <c r="I580" s="4" t="s">
        <v>2604</v>
      </c>
      <c r="J580" s="4" t="s">
        <v>2477</v>
      </c>
      <c r="K580" s="4" t="s">
        <v>2478</v>
      </c>
      <c r="L580" s="4" t="s">
        <v>41</v>
      </c>
      <c r="M580" s="4" t="s">
        <v>1816</v>
      </c>
      <c r="N580" s="10">
        <f t="shared" si="27"/>
        <v>64705.894736842107</v>
      </c>
      <c r="O580" s="15">
        <f t="shared" si="28"/>
        <v>-1.4736842107595294E-2</v>
      </c>
      <c r="P580" s="10">
        <v>12294.12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77000</v>
      </c>
      <c r="AG580" s="4" t="s">
        <v>45</v>
      </c>
      <c r="AH580" s="4" t="s">
        <v>1817</v>
      </c>
    </row>
    <row r="581" spans="1:34" s="4" customFormat="1">
      <c r="A581" s="4" t="s">
        <v>32</v>
      </c>
      <c r="B581" s="4" t="s">
        <v>3193</v>
      </c>
      <c r="C581" s="4" t="s">
        <v>3194</v>
      </c>
      <c r="D581" s="4" t="s">
        <v>2631</v>
      </c>
      <c r="E581" s="4" t="s">
        <v>36</v>
      </c>
      <c r="H581" s="4" t="s">
        <v>3190</v>
      </c>
      <c r="I581" s="4" t="s">
        <v>3195</v>
      </c>
      <c r="J581" s="4" t="s">
        <v>2633</v>
      </c>
      <c r="K581" s="4" t="s">
        <v>2634</v>
      </c>
      <c r="L581" s="4" t="s">
        <v>41</v>
      </c>
      <c r="M581" s="4" t="s">
        <v>1816</v>
      </c>
      <c r="N581" s="10">
        <f t="shared" si="27"/>
        <v>8040000</v>
      </c>
      <c r="O581" s="15">
        <f t="shared" si="28"/>
        <v>0</v>
      </c>
      <c r="P581" s="10">
        <v>1527600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9567600</v>
      </c>
      <c r="AG581" s="4" t="s">
        <v>45</v>
      </c>
      <c r="AH581" s="4" t="s">
        <v>1817</v>
      </c>
    </row>
    <row r="582" spans="1:34" s="4" customFormat="1">
      <c r="A582" s="4" t="s">
        <v>32</v>
      </c>
      <c r="B582" s="4" t="s">
        <v>3178</v>
      </c>
      <c r="C582" s="4" t="s">
        <v>3179</v>
      </c>
      <c r="D582" s="4" t="s">
        <v>2631</v>
      </c>
      <c r="E582" s="4" t="s">
        <v>36</v>
      </c>
      <c r="H582" s="4" t="s">
        <v>3176</v>
      </c>
      <c r="I582" s="4" t="s">
        <v>3180</v>
      </c>
      <c r="J582" s="4" t="s">
        <v>2633</v>
      </c>
      <c r="K582" s="4" t="s">
        <v>2634</v>
      </c>
      <c r="L582" s="4" t="s">
        <v>41</v>
      </c>
      <c r="M582" s="4" t="s">
        <v>1816</v>
      </c>
      <c r="N582" s="10">
        <f t="shared" si="27"/>
        <v>8644000</v>
      </c>
      <c r="O582" s="15">
        <f t="shared" si="28"/>
        <v>0</v>
      </c>
      <c r="P582" s="10">
        <v>1642360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10286360</v>
      </c>
      <c r="AG582" s="4" t="s">
        <v>45</v>
      </c>
      <c r="AH582" s="4" t="s">
        <v>1817</v>
      </c>
    </row>
    <row r="583" spans="1:34" s="4" customFormat="1">
      <c r="A583" s="4" t="s">
        <v>32</v>
      </c>
      <c r="B583" s="4" t="s">
        <v>2660</v>
      </c>
      <c r="C583" s="4" t="s">
        <v>2661</v>
      </c>
      <c r="D583" s="4" t="s">
        <v>2631</v>
      </c>
      <c r="E583" s="4" t="s">
        <v>36</v>
      </c>
      <c r="F583" s="4" t="s">
        <v>470</v>
      </c>
      <c r="G583" s="4" t="s">
        <v>157</v>
      </c>
      <c r="H583" s="4" t="s">
        <v>2662</v>
      </c>
      <c r="I583" s="4" t="s">
        <v>2663</v>
      </c>
      <c r="J583" s="4" t="s">
        <v>2633</v>
      </c>
      <c r="K583" s="4" t="s">
        <v>2634</v>
      </c>
      <c r="L583" s="4" t="s">
        <v>41</v>
      </c>
      <c r="M583" s="4" t="s">
        <v>1816</v>
      </c>
      <c r="N583" s="10">
        <f t="shared" si="27"/>
        <v>8740000</v>
      </c>
      <c r="O583" s="15">
        <f t="shared" si="28"/>
        <v>0</v>
      </c>
      <c r="P583" s="10">
        <v>1660600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10400600</v>
      </c>
      <c r="AG583" s="4" t="s">
        <v>45</v>
      </c>
      <c r="AH583" s="4" t="s">
        <v>1817</v>
      </c>
    </row>
    <row r="584" spans="1:34" s="4" customFormat="1">
      <c r="A584" s="4" t="s">
        <v>32</v>
      </c>
      <c r="B584" s="4" t="s">
        <v>2674</v>
      </c>
      <c r="C584" s="4" t="s">
        <v>2675</v>
      </c>
      <c r="D584" s="4" t="s">
        <v>2631</v>
      </c>
      <c r="E584" s="4" t="s">
        <v>36</v>
      </c>
      <c r="F584" s="4" t="s">
        <v>470</v>
      </c>
      <c r="G584" s="4" t="s">
        <v>157</v>
      </c>
      <c r="H584" s="4" t="s">
        <v>2672</v>
      </c>
      <c r="I584" s="4" t="s">
        <v>2676</v>
      </c>
      <c r="J584" s="4" t="s">
        <v>2633</v>
      </c>
      <c r="K584" s="4" t="s">
        <v>2634</v>
      </c>
      <c r="L584" s="4" t="s">
        <v>41</v>
      </c>
      <c r="M584" s="4" t="s">
        <v>1816</v>
      </c>
      <c r="N584" s="10">
        <f t="shared" si="27"/>
        <v>8840000</v>
      </c>
      <c r="O584" s="15">
        <f t="shared" si="28"/>
        <v>0</v>
      </c>
      <c r="P584" s="10">
        <v>1679600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10519600</v>
      </c>
      <c r="AG584" s="4" t="s">
        <v>45</v>
      </c>
      <c r="AH584" s="4" t="s">
        <v>1817</v>
      </c>
    </row>
    <row r="585" spans="1:34" s="4" customFormat="1">
      <c r="A585" s="4" t="s">
        <v>32</v>
      </c>
      <c r="B585" s="4" t="s">
        <v>3181</v>
      </c>
      <c r="C585" s="4" t="s">
        <v>3182</v>
      </c>
      <c r="D585" s="4" t="s">
        <v>2631</v>
      </c>
      <c r="E585" s="4" t="s">
        <v>36</v>
      </c>
      <c r="H585" s="4" t="s">
        <v>3176</v>
      </c>
      <c r="I585" s="4" t="s">
        <v>3183</v>
      </c>
      <c r="J585" s="4" t="s">
        <v>2633</v>
      </c>
      <c r="K585" s="4" t="s">
        <v>2634</v>
      </c>
      <c r="L585" s="4" t="s">
        <v>41</v>
      </c>
      <c r="M585" s="4" t="s">
        <v>1816</v>
      </c>
      <c r="N585" s="10">
        <f t="shared" si="27"/>
        <v>9778509</v>
      </c>
      <c r="O585" s="15">
        <f t="shared" si="28"/>
        <v>0</v>
      </c>
      <c r="P585" s="10">
        <v>1857916.71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11636425.710000001</v>
      </c>
      <c r="AG585" s="4" t="s">
        <v>45</v>
      </c>
      <c r="AH585" s="4" t="s">
        <v>1817</v>
      </c>
    </row>
    <row r="586" spans="1:34" s="4" customFormat="1">
      <c r="A586" s="4" t="s">
        <v>32</v>
      </c>
      <c r="B586" s="4" t="s">
        <v>2630</v>
      </c>
      <c r="C586" s="4" t="s">
        <v>2136</v>
      </c>
      <c r="D586" s="4" t="s">
        <v>2631</v>
      </c>
      <c r="E586" s="4" t="s">
        <v>36</v>
      </c>
      <c r="F586" s="4" t="s">
        <v>470</v>
      </c>
      <c r="G586" s="4" t="s">
        <v>157</v>
      </c>
      <c r="H586" s="4" t="s">
        <v>1049</v>
      </c>
      <c r="I586" s="4" t="s">
        <v>2632</v>
      </c>
      <c r="J586" s="4" t="s">
        <v>2633</v>
      </c>
      <c r="K586" s="4" t="s">
        <v>2634</v>
      </c>
      <c r="L586" s="4" t="s">
        <v>41</v>
      </c>
      <c r="M586" s="4" t="s">
        <v>1816</v>
      </c>
      <c r="N586" s="10">
        <f t="shared" si="27"/>
        <v>9996120</v>
      </c>
      <c r="O586" s="15">
        <f t="shared" si="28"/>
        <v>0</v>
      </c>
      <c r="P586" s="10">
        <v>1899262.8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11895382.800000001</v>
      </c>
      <c r="AG586" s="4" t="s">
        <v>45</v>
      </c>
      <c r="AH586" s="4" t="s">
        <v>1817</v>
      </c>
    </row>
    <row r="587" spans="1:34" s="4" customFormat="1">
      <c r="A587" s="4" t="s">
        <v>32</v>
      </c>
      <c r="B587" s="4" t="s">
        <v>1874</v>
      </c>
      <c r="C587" s="4" t="s">
        <v>1875</v>
      </c>
      <c r="D587" s="4" t="s">
        <v>1850</v>
      </c>
      <c r="E587" s="4" t="s">
        <v>36</v>
      </c>
      <c r="F587" s="4" t="s">
        <v>470</v>
      </c>
      <c r="G587" s="4" t="s">
        <v>157</v>
      </c>
      <c r="H587" s="4" t="s">
        <v>39</v>
      </c>
      <c r="I587" s="4" t="s">
        <v>1876</v>
      </c>
      <c r="J587" s="4" t="s">
        <v>1877</v>
      </c>
      <c r="K587" s="4" t="s">
        <v>1878</v>
      </c>
      <c r="L587" s="4" t="s">
        <v>41</v>
      </c>
      <c r="M587" s="4" t="s">
        <v>1816</v>
      </c>
      <c r="N587" s="10">
        <f t="shared" si="27"/>
        <v>136470.63157894736</v>
      </c>
      <c r="O587" s="15">
        <f t="shared" si="28"/>
        <v>1.842105264950078E-2</v>
      </c>
      <c r="P587" s="10">
        <v>25929.42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162400.07</v>
      </c>
      <c r="AG587" s="4" t="s">
        <v>45</v>
      </c>
      <c r="AH587" s="4" t="s">
        <v>1817</v>
      </c>
    </row>
    <row r="588" spans="1:34" s="4" customFormat="1">
      <c r="A588" s="4" t="s">
        <v>32</v>
      </c>
      <c r="B588" s="4" t="s">
        <v>1809</v>
      </c>
      <c r="C588" s="4" t="s">
        <v>1810</v>
      </c>
      <c r="D588" s="4" t="s">
        <v>1811</v>
      </c>
      <c r="E588" s="4" t="s">
        <v>36</v>
      </c>
      <c r="F588" s="4" t="s">
        <v>470</v>
      </c>
      <c r="G588" s="4" t="s">
        <v>157</v>
      </c>
      <c r="H588" s="4" t="s">
        <v>1812</v>
      </c>
      <c r="I588" s="4" t="s">
        <v>1813</v>
      </c>
      <c r="J588" s="4" t="s">
        <v>1814</v>
      </c>
      <c r="K588" s="4" t="s">
        <v>1815</v>
      </c>
      <c r="L588" s="4" t="s">
        <v>41</v>
      </c>
      <c r="M588" s="4" t="s">
        <v>1816</v>
      </c>
      <c r="N588" s="10">
        <f t="shared" si="27"/>
        <v>8340000</v>
      </c>
      <c r="O588" s="15">
        <f t="shared" si="28"/>
        <v>0</v>
      </c>
      <c r="P588" s="10">
        <v>1584600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9924600</v>
      </c>
      <c r="AG588" s="4" t="s">
        <v>45</v>
      </c>
      <c r="AH588" s="4" t="s">
        <v>1817</v>
      </c>
    </row>
    <row r="589" spans="1:34" s="4" customFormat="1">
      <c r="A589" s="4" t="s">
        <v>32</v>
      </c>
      <c r="B589" s="4" t="s">
        <v>1818</v>
      </c>
      <c r="C589" s="4" t="s">
        <v>1819</v>
      </c>
      <c r="D589" s="4" t="s">
        <v>1811</v>
      </c>
      <c r="E589" s="4" t="s">
        <v>36</v>
      </c>
      <c r="F589" s="4" t="s">
        <v>470</v>
      </c>
      <c r="G589" s="4" t="s">
        <v>157</v>
      </c>
      <c r="H589" s="4" t="s">
        <v>1812</v>
      </c>
      <c r="I589" s="4" t="s">
        <v>1820</v>
      </c>
      <c r="J589" s="4" t="s">
        <v>1814</v>
      </c>
      <c r="K589" s="4" t="s">
        <v>1815</v>
      </c>
      <c r="L589" s="4" t="s">
        <v>41</v>
      </c>
      <c r="M589" s="4" t="s">
        <v>1816</v>
      </c>
      <c r="N589" s="10">
        <f t="shared" si="27"/>
        <v>8276000</v>
      </c>
      <c r="O589" s="15">
        <f t="shared" si="28"/>
        <v>0</v>
      </c>
      <c r="P589" s="10">
        <v>1572440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9848440</v>
      </c>
      <c r="AG589" s="4" t="s">
        <v>45</v>
      </c>
      <c r="AH589" s="4" t="s">
        <v>1817</v>
      </c>
    </row>
    <row r="590" spans="1:34" s="4" customFormat="1">
      <c r="A590" s="4" t="s">
        <v>32</v>
      </c>
      <c r="B590" s="4" t="s">
        <v>1821</v>
      </c>
      <c r="C590" s="4" t="s">
        <v>1822</v>
      </c>
      <c r="D590" s="4" t="s">
        <v>1811</v>
      </c>
      <c r="E590" s="4" t="s">
        <v>36</v>
      </c>
      <c r="F590" s="4" t="s">
        <v>470</v>
      </c>
      <c r="G590" s="4" t="s">
        <v>157</v>
      </c>
      <c r="H590" s="4" t="s">
        <v>1812</v>
      </c>
      <c r="I590" s="4" t="s">
        <v>1823</v>
      </c>
      <c r="J590" s="4" t="s">
        <v>1814</v>
      </c>
      <c r="K590" s="4" t="s">
        <v>1815</v>
      </c>
      <c r="L590" s="4" t="s">
        <v>41</v>
      </c>
      <c r="M590" s="4" t="s">
        <v>1816</v>
      </c>
      <c r="N590" s="10">
        <f t="shared" si="27"/>
        <v>8200000</v>
      </c>
      <c r="O590" s="15">
        <f t="shared" si="28"/>
        <v>0</v>
      </c>
      <c r="P590" s="10">
        <v>1558000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9758000</v>
      </c>
      <c r="AG590" s="4" t="s">
        <v>45</v>
      </c>
      <c r="AH590" s="4" t="s">
        <v>1817</v>
      </c>
    </row>
    <row r="591" spans="1:34" s="4" customFormat="1">
      <c r="A591" s="4" t="s">
        <v>32</v>
      </c>
      <c r="B591" s="4" t="s">
        <v>1824</v>
      </c>
      <c r="C591" s="4" t="s">
        <v>1825</v>
      </c>
      <c r="D591" s="4" t="s">
        <v>1811</v>
      </c>
      <c r="E591" s="4" t="s">
        <v>36</v>
      </c>
      <c r="F591" s="4" t="s">
        <v>470</v>
      </c>
      <c r="G591" s="4" t="s">
        <v>157</v>
      </c>
      <c r="H591" s="4" t="s">
        <v>1826</v>
      </c>
      <c r="I591" s="4" t="s">
        <v>1827</v>
      </c>
      <c r="J591" s="4" t="s">
        <v>1814</v>
      </c>
      <c r="K591" s="4" t="s">
        <v>1815</v>
      </c>
      <c r="L591" s="4" t="s">
        <v>41</v>
      </c>
      <c r="M591" s="4" t="s">
        <v>1816</v>
      </c>
      <c r="N591" s="10">
        <f t="shared" si="27"/>
        <v>8740000</v>
      </c>
      <c r="O591" s="15">
        <f t="shared" si="28"/>
        <v>0</v>
      </c>
      <c r="P591" s="10">
        <v>1660600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10400600</v>
      </c>
      <c r="AG591" s="4" t="s">
        <v>45</v>
      </c>
      <c r="AH591" s="4" t="s">
        <v>1817</v>
      </c>
    </row>
    <row r="592" spans="1:34" s="4" customFormat="1">
      <c r="A592" s="4" t="s">
        <v>32</v>
      </c>
      <c r="B592" s="4" t="s">
        <v>1828</v>
      </c>
      <c r="C592" s="4" t="s">
        <v>1829</v>
      </c>
      <c r="D592" s="4" t="s">
        <v>1811</v>
      </c>
      <c r="E592" s="4" t="s">
        <v>36</v>
      </c>
      <c r="F592" s="4" t="s">
        <v>470</v>
      </c>
      <c r="G592" s="4" t="s">
        <v>157</v>
      </c>
      <c r="H592" s="4" t="s">
        <v>1826</v>
      </c>
      <c r="I592" s="4" t="s">
        <v>1830</v>
      </c>
      <c r="J592" s="4" t="s">
        <v>1814</v>
      </c>
      <c r="K592" s="4" t="s">
        <v>1815</v>
      </c>
      <c r="L592" s="4" t="s">
        <v>41</v>
      </c>
      <c r="M592" s="4" t="s">
        <v>1816</v>
      </c>
      <c r="N592" s="10">
        <f t="shared" si="27"/>
        <v>8404000</v>
      </c>
      <c r="O592" s="15">
        <f t="shared" si="28"/>
        <v>0</v>
      </c>
      <c r="P592" s="10">
        <v>1596760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10000760</v>
      </c>
      <c r="AG592" s="4" t="s">
        <v>45</v>
      </c>
      <c r="AH592" s="4" t="s">
        <v>1817</v>
      </c>
    </row>
    <row r="593" spans="1:34" s="4" customFormat="1">
      <c r="A593" s="4" t="s">
        <v>32</v>
      </c>
      <c r="B593" s="4" t="s">
        <v>1831</v>
      </c>
      <c r="C593" s="4" t="s">
        <v>1832</v>
      </c>
      <c r="D593" s="4" t="s">
        <v>1811</v>
      </c>
      <c r="E593" s="4" t="s">
        <v>36</v>
      </c>
      <c r="F593" s="4" t="s">
        <v>470</v>
      </c>
      <c r="G593" s="4" t="s">
        <v>157</v>
      </c>
      <c r="H593" s="4" t="s">
        <v>1826</v>
      </c>
      <c r="I593" s="4" t="s">
        <v>1833</v>
      </c>
      <c r="J593" s="4" t="s">
        <v>1814</v>
      </c>
      <c r="K593" s="4" t="s">
        <v>1815</v>
      </c>
      <c r="L593" s="4" t="s">
        <v>41</v>
      </c>
      <c r="M593" s="4" t="s">
        <v>1816</v>
      </c>
      <c r="N593" s="10">
        <f t="shared" si="27"/>
        <v>8040000</v>
      </c>
      <c r="O593" s="15">
        <f t="shared" si="28"/>
        <v>0</v>
      </c>
      <c r="P593" s="10">
        <v>1527600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9567600</v>
      </c>
      <c r="AG593" s="4" t="s">
        <v>45</v>
      </c>
      <c r="AH593" s="4" t="s">
        <v>1817</v>
      </c>
    </row>
    <row r="594" spans="1:34" s="4" customFormat="1">
      <c r="A594" s="4" t="s">
        <v>32</v>
      </c>
      <c r="B594" s="4" t="s">
        <v>1966</v>
      </c>
      <c r="C594" s="4" t="s">
        <v>1967</v>
      </c>
      <c r="D594" s="4" t="s">
        <v>1811</v>
      </c>
      <c r="E594" s="4" t="s">
        <v>36</v>
      </c>
      <c r="F594" s="4" t="s">
        <v>470</v>
      </c>
      <c r="G594" s="4" t="s">
        <v>157</v>
      </c>
      <c r="H594" s="4" t="s">
        <v>1956</v>
      </c>
      <c r="I594" s="4" t="s">
        <v>1968</v>
      </c>
      <c r="J594" s="4" t="s">
        <v>1814</v>
      </c>
      <c r="K594" s="4" t="s">
        <v>1815</v>
      </c>
      <c r="L594" s="4" t="s">
        <v>41</v>
      </c>
      <c r="M594" s="4" t="s">
        <v>1816</v>
      </c>
      <c r="N594" s="10">
        <f t="shared" si="27"/>
        <v>8669300</v>
      </c>
      <c r="O594" s="15">
        <f t="shared" si="28"/>
        <v>0</v>
      </c>
      <c r="P594" s="10">
        <v>1647167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10316467</v>
      </c>
      <c r="AG594" s="4" t="s">
        <v>45</v>
      </c>
      <c r="AH594" s="4" t="s">
        <v>1817</v>
      </c>
    </row>
    <row r="595" spans="1:34" s="4" customFormat="1">
      <c r="A595" s="4" t="s">
        <v>32</v>
      </c>
      <c r="B595" s="4" t="s">
        <v>1969</v>
      </c>
      <c r="C595" s="4" t="s">
        <v>1918</v>
      </c>
      <c r="D595" s="4" t="s">
        <v>1811</v>
      </c>
      <c r="E595" s="4" t="s">
        <v>36</v>
      </c>
      <c r="F595" s="4" t="s">
        <v>470</v>
      </c>
      <c r="G595" s="4" t="s">
        <v>157</v>
      </c>
      <c r="H595" s="4" t="s">
        <v>1956</v>
      </c>
      <c r="I595" s="4" t="s">
        <v>1970</v>
      </c>
      <c r="J595" s="4" t="s">
        <v>1814</v>
      </c>
      <c r="K595" s="4" t="s">
        <v>1815</v>
      </c>
      <c r="L595" s="4" t="s">
        <v>41</v>
      </c>
      <c r="M595" s="4" t="s">
        <v>1816</v>
      </c>
      <c r="N595" s="10">
        <f t="shared" si="27"/>
        <v>8266000</v>
      </c>
      <c r="O595" s="15">
        <f t="shared" si="28"/>
        <v>0</v>
      </c>
      <c r="P595" s="10">
        <v>1570540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9836540</v>
      </c>
      <c r="AG595" s="4" t="s">
        <v>45</v>
      </c>
      <c r="AH595" s="4" t="s">
        <v>1817</v>
      </c>
    </row>
    <row r="596" spans="1:34" s="4" customFormat="1">
      <c r="A596" s="4" t="s">
        <v>32</v>
      </c>
      <c r="B596" s="4" t="s">
        <v>2596</v>
      </c>
      <c r="C596" s="4" t="s">
        <v>2597</v>
      </c>
      <c r="D596" s="4" t="s">
        <v>2512</v>
      </c>
      <c r="E596" s="4" t="s">
        <v>36</v>
      </c>
      <c r="F596" s="4" t="s">
        <v>470</v>
      </c>
      <c r="G596" s="4" t="s">
        <v>470</v>
      </c>
      <c r="H596" s="4" t="s">
        <v>660</v>
      </c>
      <c r="I596" s="4" t="s">
        <v>2598</v>
      </c>
      <c r="J596" s="4" t="s">
        <v>2514</v>
      </c>
      <c r="K596" s="4" t="s">
        <v>2515</v>
      </c>
      <c r="L596" s="4" t="s">
        <v>41</v>
      </c>
      <c r="M596" s="4" t="s">
        <v>1816</v>
      </c>
      <c r="N596" s="10">
        <f t="shared" si="27"/>
        <v>10084.052631578947</v>
      </c>
      <c r="O596" s="15">
        <f t="shared" si="28"/>
        <v>-2.2631578946629816E-2</v>
      </c>
      <c r="P596" s="10">
        <v>1915.97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12000</v>
      </c>
      <c r="AG596" s="4" t="s">
        <v>45</v>
      </c>
      <c r="AH596" s="4" t="s">
        <v>1817</v>
      </c>
    </row>
    <row r="597" spans="1:34" s="4" customFormat="1">
      <c r="A597" s="4" t="s">
        <v>32</v>
      </c>
      <c r="B597" s="4" t="s">
        <v>2510</v>
      </c>
      <c r="C597" s="4" t="s">
        <v>2511</v>
      </c>
      <c r="D597" s="4" t="s">
        <v>2512</v>
      </c>
      <c r="E597" s="4" t="s">
        <v>36</v>
      </c>
      <c r="F597" s="4" t="s">
        <v>470</v>
      </c>
      <c r="G597" s="4" t="s">
        <v>470</v>
      </c>
      <c r="H597" s="4" t="s">
        <v>2506</v>
      </c>
      <c r="I597" s="4" t="s">
        <v>2513</v>
      </c>
      <c r="J597" s="4" t="s">
        <v>2514</v>
      </c>
      <c r="K597" s="4" t="s">
        <v>2515</v>
      </c>
      <c r="L597" s="4" t="s">
        <v>41</v>
      </c>
      <c r="M597" s="4" t="s">
        <v>1816</v>
      </c>
      <c r="N597" s="10">
        <f t="shared" si="27"/>
        <v>33865.57894736842</v>
      </c>
      <c r="O597" s="15">
        <f t="shared" si="28"/>
        <v>-1.8947368423141597E-2</v>
      </c>
      <c r="P597" s="10">
        <v>6434.46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40300.019999999997</v>
      </c>
      <c r="AG597" s="4" t="s">
        <v>45</v>
      </c>
      <c r="AH597" s="4" t="s">
        <v>1817</v>
      </c>
    </row>
    <row r="598" spans="1:34" s="4" customFormat="1">
      <c r="A598" s="4" t="s">
        <v>32</v>
      </c>
      <c r="B598" s="4" t="s">
        <v>2101</v>
      </c>
      <c r="C598" s="4" t="s">
        <v>2102</v>
      </c>
      <c r="D598" s="4" t="s">
        <v>2103</v>
      </c>
      <c r="E598" s="4" t="s">
        <v>36</v>
      </c>
      <c r="F598" s="4" t="s">
        <v>37</v>
      </c>
      <c r="G598" s="4" t="s">
        <v>470</v>
      </c>
      <c r="H598" s="4" t="s">
        <v>2104</v>
      </c>
      <c r="I598" s="4" t="s">
        <v>2105</v>
      </c>
      <c r="J598" s="4" t="s">
        <v>382</v>
      </c>
      <c r="K598" s="4" t="s">
        <v>383</v>
      </c>
      <c r="L598" s="4" t="s">
        <v>41</v>
      </c>
      <c r="M598" s="4" t="s">
        <v>1816</v>
      </c>
      <c r="N598" s="10">
        <f t="shared" si="27"/>
        <v>398000</v>
      </c>
      <c r="O598" s="15">
        <f t="shared" si="28"/>
        <v>0</v>
      </c>
      <c r="P598" s="10">
        <v>75620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473620</v>
      </c>
      <c r="AG598" s="4" t="s">
        <v>45</v>
      </c>
      <c r="AH598" s="4" t="s">
        <v>1817</v>
      </c>
    </row>
    <row r="599" spans="1:34" s="4" customFormat="1">
      <c r="A599" s="4" t="s">
        <v>32</v>
      </c>
      <c r="B599" s="4" t="s">
        <v>2156</v>
      </c>
      <c r="C599" s="4" t="s">
        <v>2157</v>
      </c>
      <c r="D599" s="4" t="s">
        <v>2103</v>
      </c>
      <c r="E599" s="4" t="s">
        <v>36</v>
      </c>
      <c r="F599" s="4" t="s">
        <v>37</v>
      </c>
      <c r="G599" s="4" t="s">
        <v>470</v>
      </c>
      <c r="H599" s="4" t="s">
        <v>332</v>
      </c>
      <c r="I599" s="4" t="s">
        <v>2158</v>
      </c>
      <c r="J599" s="4" t="s">
        <v>382</v>
      </c>
      <c r="K599" s="4" t="s">
        <v>383</v>
      </c>
      <c r="L599" s="4" t="s">
        <v>41</v>
      </c>
      <c r="M599" s="4" t="s">
        <v>1816</v>
      </c>
      <c r="N599" s="10">
        <f t="shared" si="27"/>
        <v>398000</v>
      </c>
      <c r="O599" s="15">
        <f t="shared" si="28"/>
        <v>0</v>
      </c>
      <c r="P599" s="10">
        <v>75620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473620</v>
      </c>
      <c r="AG599" s="4" t="s">
        <v>45</v>
      </c>
      <c r="AH599" s="4" t="s">
        <v>1817</v>
      </c>
    </row>
    <row r="600" spans="1:34" s="4" customFormat="1">
      <c r="A600" s="4" t="s">
        <v>32</v>
      </c>
      <c r="B600" s="4" t="s">
        <v>2196</v>
      </c>
      <c r="C600" s="4" t="s">
        <v>2197</v>
      </c>
      <c r="D600" s="4" t="s">
        <v>2103</v>
      </c>
      <c r="E600" s="4" t="s">
        <v>36</v>
      </c>
      <c r="F600" s="4" t="s">
        <v>37</v>
      </c>
      <c r="G600" s="4" t="s">
        <v>470</v>
      </c>
      <c r="H600" s="4" t="s">
        <v>565</v>
      </c>
      <c r="I600" s="4" t="s">
        <v>2198</v>
      </c>
      <c r="J600" s="4" t="s">
        <v>382</v>
      </c>
      <c r="K600" s="4" t="s">
        <v>383</v>
      </c>
      <c r="L600" s="4" t="s">
        <v>41</v>
      </c>
      <c r="M600" s="4" t="s">
        <v>1816</v>
      </c>
      <c r="N600" s="10">
        <f t="shared" si="27"/>
        <v>398000</v>
      </c>
      <c r="O600" s="15">
        <f t="shared" si="28"/>
        <v>0</v>
      </c>
      <c r="P600" s="10">
        <v>75620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473620</v>
      </c>
      <c r="AG600" s="4" t="s">
        <v>45</v>
      </c>
      <c r="AH600" s="4" t="s">
        <v>1817</v>
      </c>
    </row>
    <row r="601" spans="1:34" s="4" customFormat="1">
      <c r="A601" s="4" t="s">
        <v>32</v>
      </c>
      <c r="B601" s="4" t="s">
        <v>2220</v>
      </c>
      <c r="C601" s="4" t="s">
        <v>2221</v>
      </c>
      <c r="D601" s="4" t="s">
        <v>2103</v>
      </c>
      <c r="E601" s="4" t="s">
        <v>36</v>
      </c>
      <c r="F601" s="4" t="s">
        <v>37</v>
      </c>
      <c r="G601" s="4" t="s">
        <v>470</v>
      </c>
      <c r="H601" s="4" t="s">
        <v>2222</v>
      </c>
      <c r="I601" s="4" t="s">
        <v>2223</v>
      </c>
      <c r="J601" s="4" t="s">
        <v>382</v>
      </c>
      <c r="K601" s="4" t="s">
        <v>383</v>
      </c>
      <c r="L601" s="4" t="s">
        <v>41</v>
      </c>
      <c r="M601" s="4" t="s">
        <v>1816</v>
      </c>
      <c r="N601" s="10">
        <f t="shared" si="27"/>
        <v>398000</v>
      </c>
      <c r="O601" s="15">
        <f t="shared" si="28"/>
        <v>0</v>
      </c>
      <c r="P601" s="10">
        <v>75620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473620</v>
      </c>
      <c r="AG601" s="4" t="s">
        <v>45</v>
      </c>
      <c r="AH601" s="4" t="s">
        <v>1817</v>
      </c>
    </row>
    <row r="602" spans="1:34" s="4" customFormat="1">
      <c r="A602" s="4" t="s">
        <v>32</v>
      </c>
      <c r="B602" s="4" t="s">
        <v>2261</v>
      </c>
      <c r="C602" s="4" t="s">
        <v>2262</v>
      </c>
      <c r="D602" s="4" t="s">
        <v>2103</v>
      </c>
      <c r="E602" s="4" t="s">
        <v>36</v>
      </c>
      <c r="F602" s="4" t="s">
        <v>37</v>
      </c>
      <c r="G602" s="4" t="s">
        <v>470</v>
      </c>
      <c r="H602" s="4" t="s">
        <v>1053</v>
      </c>
      <c r="I602" s="4" t="s">
        <v>2263</v>
      </c>
      <c r="J602" s="4" t="s">
        <v>382</v>
      </c>
      <c r="K602" s="4" t="s">
        <v>383</v>
      </c>
      <c r="L602" s="4" t="s">
        <v>41</v>
      </c>
      <c r="M602" s="4" t="s">
        <v>1816</v>
      </c>
      <c r="N602" s="10">
        <f t="shared" si="27"/>
        <v>398000</v>
      </c>
      <c r="O602" s="15">
        <f t="shared" si="28"/>
        <v>0</v>
      </c>
      <c r="P602" s="10">
        <v>75620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473620</v>
      </c>
      <c r="AG602" s="4" t="s">
        <v>45</v>
      </c>
      <c r="AH602" s="4" t="s">
        <v>1817</v>
      </c>
    </row>
    <row r="603" spans="1:34" s="4" customFormat="1">
      <c r="A603" s="4" t="s">
        <v>32</v>
      </c>
      <c r="B603" s="4" t="s">
        <v>2302</v>
      </c>
      <c r="C603" s="4" t="s">
        <v>2303</v>
      </c>
      <c r="D603" s="4" t="s">
        <v>2103</v>
      </c>
      <c r="E603" s="4" t="s">
        <v>36</v>
      </c>
      <c r="F603" s="4" t="s">
        <v>37</v>
      </c>
      <c r="G603" s="4" t="s">
        <v>470</v>
      </c>
      <c r="H603" s="4" t="s">
        <v>2304</v>
      </c>
      <c r="I603" s="4" t="s">
        <v>2305</v>
      </c>
      <c r="J603" s="4" t="s">
        <v>382</v>
      </c>
      <c r="K603" s="4" t="s">
        <v>383</v>
      </c>
      <c r="L603" s="4" t="s">
        <v>41</v>
      </c>
      <c r="M603" s="4" t="s">
        <v>1816</v>
      </c>
      <c r="N603" s="10">
        <f t="shared" si="27"/>
        <v>398000</v>
      </c>
      <c r="O603" s="15">
        <f t="shared" si="28"/>
        <v>0</v>
      </c>
      <c r="P603" s="10">
        <v>75620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473620</v>
      </c>
      <c r="AG603" s="4" t="s">
        <v>45</v>
      </c>
      <c r="AH603" s="4" t="s">
        <v>1817</v>
      </c>
    </row>
    <row r="604" spans="1:34" s="4" customFormat="1">
      <c r="A604" s="4" t="s">
        <v>32</v>
      </c>
      <c r="B604" s="4" t="s">
        <v>2346</v>
      </c>
      <c r="C604" s="4" t="s">
        <v>2347</v>
      </c>
      <c r="D604" s="4" t="s">
        <v>2103</v>
      </c>
      <c r="E604" s="4" t="s">
        <v>36</v>
      </c>
      <c r="F604" s="4" t="s">
        <v>37</v>
      </c>
      <c r="G604" s="4" t="s">
        <v>470</v>
      </c>
      <c r="H604" s="4" t="s">
        <v>2348</v>
      </c>
      <c r="I604" s="4" t="s">
        <v>2349</v>
      </c>
      <c r="J604" s="4" t="s">
        <v>382</v>
      </c>
      <c r="K604" s="4" t="s">
        <v>383</v>
      </c>
      <c r="L604" s="4" t="s">
        <v>41</v>
      </c>
      <c r="M604" s="4" t="s">
        <v>1816</v>
      </c>
      <c r="N604" s="10">
        <f t="shared" si="27"/>
        <v>398000</v>
      </c>
      <c r="O604" s="15">
        <f t="shared" si="28"/>
        <v>0</v>
      </c>
      <c r="P604" s="10">
        <v>75620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473620</v>
      </c>
      <c r="AG604" s="4" t="s">
        <v>45</v>
      </c>
      <c r="AH604" s="4" t="s">
        <v>1817</v>
      </c>
    </row>
    <row r="605" spans="1:34" s="4" customFormat="1">
      <c r="A605" s="4" t="s">
        <v>32</v>
      </c>
      <c r="B605" s="4" t="s">
        <v>2414</v>
      </c>
      <c r="C605" s="4" t="s">
        <v>2415</v>
      </c>
      <c r="D605" s="4" t="s">
        <v>2103</v>
      </c>
      <c r="E605" s="4" t="s">
        <v>36</v>
      </c>
      <c r="F605" s="4" t="s">
        <v>470</v>
      </c>
      <c r="G605" s="4" t="s">
        <v>38</v>
      </c>
      <c r="H605" s="4" t="s">
        <v>2416</v>
      </c>
      <c r="I605" s="4" t="s">
        <v>2417</v>
      </c>
      <c r="J605" s="4" t="s">
        <v>382</v>
      </c>
      <c r="K605" s="4" t="s">
        <v>383</v>
      </c>
      <c r="L605" s="4" t="s">
        <v>41</v>
      </c>
      <c r="M605" s="4" t="s">
        <v>1816</v>
      </c>
      <c r="N605" s="10">
        <f t="shared" si="27"/>
        <v>13000</v>
      </c>
      <c r="O605" s="15">
        <f t="shared" si="28"/>
        <v>0</v>
      </c>
      <c r="P605" s="10">
        <v>2470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15470</v>
      </c>
      <c r="AG605" s="4" t="s">
        <v>45</v>
      </c>
      <c r="AH605" s="4" t="s">
        <v>1817</v>
      </c>
    </row>
    <row r="606" spans="1:34" s="4" customFormat="1">
      <c r="A606" s="4" t="s">
        <v>32</v>
      </c>
      <c r="B606" s="4" t="s">
        <v>2750</v>
      </c>
      <c r="C606" s="4" t="s">
        <v>2751</v>
      </c>
      <c r="D606" s="4" t="s">
        <v>2103</v>
      </c>
      <c r="E606" s="4" t="s">
        <v>36</v>
      </c>
      <c r="F606" s="4" t="s">
        <v>470</v>
      </c>
      <c r="G606" s="4" t="s">
        <v>38</v>
      </c>
      <c r="H606" s="4" t="s">
        <v>2266</v>
      </c>
      <c r="I606" s="4" t="s">
        <v>2752</v>
      </c>
      <c r="J606" s="4" t="s">
        <v>382</v>
      </c>
      <c r="K606" s="4" t="s">
        <v>383</v>
      </c>
      <c r="L606" s="4" t="s">
        <v>41</v>
      </c>
      <c r="M606" s="4" t="s">
        <v>1816</v>
      </c>
      <c r="N606" s="10">
        <f t="shared" si="27"/>
        <v>13000</v>
      </c>
      <c r="O606" s="15">
        <f t="shared" si="28"/>
        <v>0</v>
      </c>
      <c r="P606" s="10">
        <v>2470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15470</v>
      </c>
      <c r="AG606" s="4" t="s">
        <v>45</v>
      </c>
      <c r="AH606" s="4" t="s">
        <v>1817</v>
      </c>
    </row>
    <row r="607" spans="1:34" s="4" customFormat="1">
      <c r="A607" s="4" t="s">
        <v>32</v>
      </c>
      <c r="B607" s="4" t="s">
        <v>2828</v>
      </c>
      <c r="C607" s="4" t="s">
        <v>2829</v>
      </c>
      <c r="D607" s="4" t="s">
        <v>2103</v>
      </c>
      <c r="E607" s="4" t="s">
        <v>36</v>
      </c>
      <c r="F607" s="4" t="s">
        <v>470</v>
      </c>
      <c r="G607" s="4" t="s">
        <v>38</v>
      </c>
      <c r="H607" s="4" t="s">
        <v>2297</v>
      </c>
      <c r="I607" s="4" t="s">
        <v>2830</v>
      </c>
      <c r="J607" s="4" t="s">
        <v>382</v>
      </c>
      <c r="K607" s="4" t="s">
        <v>383</v>
      </c>
      <c r="L607" s="4" t="s">
        <v>41</v>
      </c>
      <c r="M607" s="4" t="s">
        <v>1816</v>
      </c>
      <c r="N607" s="10">
        <f t="shared" si="27"/>
        <v>13000</v>
      </c>
      <c r="O607" s="15">
        <f t="shared" si="28"/>
        <v>0</v>
      </c>
      <c r="P607" s="10">
        <v>2470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15470</v>
      </c>
      <c r="AG607" s="4" t="s">
        <v>45</v>
      </c>
      <c r="AH607" s="4" t="s">
        <v>1817</v>
      </c>
    </row>
    <row r="608" spans="1:34" s="4" customFormat="1">
      <c r="A608" s="4" t="s">
        <v>32</v>
      </c>
      <c r="B608" s="4" t="s">
        <v>3164</v>
      </c>
      <c r="C608" s="4" t="s">
        <v>3165</v>
      </c>
      <c r="D608" s="4" t="s">
        <v>2103</v>
      </c>
      <c r="E608" s="4" t="s">
        <v>36</v>
      </c>
      <c r="H608" s="4" t="s">
        <v>3162</v>
      </c>
      <c r="I608" s="4" t="s">
        <v>3166</v>
      </c>
      <c r="J608" s="4" t="s">
        <v>382</v>
      </c>
      <c r="K608" s="4" t="s">
        <v>383</v>
      </c>
      <c r="L608" s="4" t="s">
        <v>41</v>
      </c>
      <c r="M608" s="4" t="s">
        <v>1816</v>
      </c>
      <c r="N608" s="10">
        <f t="shared" si="27"/>
        <v>13000</v>
      </c>
      <c r="O608" s="15">
        <f t="shared" si="28"/>
        <v>0</v>
      </c>
      <c r="P608" s="10">
        <v>2470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15470</v>
      </c>
      <c r="AG608" s="4" t="s">
        <v>45</v>
      </c>
      <c r="AH608" s="4" t="s">
        <v>1817</v>
      </c>
    </row>
    <row r="609" spans="1:34" s="4" customFormat="1">
      <c r="A609" s="4" t="s">
        <v>32</v>
      </c>
      <c r="B609" s="4" t="s">
        <v>2889</v>
      </c>
      <c r="C609" s="4" t="s">
        <v>2890</v>
      </c>
      <c r="D609" s="4" t="s">
        <v>2103</v>
      </c>
      <c r="E609" s="4" t="s">
        <v>36</v>
      </c>
      <c r="F609" s="4" t="s">
        <v>470</v>
      </c>
      <c r="G609" s="4" t="s">
        <v>38</v>
      </c>
      <c r="H609" s="4" t="s">
        <v>1061</v>
      </c>
      <c r="I609" s="4" t="s">
        <v>2891</v>
      </c>
      <c r="J609" s="4" t="s">
        <v>382</v>
      </c>
      <c r="K609" s="4" t="s">
        <v>383</v>
      </c>
      <c r="L609" s="4" t="s">
        <v>41</v>
      </c>
      <c r="M609" s="4" t="s">
        <v>1816</v>
      </c>
      <c r="N609" s="10">
        <f t="shared" si="27"/>
        <v>26000</v>
      </c>
      <c r="O609" s="15">
        <f t="shared" si="28"/>
        <v>0</v>
      </c>
      <c r="P609" s="10">
        <v>4940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30940</v>
      </c>
      <c r="AG609" s="4" t="s">
        <v>45</v>
      </c>
      <c r="AH609" s="4" t="s">
        <v>1817</v>
      </c>
    </row>
    <row r="610" spans="1:34" s="4" customFormat="1">
      <c r="A610" s="4" t="s">
        <v>32</v>
      </c>
      <c r="B610" s="4" t="s">
        <v>2624</v>
      </c>
      <c r="C610" s="4" t="s">
        <v>2625</v>
      </c>
      <c r="D610" s="4" t="s">
        <v>2103</v>
      </c>
      <c r="E610" s="4" t="s">
        <v>36</v>
      </c>
      <c r="F610" s="4" t="s">
        <v>470</v>
      </c>
      <c r="G610" s="4" t="s">
        <v>2429</v>
      </c>
      <c r="H610" s="4" t="s">
        <v>700</v>
      </c>
      <c r="I610" s="4" t="s">
        <v>2626</v>
      </c>
      <c r="J610" s="4" t="s">
        <v>382</v>
      </c>
      <c r="K610" s="4" t="s">
        <v>383</v>
      </c>
      <c r="L610" s="4" t="s">
        <v>41</v>
      </c>
      <c r="M610" s="4" t="s">
        <v>1816</v>
      </c>
      <c r="N610" s="10">
        <f t="shared" si="27"/>
        <v>39000</v>
      </c>
      <c r="O610" s="15">
        <f t="shared" si="28"/>
        <v>0</v>
      </c>
      <c r="P610" s="10">
        <v>7410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46410</v>
      </c>
      <c r="AG610" s="4" t="s">
        <v>45</v>
      </c>
      <c r="AH610" s="4" t="s">
        <v>1817</v>
      </c>
    </row>
    <row r="611" spans="1:34" s="4" customFormat="1">
      <c r="A611" s="4" t="s">
        <v>32</v>
      </c>
      <c r="B611" s="4" t="s">
        <v>3071</v>
      </c>
      <c r="C611" s="4" t="s">
        <v>3072</v>
      </c>
      <c r="D611" s="4" t="s">
        <v>2103</v>
      </c>
      <c r="E611" s="4" t="s">
        <v>36</v>
      </c>
      <c r="F611" s="4" t="s">
        <v>37</v>
      </c>
      <c r="G611" s="4" t="s">
        <v>470</v>
      </c>
      <c r="H611" s="4" t="s">
        <v>1402</v>
      </c>
      <c r="I611" s="4" t="s">
        <v>3073</v>
      </c>
      <c r="J611" s="4" t="s">
        <v>382</v>
      </c>
      <c r="K611" s="4" t="s">
        <v>383</v>
      </c>
      <c r="L611" s="4" t="s">
        <v>41</v>
      </c>
      <c r="M611" s="4" t="s">
        <v>1816</v>
      </c>
      <c r="N611" s="10">
        <f t="shared" si="27"/>
        <v>398000</v>
      </c>
      <c r="O611" s="15">
        <f t="shared" si="28"/>
        <v>0</v>
      </c>
      <c r="P611" s="10">
        <v>75620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0</v>
      </c>
      <c r="AE611" s="10">
        <v>0</v>
      </c>
      <c r="AF611" s="10">
        <v>473620</v>
      </c>
      <c r="AG611" s="4" t="s">
        <v>45</v>
      </c>
      <c r="AH611" s="4" t="s">
        <v>1817</v>
      </c>
    </row>
    <row r="612" spans="1:34" s="4" customFormat="1">
      <c r="A612" s="4" t="s">
        <v>32</v>
      </c>
      <c r="B612" s="4" t="s">
        <v>3153</v>
      </c>
      <c r="C612" s="4" t="s">
        <v>3154</v>
      </c>
      <c r="D612" s="4" t="s">
        <v>2103</v>
      </c>
      <c r="E612" s="4" t="s">
        <v>36</v>
      </c>
      <c r="H612" s="4" t="s">
        <v>3155</v>
      </c>
      <c r="I612" s="4" t="s">
        <v>3156</v>
      </c>
      <c r="J612" s="4" t="s">
        <v>382</v>
      </c>
      <c r="K612" s="4" t="s">
        <v>383</v>
      </c>
      <c r="L612" s="4" t="s">
        <v>41</v>
      </c>
      <c r="M612" s="4" t="s">
        <v>1816</v>
      </c>
      <c r="N612" s="10">
        <f t="shared" si="27"/>
        <v>398000</v>
      </c>
      <c r="O612" s="15">
        <f t="shared" si="28"/>
        <v>0</v>
      </c>
      <c r="P612" s="10">
        <v>75620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473620</v>
      </c>
      <c r="AG612" s="4" t="s">
        <v>45</v>
      </c>
      <c r="AH612" s="4" t="s">
        <v>1817</v>
      </c>
    </row>
    <row r="613" spans="1:34" s="4" customFormat="1">
      <c r="A613" s="4" t="s">
        <v>32</v>
      </c>
      <c r="B613" s="4" t="s">
        <v>3280</v>
      </c>
      <c r="C613" s="4" t="s">
        <v>3281</v>
      </c>
      <c r="D613" s="4" t="s">
        <v>2103</v>
      </c>
      <c r="E613" s="4" t="s">
        <v>36</v>
      </c>
      <c r="H613" s="4" t="s">
        <v>3282</v>
      </c>
      <c r="I613" s="4" t="s">
        <v>3283</v>
      </c>
      <c r="J613" s="4" t="s">
        <v>382</v>
      </c>
      <c r="K613" s="4" t="s">
        <v>383</v>
      </c>
      <c r="L613" s="4" t="s">
        <v>41</v>
      </c>
      <c r="M613" s="4" t="s">
        <v>1816</v>
      </c>
      <c r="N613" s="10">
        <f t="shared" si="27"/>
        <v>398000</v>
      </c>
      <c r="O613" s="15">
        <f t="shared" si="28"/>
        <v>0</v>
      </c>
      <c r="P613" s="10">
        <v>75620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473620</v>
      </c>
      <c r="AG613" s="4" t="s">
        <v>45</v>
      </c>
      <c r="AH613" s="4" t="s">
        <v>1817</v>
      </c>
    </row>
    <row r="614" spans="1:34" s="4" customFormat="1">
      <c r="A614" s="4" t="s">
        <v>32</v>
      </c>
      <c r="B614" s="4" t="s">
        <v>3366</v>
      </c>
      <c r="C614" s="4" t="s">
        <v>3367</v>
      </c>
      <c r="D614" s="4" t="s">
        <v>2103</v>
      </c>
      <c r="E614" s="4" t="s">
        <v>36</v>
      </c>
      <c r="H614" s="4" t="s">
        <v>3368</v>
      </c>
      <c r="I614" s="4" t="s">
        <v>3369</v>
      </c>
      <c r="J614" s="4" t="s">
        <v>382</v>
      </c>
      <c r="K614" s="4" t="s">
        <v>383</v>
      </c>
      <c r="L614" s="4" t="s">
        <v>41</v>
      </c>
      <c r="M614" s="4" t="s">
        <v>1816</v>
      </c>
      <c r="N614" s="10">
        <f t="shared" si="27"/>
        <v>398000</v>
      </c>
      <c r="O614" s="15">
        <f t="shared" si="28"/>
        <v>0</v>
      </c>
      <c r="P614" s="10">
        <v>75620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0</v>
      </c>
      <c r="AE614" s="10">
        <v>0</v>
      </c>
      <c r="AF614" s="10">
        <v>473620</v>
      </c>
      <c r="AG614" s="4" t="s">
        <v>45</v>
      </c>
      <c r="AH614" s="4" t="s">
        <v>1817</v>
      </c>
    </row>
    <row r="615" spans="1:34" s="4" customFormat="1">
      <c r="N615" s="10">
        <f>SUM(N191:N614)</f>
        <v>682662296.52631629</v>
      </c>
      <c r="O615" s="10">
        <f t="shared" ref="O615:P615" si="29">SUM(O191:O614)</f>
        <v>29973447.763684209</v>
      </c>
      <c r="P615" s="10">
        <f t="shared" si="29"/>
        <v>129705836.33999974</v>
      </c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spans="1:34" s="4" customFormat="1">
      <c r="N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spans="1:3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0"/>
      <c r="O617" s="4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4"/>
      <c r="AH617" s="4"/>
    </row>
    <row r="618" spans="1:3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0"/>
      <c r="O618" s="4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4"/>
      <c r="AH618" s="4"/>
    </row>
    <row r="619" spans="1:3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0"/>
      <c r="O619" s="4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4"/>
      <c r="AH619" s="4"/>
    </row>
    <row r="620" spans="1:3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0"/>
      <c r="O620" s="4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4"/>
      <c r="AH620" s="4"/>
    </row>
    <row r="622" spans="1:34" s="6" customForma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9"/>
      <c r="O622" s="1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1"/>
      <c r="AH622" s="1"/>
    </row>
    <row r="623" spans="1:34" s="6" customForma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9"/>
      <c r="O623" s="1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1"/>
      <c r="AH623" s="1"/>
    </row>
    <row r="624" spans="1:34" s="6" customForma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9"/>
      <c r="O624" s="1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1"/>
      <c r="AH624" s="1"/>
    </row>
    <row r="625" spans="1:34" s="6" customForma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9"/>
      <c r="O625" s="1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1"/>
      <c r="AH625" s="1"/>
    </row>
    <row r="629" spans="1:34">
      <c r="A629" s="5" t="s">
        <v>154</v>
      </c>
      <c r="B629" s="5" t="s">
        <v>821</v>
      </c>
      <c r="C629" s="5" t="s">
        <v>822</v>
      </c>
      <c r="D629" s="5"/>
      <c r="E629" s="5" t="s">
        <v>36</v>
      </c>
      <c r="F629" s="5" t="s">
        <v>37</v>
      </c>
      <c r="G629" s="5" t="s">
        <v>157</v>
      </c>
      <c r="H629" s="5" t="s">
        <v>809</v>
      </c>
      <c r="I629" s="5" t="s">
        <v>823</v>
      </c>
      <c r="J629" s="5" t="s">
        <v>41</v>
      </c>
      <c r="K629" s="5" t="s">
        <v>159</v>
      </c>
      <c r="L629" s="5" t="s">
        <v>824</v>
      </c>
      <c r="M629" s="5" t="s">
        <v>825</v>
      </c>
      <c r="N629" s="11"/>
      <c r="O629" s="5"/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22787986</v>
      </c>
      <c r="AG629" s="5" t="s">
        <v>45</v>
      </c>
      <c r="AH629" s="5" t="s">
        <v>46</v>
      </c>
    </row>
    <row r="630" spans="1:34" s="5" customFormat="1">
      <c r="A630" s="5" t="s">
        <v>154</v>
      </c>
      <c r="B630" s="5" t="s">
        <v>1539</v>
      </c>
      <c r="C630" s="5" t="s">
        <v>1540</v>
      </c>
      <c r="E630" s="5" t="s">
        <v>36</v>
      </c>
      <c r="F630" s="5" t="s">
        <v>37</v>
      </c>
      <c r="G630" s="5" t="s">
        <v>157</v>
      </c>
      <c r="H630" s="5" t="s">
        <v>1535</v>
      </c>
      <c r="I630" s="5" t="s">
        <v>1541</v>
      </c>
      <c r="J630" s="5" t="s">
        <v>41</v>
      </c>
      <c r="K630" s="5" t="s">
        <v>159</v>
      </c>
      <c r="L630" s="5" t="s">
        <v>824</v>
      </c>
      <c r="M630" s="5" t="s">
        <v>825</v>
      </c>
      <c r="N630" s="11"/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9750000</v>
      </c>
      <c r="AG630" s="5" t="s">
        <v>45</v>
      </c>
      <c r="AH630" s="5" t="s">
        <v>46</v>
      </c>
    </row>
    <row r="631" spans="1:34" s="5" customFormat="1">
      <c r="A631" s="5" t="s">
        <v>154</v>
      </c>
      <c r="B631" s="5" t="s">
        <v>347</v>
      </c>
      <c r="C631" s="5" t="s">
        <v>348</v>
      </c>
      <c r="E631" s="5" t="s">
        <v>36</v>
      </c>
      <c r="F631" s="5" t="s">
        <v>37</v>
      </c>
      <c r="G631" s="5" t="s">
        <v>157</v>
      </c>
      <c r="H631" s="5" t="s">
        <v>334</v>
      </c>
      <c r="I631" s="5" t="s">
        <v>349</v>
      </c>
      <c r="J631" s="5" t="s">
        <v>41</v>
      </c>
      <c r="K631" s="5" t="s">
        <v>159</v>
      </c>
      <c r="L631" s="5" t="s">
        <v>350</v>
      </c>
      <c r="M631" s="5" t="s">
        <v>351</v>
      </c>
      <c r="N631" s="11"/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1562237</v>
      </c>
      <c r="AG631" s="5" t="s">
        <v>45</v>
      </c>
      <c r="AH631" s="5" t="s">
        <v>46</v>
      </c>
    </row>
    <row r="632" spans="1:34" s="5" customFormat="1">
      <c r="A632" s="5" t="s">
        <v>154</v>
      </c>
      <c r="B632" s="5" t="s">
        <v>499</v>
      </c>
      <c r="C632" s="5" t="s">
        <v>500</v>
      </c>
      <c r="E632" s="5" t="s">
        <v>36</v>
      </c>
      <c r="F632" s="5" t="s">
        <v>37</v>
      </c>
      <c r="G632" s="5" t="s">
        <v>157</v>
      </c>
      <c r="H632" s="5" t="s">
        <v>491</v>
      </c>
      <c r="I632" s="5" t="s">
        <v>501</v>
      </c>
      <c r="J632" s="5" t="s">
        <v>41</v>
      </c>
      <c r="K632" s="5" t="s">
        <v>159</v>
      </c>
      <c r="L632" s="5" t="s">
        <v>350</v>
      </c>
      <c r="M632" s="5" t="s">
        <v>351</v>
      </c>
      <c r="N632" s="11"/>
      <c r="P632" s="11">
        <v>0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1562341</v>
      </c>
      <c r="AG632" s="5" t="s">
        <v>45</v>
      </c>
      <c r="AH632" s="5" t="s">
        <v>46</v>
      </c>
    </row>
    <row r="633" spans="1:34" s="5" customFormat="1">
      <c r="A633" s="5" t="s">
        <v>154</v>
      </c>
      <c r="B633" s="5" t="s">
        <v>768</v>
      </c>
      <c r="C633" s="5" t="s">
        <v>769</v>
      </c>
      <c r="E633" s="5" t="s">
        <v>36</v>
      </c>
      <c r="F633" s="5" t="s">
        <v>37</v>
      </c>
      <c r="G633" s="5" t="s">
        <v>157</v>
      </c>
      <c r="H633" s="5" t="s">
        <v>770</v>
      </c>
      <c r="I633" s="5" t="s">
        <v>771</v>
      </c>
      <c r="J633" s="5" t="s">
        <v>41</v>
      </c>
      <c r="K633" s="5" t="s">
        <v>159</v>
      </c>
      <c r="L633" s="5" t="s">
        <v>350</v>
      </c>
      <c r="M633" s="5" t="s">
        <v>351</v>
      </c>
      <c r="N633" s="11"/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1562341</v>
      </c>
      <c r="AG633" s="5" t="s">
        <v>45</v>
      </c>
      <c r="AH633" s="5" t="s">
        <v>46</v>
      </c>
    </row>
    <row r="634" spans="1:34" s="5" customFormat="1">
      <c r="A634" s="5" t="s">
        <v>154</v>
      </c>
      <c r="B634" s="5" t="s">
        <v>956</v>
      </c>
      <c r="C634" s="5" t="s">
        <v>957</v>
      </c>
      <c r="E634" s="5" t="s">
        <v>36</v>
      </c>
      <c r="F634" s="5" t="s">
        <v>37</v>
      </c>
      <c r="G634" s="5" t="s">
        <v>157</v>
      </c>
      <c r="H634" s="5" t="s">
        <v>903</v>
      </c>
      <c r="I634" s="5" t="s">
        <v>958</v>
      </c>
      <c r="J634" s="5" t="s">
        <v>41</v>
      </c>
      <c r="K634" s="5" t="s">
        <v>159</v>
      </c>
      <c r="L634" s="5" t="s">
        <v>350</v>
      </c>
      <c r="M634" s="5" t="s">
        <v>351</v>
      </c>
      <c r="N634" s="11"/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1562341</v>
      </c>
      <c r="AG634" s="5" t="s">
        <v>45</v>
      </c>
      <c r="AH634" s="5" t="s">
        <v>46</v>
      </c>
    </row>
    <row r="635" spans="1:34" s="5" customFormat="1">
      <c r="A635" s="5" t="s">
        <v>154</v>
      </c>
      <c r="B635" s="5" t="s">
        <v>959</v>
      </c>
      <c r="C635" s="5" t="s">
        <v>960</v>
      </c>
      <c r="E635" s="5" t="s">
        <v>36</v>
      </c>
      <c r="F635" s="5" t="s">
        <v>37</v>
      </c>
      <c r="G635" s="5" t="s">
        <v>157</v>
      </c>
      <c r="H635" s="5" t="s">
        <v>903</v>
      </c>
      <c r="I635" s="5" t="s">
        <v>961</v>
      </c>
      <c r="J635" s="5" t="s">
        <v>41</v>
      </c>
      <c r="K635" s="5" t="s">
        <v>159</v>
      </c>
      <c r="L635" s="5" t="s">
        <v>350</v>
      </c>
      <c r="M635" s="5" t="s">
        <v>351</v>
      </c>
      <c r="N635" s="11"/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1562341</v>
      </c>
      <c r="AG635" s="5" t="s">
        <v>45</v>
      </c>
      <c r="AH635" s="5" t="s">
        <v>46</v>
      </c>
    </row>
    <row r="636" spans="1:34" s="5" customFormat="1">
      <c r="A636" s="5" t="s">
        <v>154</v>
      </c>
      <c r="B636" s="5" t="s">
        <v>962</v>
      </c>
      <c r="C636" s="5" t="s">
        <v>963</v>
      </c>
      <c r="E636" s="5" t="s">
        <v>36</v>
      </c>
      <c r="F636" s="5" t="s">
        <v>37</v>
      </c>
      <c r="G636" s="5" t="s">
        <v>157</v>
      </c>
      <c r="H636" s="5" t="s">
        <v>903</v>
      </c>
      <c r="I636" s="5" t="s">
        <v>964</v>
      </c>
      <c r="J636" s="5" t="s">
        <v>41</v>
      </c>
      <c r="K636" s="5" t="s">
        <v>159</v>
      </c>
      <c r="L636" s="5" t="s">
        <v>350</v>
      </c>
      <c r="M636" s="5" t="s">
        <v>351</v>
      </c>
      <c r="N636" s="11"/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1562341</v>
      </c>
      <c r="AG636" s="5" t="s">
        <v>45</v>
      </c>
      <c r="AH636" s="5" t="s">
        <v>46</v>
      </c>
    </row>
    <row r="637" spans="1:34" s="5" customFormat="1">
      <c r="A637" s="5" t="s">
        <v>154</v>
      </c>
      <c r="B637" s="5" t="s">
        <v>965</v>
      </c>
      <c r="C637" s="5" t="s">
        <v>966</v>
      </c>
      <c r="E637" s="5" t="s">
        <v>36</v>
      </c>
      <c r="F637" s="5" t="s">
        <v>37</v>
      </c>
      <c r="G637" s="5" t="s">
        <v>157</v>
      </c>
      <c r="H637" s="5" t="s">
        <v>903</v>
      </c>
      <c r="I637" s="5" t="s">
        <v>967</v>
      </c>
      <c r="J637" s="5" t="s">
        <v>41</v>
      </c>
      <c r="K637" s="5" t="s">
        <v>159</v>
      </c>
      <c r="L637" s="5" t="s">
        <v>350</v>
      </c>
      <c r="M637" s="5" t="s">
        <v>351</v>
      </c>
      <c r="N637" s="11"/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1562341</v>
      </c>
      <c r="AG637" s="5" t="s">
        <v>45</v>
      </c>
      <c r="AH637" s="5" t="s">
        <v>46</v>
      </c>
    </row>
    <row r="638" spans="1:34" s="5" customFormat="1">
      <c r="A638" s="5" t="s">
        <v>154</v>
      </c>
      <c r="B638" s="5" t="s">
        <v>1571</v>
      </c>
      <c r="C638" s="5" t="s">
        <v>1572</v>
      </c>
      <c r="E638" s="5" t="s">
        <v>36</v>
      </c>
      <c r="F638" s="5" t="s">
        <v>37</v>
      </c>
      <c r="G638" s="5" t="s">
        <v>157</v>
      </c>
      <c r="H638" s="5" t="s">
        <v>1535</v>
      </c>
      <c r="I638" s="5" t="s">
        <v>1573</v>
      </c>
      <c r="J638" s="5" t="s">
        <v>41</v>
      </c>
      <c r="K638" s="5" t="s">
        <v>159</v>
      </c>
      <c r="L638" s="5" t="s">
        <v>350</v>
      </c>
      <c r="M638" s="5" t="s">
        <v>351</v>
      </c>
      <c r="N638" s="11"/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6249364</v>
      </c>
      <c r="AG638" s="5" t="s">
        <v>45</v>
      </c>
      <c r="AH638" s="5" t="s">
        <v>46</v>
      </c>
    </row>
    <row r="639" spans="1:34" s="5" customFormat="1">
      <c r="A639" s="5" t="s">
        <v>154</v>
      </c>
      <c r="B639" s="5" t="s">
        <v>763</v>
      </c>
      <c r="C639" s="5" t="s">
        <v>764</v>
      </c>
      <c r="E639" s="5" t="s">
        <v>36</v>
      </c>
      <c r="F639" s="5" t="s">
        <v>37</v>
      </c>
      <c r="G639" s="5" t="s">
        <v>157</v>
      </c>
      <c r="H639" s="5" t="s">
        <v>759</v>
      </c>
      <c r="I639" s="5" t="s">
        <v>765</v>
      </c>
      <c r="J639" s="5" t="s">
        <v>41</v>
      </c>
      <c r="K639" s="5" t="s">
        <v>159</v>
      </c>
      <c r="L639" s="5" t="s">
        <v>766</v>
      </c>
      <c r="M639" s="5" t="s">
        <v>767</v>
      </c>
      <c r="N639" s="11"/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2250000</v>
      </c>
      <c r="AG639" s="5" t="s">
        <v>45</v>
      </c>
      <c r="AH639" s="5" t="s">
        <v>46</v>
      </c>
    </row>
    <row r="640" spans="1:34" s="5" customFormat="1">
      <c r="A640" s="5" t="s">
        <v>154</v>
      </c>
      <c r="B640" s="5" t="s">
        <v>172</v>
      </c>
      <c r="C640" s="5" t="s">
        <v>173</v>
      </c>
      <c r="E640" s="5" t="s">
        <v>36</v>
      </c>
      <c r="F640" s="5" t="s">
        <v>37</v>
      </c>
      <c r="G640" s="5" t="s">
        <v>157</v>
      </c>
      <c r="H640" s="5" t="s">
        <v>145</v>
      </c>
      <c r="I640" s="5" t="s">
        <v>174</v>
      </c>
      <c r="J640" s="5" t="s">
        <v>41</v>
      </c>
      <c r="K640" s="5" t="s">
        <v>159</v>
      </c>
      <c r="L640" s="5" t="s">
        <v>175</v>
      </c>
      <c r="M640" s="5" t="s">
        <v>176</v>
      </c>
      <c r="N640" s="11"/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1600000</v>
      </c>
      <c r="AG640" s="5" t="s">
        <v>45</v>
      </c>
      <c r="AH640" s="5" t="s">
        <v>46</v>
      </c>
    </row>
    <row r="641" spans="1:34" s="5" customFormat="1">
      <c r="A641" s="5" t="s">
        <v>154</v>
      </c>
      <c r="B641" s="5" t="s">
        <v>505</v>
      </c>
      <c r="C641" s="5" t="s">
        <v>506</v>
      </c>
      <c r="E641" s="5" t="s">
        <v>36</v>
      </c>
      <c r="F641" s="5" t="s">
        <v>37</v>
      </c>
      <c r="G641" s="5" t="s">
        <v>157</v>
      </c>
      <c r="H641" s="5" t="s">
        <v>491</v>
      </c>
      <c r="I641" s="5" t="s">
        <v>507</v>
      </c>
      <c r="J641" s="5" t="s">
        <v>41</v>
      </c>
      <c r="K641" s="5" t="s">
        <v>159</v>
      </c>
      <c r="L641" s="5" t="s">
        <v>175</v>
      </c>
      <c r="M641" s="5" t="s">
        <v>176</v>
      </c>
      <c r="N641" s="11"/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1600000</v>
      </c>
      <c r="AG641" s="5" t="s">
        <v>45</v>
      </c>
      <c r="AH641" s="5" t="s">
        <v>46</v>
      </c>
    </row>
    <row r="642" spans="1:34" s="5" customFormat="1">
      <c r="A642" s="5" t="s">
        <v>154</v>
      </c>
      <c r="B642" s="5" t="s">
        <v>1016</v>
      </c>
      <c r="C642" s="5" t="s">
        <v>1017</v>
      </c>
      <c r="E642" s="5" t="s">
        <v>36</v>
      </c>
      <c r="F642" s="5" t="s">
        <v>37</v>
      </c>
      <c r="G642" s="5" t="s">
        <v>157</v>
      </c>
      <c r="H642" s="5" t="s">
        <v>903</v>
      </c>
      <c r="I642" s="5" t="s">
        <v>1018</v>
      </c>
      <c r="J642" s="5" t="s">
        <v>41</v>
      </c>
      <c r="K642" s="5" t="s">
        <v>159</v>
      </c>
      <c r="L642" s="5" t="s">
        <v>175</v>
      </c>
      <c r="M642" s="5" t="s">
        <v>176</v>
      </c>
      <c r="N642" s="11"/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2520000</v>
      </c>
      <c r="AG642" s="5" t="s">
        <v>45</v>
      </c>
      <c r="AH642" s="5" t="s">
        <v>46</v>
      </c>
    </row>
    <row r="643" spans="1:34" s="5" customFormat="1">
      <c r="A643" s="5" t="s">
        <v>154</v>
      </c>
      <c r="B643" s="5" t="s">
        <v>798</v>
      </c>
      <c r="C643" s="5" t="s">
        <v>799</v>
      </c>
      <c r="E643" s="5" t="s">
        <v>36</v>
      </c>
      <c r="F643" s="5" t="s">
        <v>37</v>
      </c>
      <c r="G643" s="5" t="s">
        <v>157</v>
      </c>
      <c r="H643" s="5" t="s">
        <v>770</v>
      </c>
      <c r="I643" s="5" t="s">
        <v>800</v>
      </c>
      <c r="J643" s="5" t="s">
        <v>41</v>
      </c>
      <c r="K643" s="5" t="s">
        <v>159</v>
      </c>
      <c r="L643" s="5" t="s">
        <v>801</v>
      </c>
      <c r="M643" s="5" t="s">
        <v>802</v>
      </c>
      <c r="N643" s="11"/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9605900</v>
      </c>
      <c r="AG643" s="5" t="s">
        <v>45</v>
      </c>
      <c r="AH643" s="5" t="s">
        <v>46</v>
      </c>
    </row>
    <row r="644" spans="1:34" s="5" customFormat="1">
      <c r="A644" s="5" t="s">
        <v>154</v>
      </c>
      <c r="B644" s="5" t="s">
        <v>1553</v>
      </c>
      <c r="C644" s="5" t="s">
        <v>1554</v>
      </c>
      <c r="E644" s="5" t="s">
        <v>36</v>
      </c>
      <c r="F644" s="5" t="s">
        <v>37</v>
      </c>
      <c r="G644" s="5" t="s">
        <v>157</v>
      </c>
      <c r="H644" s="5" t="s">
        <v>1535</v>
      </c>
      <c r="I644" s="5" t="s">
        <v>1555</v>
      </c>
      <c r="J644" s="5" t="s">
        <v>41</v>
      </c>
      <c r="K644" s="5" t="s">
        <v>159</v>
      </c>
      <c r="L644" s="5" t="s">
        <v>801</v>
      </c>
      <c r="M644" s="5" t="s">
        <v>802</v>
      </c>
      <c r="N644" s="11"/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4687500</v>
      </c>
      <c r="AG644" s="5" t="s">
        <v>45</v>
      </c>
      <c r="AH644" s="5" t="s">
        <v>46</v>
      </c>
    </row>
    <row r="645" spans="1:34" s="5" customFormat="1">
      <c r="A645" s="5" t="s">
        <v>154</v>
      </c>
      <c r="B645" s="5" t="s">
        <v>1545</v>
      </c>
      <c r="C645" s="5" t="s">
        <v>1546</v>
      </c>
      <c r="E645" s="5" t="s">
        <v>36</v>
      </c>
      <c r="F645" s="5" t="s">
        <v>37</v>
      </c>
      <c r="G645" s="5" t="s">
        <v>157</v>
      </c>
      <c r="H645" s="5" t="s">
        <v>1535</v>
      </c>
      <c r="I645" s="5" t="s">
        <v>1547</v>
      </c>
      <c r="J645" s="5" t="s">
        <v>41</v>
      </c>
      <c r="K645" s="5" t="s">
        <v>159</v>
      </c>
      <c r="L645" s="5" t="s">
        <v>1548</v>
      </c>
      <c r="M645" s="5" t="s">
        <v>1549</v>
      </c>
      <c r="N645" s="11"/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241735</v>
      </c>
      <c r="AG645" s="5" t="s">
        <v>45</v>
      </c>
      <c r="AH645" s="5" t="s">
        <v>46</v>
      </c>
    </row>
    <row r="646" spans="1:34" s="5" customFormat="1">
      <c r="A646" s="5" t="s">
        <v>154</v>
      </c>
      <c r="B646" s="5" t="s">
        <v>472</v>
      </c>
      <c r="C646" s="5" t="s">
        <v>473</v>
      </c>
      <c r="E646" s="5" t="s">
        <v>36</v>
      </c>
      <c r="F646" s="5" t="s">
        <v>37</v>
      </c>
      <c r="G646" s="5" t="s">
        <v>157</v>
      </c>
      <c r="H646" s="5" t="s">
        <v>321</v>
      </c>
      <c r="I646" s="5" t="s">
        <v>474</v>
      </c>
      <c r="J646" s="5" t="s">
        <v>41</v>
      </c>
      <c r="K646" s="5" t="s">
        <v>159</v>
      </c>
      <c r="L646" s="5" t="s">
        <v>475</v>
      </c>
      <c r="M646" s="5" t="s">
        <v>476</v>
      </c>
      <c r="N646" s="11"/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1459072</v>
      </c>
      <c r="AG646" s="5" t="s">
        <v>45</v>
      </c>
      <c r="AH646" s="5" t="s">
        <v>46</v>
      </c>
    </row>
    <row r="647" spans="1:34" s="5" customFormat="1">
      <c r="A647" s="5" t="s">
        <v>154</v>
      </c>
      <c r="B647" s="5" t="s">
        <v>665</v>
      </c>
      <c r="C647" s="5" t="s">
        <v>666</v>
      </c>
      <c r="E647" s="5" t="s">
        <v>36</v>
      </c>
      <c r="F647" s="5" t="s">
        <v>37</v>
      </c>
      <c r="G647" s="5" t="s">
        <v>157</v>
      </c>
      <c r="H647" s="5" t="s">
        <v>667</v>
      </c>
      <c r="I647" s="5" t="s">
        <v>668</v>
      </c>
      <c r="J647" s="5" t="s">
        <v>41</v>
      </c>
      <c r="K647" s="5" t="s">
        <v>159</v>
      </c>
      <c r="L647" s="5" t="s">
        <v>475</v>
      </c>
      <c r="M647" s="5" t="s">
        <v>476</v>
      </c>
      <c r="N647" s="11"/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1541968.91</v>
      </c>
      <c r="AG647" s="5" t="s">
        <v>45</v>
      </c>
      <c r="AH647" s="5" t="s">
        <v>46</v>
      </c>
    </row>
    <row r="648" spans="1:34" s="5" customFormat="1">
      <c r="A648" s="5" t="s">
        <v>154</v>
      </c>
      <c r="B648" s="5" t="s">
        <v>856</v>
      </c>
      <c r="C648" s="5" t="s">
        <v>857</v>
      </c>
      <c r="E648" s="5" t="s">
        <v>36</v>
      </c>
      <c r="F648" s="5" t="s">
        <v>37</v>
      </c>
      <c r="G648" s="5" t="s">
        <v>157</v>
      </c>
      <c r="H648" s="5" t="s">
        <v>854</v>
      </c>
      <c r="I648" s="5" t="s">
        <v>858</v>
      </c>
      <c r="J648" s="5" t="s">
        <v>41</v>
      </c>
      <c r="K648" s="5" t="s">
        <v>159</v>
      </c>
      <c r="L648" s="5" t="s">
        <v>475</v>
      </c>
      <c r="M648" s="5" t="s">
        <v>476</v>
      </c>
      <c r="N648" s="11"/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10487046</v>
      </c>
      <c r="AG648" s="5" t="s">
        <v>45</v>
      </c>
      <c r="AH648" s="5" t="s">
        <v>46</v>
      </c>
    </row>
    <row r="649" spans="1:34" s="5" customFormat="1">
      <c r="A649" s="5" t="s">
        <v>154</v>
      </c>
      <c r="B649" s="5" t="s">
        <v>811</v>
      </c>
      <c r="C649" s="5" t="s">
        <v>812</v>
      </c>
      <c r="E649" s="5" t="s">
        <v>36</v>
      </c>
      <c r="F649" s="5" t="s">
        <v>37</v>
      </c>
      <c r="G649" s="5" t="s">
        <v>157</v>
      </c>
      <c r="H649" s="5" t="s">
        <v>809</v>
      </c>
      <c r="I649" s="5" t="s">
        <v>813</v>
      </c>
      <c r="J649" s="5" t="s">
        <v>41</v>
      </c>
      <c r="K649" s="5" t="s">
        <v>159</v>
      </c>
      <c r="L649" s="5" t="s">
        <v>814</v>
      </c>
      <c r="M649" s="5" t="s">
        <v>815</v>
      </c>
      <c r="N649" s="11"/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1836500</v>
      </c>
      <c r="AG649" s="5" t="s">
        <v>45</v>
      </c>
      <c r="AH649" s="5" t="s">
        <v>46</v>
      </c>
    </row>
    <row r="650" spans="1:34" s="5" customFormat="1">
      <c r="A650" s="5" t="s">
        <v>154</v>
      </c>
      <c r="B650" s="5" t="s">
        <v>757</v>
      </c>
      <c r="C650" s="5" t="s">
        <v>758</v>
      </c>
      <c r="E650" s="5" t="s">
        <v>36</v>
      </c>
      <c r="F650" s="5" t="s">
        <v>37</v>
      </c>
      <c r="G650" s="5" t="s">
        <v>157</v>
      </c>
      <c r="H650" s="5" t="s">
        <v>759</v>
      </c>
      <c r="I650" s="5" t="s">
        <v>760</v>
      </c>
      <c r="J650" s="5" t="s">
        <v>41</v>
      </c>
      <c r="K650" s="5" t="s">
        <v>159</v>
      </c>
      <c r="L650" s="5" t="s">
        <v>761</v>
      </c>
      <c r="M650" s="5" t="s">
        <v>762</v>
      </c>
      <c r="N650" s="11"/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6147163</v>
      </c>
      <c r="AG650" s="5" t="s">
        <v>45</v>
      </c>
      <c r="AH650" s="5" t="s">
        <v>46</v>
      </c>
    </row>
    <row r="651" spans="1:34" s="5" customFormat="1">
      <c r="A651" s="5" t="s">
        <v>154</v>
      </c>
      <c r="B651" s="5" t="s">
        <v>167</v>
      </c>
      <c r="C651" s="5" t="s">
        <v>168</v>
      </c>
      <c r="E651" s="5" t="s">
        <v>36</v>
      </c>
      <c r="F651" s="5" t="s">
        <v>37</v>
      </c>
      <c r="G651" s="5" t="s">
        <v>157</v>
      </c>
      <c r="H651" s="5" t="s">
        <v>145</v>
      </c>
      <c r="I651" s="5" t="s">
        <v>169</v>
      </c>
      <c r="J651" s="5" t="s">
        <v>41</v>
      </c>
      <c r="K651" s="5" t="s">
        <v>159</v>
      </c>
      <c r="L651" s="5" t="s">
        <v>170</v>
      </c>
      <c r="M651" s="5" t="s">
        <v>171</v>
      </c>
      <c r="N651" s="11"/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2291667</v>
      </c>
      <c r="AG651" s="5" t="s">
        <v>45</v>
      </c>
      <c r="AH651" s="5" t="s">
        <v>46</v>
      </c>
    </row>
    <row r="652" spans="1:34" s="5" customFormat="1">
      <c r="A652" s="5" t="s">
        <v>154</v>
      </c>
      <c r="B652" s="5" t="s">
        <v>344</v>
      </c>
      <c r="C652" s="5" t="s">
        <v>345</v>
      </c>
      <c r="E652" s="5" t="s">
        <v>36</v>
      </c>
      <c r="F652" s="5" t="s">
        <v>37</v>
      </c>
      <c r="G652" s="5" t="s">
        <v>157</v>
      </c>
      <c r="H652" s="5" t="s">
        <v>334</v>
      </c>
      <c r="I652" s="5" t="s">
        <v>346</v>
      </c>
      <c r="J652" s="5" t="s">
        <v>41</v>
      </c>
      <c r="K652" s="5" t="s">
        <v>159</v>
      </c>
      <c r="L652" s="5" t="s">
        <v>170</v>
      </c>
      <c r="M652" s="5" t="s">
        <v>171</v>
      </c>
      <c r="N652" s="11"/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2083334</v>
      </c>
      <c r="AG652" s="5" t="s">
        <v>45</v>
      </c>
      <c r="AH652" s="5" t="s">
        <v>46</v>
      </c>
    </row>
    <row r="653" spans="1:34" s="5" customFormat="1">
      <c r="A653" s="5" t="s">
        <v>154</v>
      </c>
      <c r="B653" s="5" t="s">
        <v>502</v>
      </c>
      <c r="C653" s="5" t="s">
        <v>503</v>
      </c>
      <c r="E653" s="5" t="s">
        <v>36</v>
      </c>
      <c r="F653" s="5" t="s">
        <v>37</v>
      </c>
      <c r="G653" s="5" t="s">
        <v>157</v>
      </c>
      <c r="H653" s="5" t="s">
        <v>491</v>
      </c>
      <c r="I653" s="5" t="s">
        <v>504</v>
      </c>
      <c r="J653" s="5" t="s">
        <v>41</v>
      </c>
      <c r="K653" s="5" t="s">
        <v>159</v>
      </c>
      <c r="L653" s="5" t="s">
        <v>170</v>
      </c>
      <c r="M653" s="5" t="s">
        <v>171</v>
      </c>
      <c r="N653" s="11"/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2083334</v>
      </c>
      <c r="AG653" s="5" t="s">
        <v>45</v>
      </c>
      <c r="AH653" s="5" t="s">
        <v>46</v>
      </c>
    </row>
    <row r="654" spans="1:34" s="5" customFormat="1">
      <c r="A654" s="5" t="s">
        <v>154</v>
      </c>
      <c r="B654" s="5" t="s">
        <v>781</v>
      </c>
      <c r="C654" s="5" t="s">
        <v>782</v>
      </c>
      <c r="E654" s="5" t="s">
        <v>36</v>
      </c>
      <c r="F654" s="5" t="s">
        <v>37</v>
      </c>
      <c r="G654" s="5" t="s">
        <v>157</v>
      </c>
      <c r="H654" s="5" t="s">
        <v>770</v>
      </c>
      <c r="I654" s="5" t="s">
        <v>783</v>
      </c>
      <c r="J654" s="5" t="s">
        <v>41</v>
      </c>
      <c r="K654" s="5" t="s">
        <v>159</v>
      </c>
      <c r="L654" s="5" t="s">
        <v>170</v>
      </c>
      <c r="M654" s="5" t="s">
        <v>171</v>
      </c>
      <c r="N654" s="11"/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2291667</v>
      </c>
      <c r="AG654" s="5" t="s">
        <v>45</v>
      </c>
      <c r="AH654" s="5" t="s">
        <v>46</v>
      </c>
    </row>
    <row r="655" spans="1:34" s="5" customFormat="1">
      <c r="A655" s="5" t="s">
        <v>154</v>
      </c>
      <c r="B655" s="5" t="s">
        <v>1004</v>
      </c>
      <c r="C655" s="5" t="s">
        <v>1005</v>
      </c>
      <c r="E655" s="5" t="s">
        <v>36</v>
      </c>
      <c r="F655" s="5" t="s">
        <v>37</v>
      </c>
      <c r="G655" s="5" t="s">
        <v>157</v>
      </c>
      <c r="H655" s="5" t="s">
        <v>903</v>
      </c>
      <c r="I655" s="5" t="s">
        <v>1006</v>
      </c>
      <c r="J655" s="5" t="s">
        <v>41</v>
      </c>
      <c r="K655" s="5" t="s">
        <v>159</v>
      </c>
      <c r="L655" s="5" t="s">
        <v>170</v>
      </c>
      <c r="M655" s="5" t="s">
        <v>171</v>
      </c>
      <c r="N655" s="11"/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2291667</v>
      </c>
      <c r="AG655" s="5" t="s">
        <v>45</v>
      </c>
      <c r="AH655" s="5" t="s">
        <v>46</v>
      </c>
    </row>
    <row r="656" spans="1:34" s="5" customFormat="1">
      <c r="A656" s="5" t="s">
        <v>154</v>
      </c>
      <c r="B656" s="5" t="s">
        <v>1007</v>
      </c>
      <c r="C656" s="5" t="s">
        <v>1008</v>
      </c>
      <c r="E656" s="5" t="s">
        <v>36</v>
      </c>
      <c r="F656" s="5" t="s">
        <v>37</v>
      </c>
      <c r="G656" s="5" t="s">
        <v>157</v>
      </c>
      <c r="H656" s="5" t="s">
        <v>903</v>
      </c>
      <c r="I656" s="5" t="s">
        <v>1009</v>
      </c>
      <c r="J656" s="5" t="s">
        <v>41</v>
      </c>
      <c r="K656" s="5" t="s">
        <v>159</v>
      </c>
      <c r="L656" s="5" t="s">
        <v>170</v>
      </c>
      <c r="M656" s="5" t="s">
        <v>171</v>
      </c>
      <c r="N656" s="11"/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2291667</v>
      </c>
      <c r="AG656" s="5" t="s">
        <v>45</v>
      </c>
      <c r="AH656" s="5" t="s">
        <v>46</v>
      </c>
    </row>
    <row r="657" spans="1:34" s="5" customFormat="1">
      <c r="A657" s="5" t="s">
        <v>154</v>
      </c>
      <c r="B657" s="5" t="s">
        <v>1010</v>
      </c>
      <c r="C657" s="5" t="s">
        <v>1011</v>
      </c>
      <c r="E657" s="5" t="s">
        <v>36</v>
      </c>
      <c r="F657" s="5" t="s">
        <v>37</v>
      </c>
      <c r="G657" s="5" t="s">
        <v>157</v>
      </c>
      <c r="H657" s="5" t="s">
        <v>903</v>
      </c>
      <c r="I657" s="5" t="s">
        <v>1012</v>
      </c>
      <c r="J657" s="5" t="s">
        <v>41</v>
      </c>
      <c r="K657" s="5" t="s">
        <v>159</v>
      </c>
      <c r="L657" s="5" t="s">
        <v>170</v>
      </c>
      <c r="M657" s="5" t="s">
        <v>171</v>
      </c>
      <c r="N657" s="11"/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2291667</v>
      </c>
      <c r="AG657" s="5" t="s">
        <v>45</v>
      </c>
      <c r="AH657" s="5" t="s">
        <v>46</v>
      </c>
    </row>
    <row r="658" spans="1:34" s="5" customFormat="1">
      <c r="A658" s="5" t="s">
        <v>154</v>
      </c>
      <c r="B658" s="5" t="s">
        <v>1013</v>
      </c>
      <c r="C658" s="5" t="s">
        <v>1014</v>
      </c>
      <c r="E658" s="5" t="s">
        <v>36</v>
      </c>
      <c r="F658" s="5" t="s">
        <v>37</v>
      </c>
      <c r="G658" s="5" t="s">
        <v>157</v>
      </c>
      <c r="H658" s="5" t="s">
        <v>903</v>
      </c>
      <c r="I658" s="5" t="s">
        <v>1015</v>
      </c>
      <c r="J658" s="5" t="s">
        <v>41</v>
      </c>
      <c r="K658" s="5" t="s">
        <v>159</v>
      </c>
      <c r="L658" s="5" t="s">
        <v>170</v>
      </c>
      <c r="M658" s="5" t="s">
        <v>171</v>
      </c>
      <c r="N658" s="11"/>
      <c r="P658" s="11">
        <v>0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2291667</v>
      </c>
      <c r="AG658" s="5" t="s">
        <v>45</v>
      </c>
      <c r="AH658" s="5" t="s">
        <v>46</v>
      </c>
    </row>
    <row r="659" spans="1:34" s="5" customFormat="1">
      <c r="A659" s="5" t="s">
        <v>154</v>
      </c>
      <c r="B659" s="5" t="s">
        <v>1542</v>
      </c>
      <c r="C659" s="5" t="s">
        <v>1543</v>
      </c>
      <c r="E659" s="5" t="s">
        <v>36</v>
      </c>
      <c r="F659" s="5" t="s">
        <v>37</v>
      </c>
      <c r="G659" s="5" t="s">
        <v>157</v>
      </c>
      <c r="H659" s="5" t="s">
        <v>1535</v>
      </c>
      <c r="I659" s="5" t="s">
        <v>1544</v>
      </c>
      <c r="J659" s="5" t="s">
        <v>41</v>
      </c>
      <c r="K659" s="5" t="s">
        <v>159</v>
      </c>
      <c r="L659" s="5" t="s">
        <v>170</v>
      </c>
      <c r="M659" s="5" t="s">
        <v>171</v>
      </c>
      <c r="N659" s="11"/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8958333</v>
      </c>
      <c r="AG659" s="5" t="s">
        <v>45</v>
      </c>
      <c r="AH659" s="5" t="s">
        <v>46</v>
      </c>
    </row>
    <row r="660" spans="1:34" s="5" customFormat="1">
      <c r="A660" s="5" t="s">
        <v>154</v>
      </c>
      <c r="B660" s="5" t="s">
        <v>803</v>
      </c>
      <c r="C660" s="5" t="s">
        <v>804</v>
      </c>
      <c r="E660" s="5" t="s">
        <v>36</v>
      </c>
      <c r="F660" s="5" t="s">
        <v>37</v>
      </c>
      <c r="G660" s="5" t="s">
        <v>157</v>
      </c>
      <c r="H660" s="5" t="s">
        <v>770</v>
      </c>
      <c r="I660" s="5" t="s">
        <v>805</v>
      </c>
      <c r="J660" s="5" t="s">
        <v>41</v>
      </c>
      <c r="K660" s="5" t="s">
        <v>159</v>
      </c>
      <c r="L660" s="5" t="s">
        <v>141</v>
      </c>
      <c r="M660" s="5" t="s">
        <v>806</v>
      </c>
      <c r="N660" s="11"/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1470450</v>
      </c>
      <c r="AG660" s="5" t="s">
        <v>45</v>
      </c>
      <c r="AH660" s="5" t="s">
        <v>46</v>
      </c>
    </row>
    <row r="661" spans="1:34" s="5" customFormat="1">
      <c r="A661" s="5" t="s">
        <v>154</v>
      </c>
      <c r="B661" s="5" t="s">
        <v>826</v>
      </c>
      <c r="C661" s="5" t="s">
        <v>827</v>
      </c>
      <c r="E661" s="5" t="s">
        <v>36</v>
      </c>
      <c r="F661" s="5" t="s">
        <v>37</v>
      </c>
      <c r="G661" s="5" t="s">
        <v>157</v>
      </c>
      <c r="H661" s="5" t="s">
        <v>809</v>
      </c>
      <c r="I661" s="5" t="s">
        <v>828</v>
      </c>
      <c r="J661" s="5" t="s">
        <v>41</v>
      </c>
      <c r="K661" s="5" t="s">
        <v>159</v>
      </c>
      <c r="L661" s="5" t="s">
        <v>829</v>
      </c>
      <c r="M661" s="5" t="s">
        <v>830</v>
      </c>
      <c r="N661" s="11"/>
      <c r="P661" s="11">
        <v>0</v>
      </c>
      <c r="Q661" s="11">
        <v>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21352690</v>
      </c>
      <c r="AG661" s="5" t="s">
        <v>45</v>
      </c>
      <c r="AH661" s="5" t="s">
        <v>46</v>
      </c>
    </row>
    <row r="662" spans="1:34" s="5" customFormat="1">
      <c r="A662" s="5" t="s">
        <v>154</v>
      </c>
      <c r="B662" s="5" t="s">
        <v>1568</v>
      </c>
      <c r="C662" s="5" t="s">
        <v>1569</v>
      </c>
      <c r="E662" s="5" t="s">
        <v>36</v>
      </c>
      <c r="F662" s="5" t="s">
        <v>37</v>
      </c>
      <c r="G662" s="5" t="s">
        <v>157</v>
      </c>
      <c r="H662" s="5" t="s">
        <v>1535</v>
      </c>
      <c r="I662" s="5" t="s">
        <v>1570</v>
      </c>
      <c r="J662" s="5" t="s">
        <v>41</v>
      </c>
      <c r="K662" s="5" t="s">
        <v>159</v>
      </c>
      <c r="L662" s="5" t="s">
        <v>829</v>
      </c>
      <c r="M662" s="5" t="s">
        <v>830</v>
      </c>
      <c r="N662" s="11"/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8888889</v>
      </c>
      <c r="AG662" s="5" t="s">
        <v>45</v>
      </c>
      <c r="AH662" s="5" t="s">
        <v>46</v>
      </c>
    </row>
    <row r="663" spans="1:34" s="5" customFormat="1">
      <c r="A663" s="5" t="s">
        <v>154</v>
      </c>
      <c r="B663" s="5" t="s">
        <v>155</v>
      </c>
      <c r="C663" s="5" t="s">
        <v>156</v>
      </c>
      <c r="E663" s="5" t="s">
        <v>36</v>
      </c>
      <c r="F663" s="5" t="s">
        <v>37</v>
      </c>
      <c r="G663" s="5" t="s">
        <v>157</v>
      </c>
      <c r="H663" s="5" t="s">
        <v>145</v>
      </c>
      <c r="I663" s="5" t="s">
        <v>158</v>
      </c>
      <c r="J663" s="5" t="s">
        <v>41</v>
      </c>
      <c r="K663" s="5" t="s">
        <v>159</v>
      </c>
      <c r="L663" s="5" t="s">
        <v>124</v>
      </c>
      <c r="M663" s="5" t="s">
        <v>125</v>
      </c>
      <c r="N663" s="11"/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2500000</v>
      </c>
      <c r="AG663" s="5" t="s">
        <v>45</v>
      </c>
      <c r="AH663" s="5" t="s">
        <v>46</v>
      </c>
    </row>
    <row r="664" spans="1:34" s="5" customFormat="1">
      <c r="A664" s="5" t="s">
        <v>154</v>
      </c>
      <c r="B664" s="5" t="s">
        <v>337</v>
      </c>
      <c r="C664" s="5" t="s">
        <v>338</v>
      </c>
      <c r="E664" s="5" t="s">
        <v>36</v>
      </c>
      <c r="F664" s="5" t="s">
        <v>37</v>
      </c>
      <c r="G664" s="5" t="s">
        <v>157</v>
      </c>
      <c r="H664" s="5" t="s">
        <v>334</v>
      </c>
      <c r="I664" s="5" t="s">
        <v>339</v>
      </c>
      <c r="J664" s="5" t="s">
        <v>41</v>
      </c>
      <c r="K664" s="5" t="s">
        <v>159</v>
      </c>
      <c r="L664" s="5" t="s">
        <v>124</v>
      </c>
      <c r="M664" s="5" t="s">
        <v>125</v>
      </c>
      <c r="N664" s="11"/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632000</v>
      </c>
      <c r="AG664" s="5" t="s">
        <v>45</v>
      </c>
      <c r="AH664" s="5" t="s">
        <v>46</v>
      </c>
    </row>
    <row r="665" spans="1:34" s="5" customFormat="1">
      <c r="A665" s="5" t="s">
        <v>154</v>
      </c>
      <c r="B665" s="5" t="s">
        <v>352</v>
      </c>
      <c r="C665" s="5" t="s">
        <v>353</v>
      </c>
      <c r="E665" s="5" t="s">
        <v>36</v>
      </c>
      <c r="F665" s="5" t="s">
        <v>37</v>
      </c>
      <c r="G665" s="5" t="s">
        <v>157</v>
      </c>
      <c r="H665" s="5" t="s">
        <v>334</v>
      </c>
      <c r="I665" s="5" t="s">
        <v>354</v>
      </c>
      <c r="J665" s="5" t="s">
        <v>41</v>
      </c>
      <c r="K665" s="5" t="s">
        <v>159</v>
      </c>
      <c r="L665" s="5" t="s">
        <v>124</v>
      </c>
      <c r="M665" s="5" t="s">
        <v>125</v>
      </c>
      <c r="N665" s="11"/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2500000</v>
      </c>
      <c r="AG665" s="5" t="s">
        <v>45</v>
      </c>
      <c r="AH665" s="5" t="s">
        <v>46</v>
      </c>
    </row>
    <row r="666" spans="1:34" s="5" customFormat="1">
      <c r="A666" s="5" t="s">
        <v>154</v>
      </c>
      <c r="B666" s="5" t="s">
        <v>407</v>
      </c>
      <c r="C666" s="5" t="s">
        <v>408</v>
      </c>
      <c r="E666" s="5" t="s">
        <v>36</v>
      </c>
      <c r="F666" s="5" t="s">
        <v>37</v>
      </c>
      <c r="G666" s="5" t="s">
        <v>157</v>
      </c>
      <c r="H666" s="5" t="s">
        <v>388</v>
      </c>
      <c r="I666" s="5" t="s">
        <v>409</v>
      </c>
      <c r="J666" s="5" t="s">
        <v>41</v>
      </c>
      <c r="K666" s="5" t="s">
        <v>159</v>
      </c>
      <c r="L666" s="5" t="s">
        <v>124</v>
      </c>
      <c r="M666" s="5" t="s">
        <v>125</v>
      </c>
      <c r="N666" s="11"/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500000</v>
      </c>
      <c r="AG666" s="5" t="s">
        <v>45</v>
      </c>
      <c r="AH666" s="5" t="s">
        <v>46</v>
      </c>
    </row>
    <row r="667" spans="1:34" s="5" customFormat="1">
      <c r="A667" s="5" t="s">
        <v>154</v>
      </c>
      <c r="B667" s="5" t="s">
        <v>459</v>
      </c>
      <c r="C667" s="5" t="s">
        <v>460</v>
      </c>
      <c r="E667" s="5" t="s">
        <v>36</v>
      </c>
      <c r="F667" s="5" t="s">
        <v>37</v>
      </c>
      <c r="G667" s="5" t="s">
        <v>157</v>
      </c>
      <c r="H667" s="5" t="s">
        <v>321</v>
      </c>
      <c r="I667" s="5" t="s">
        <v>461</v>
      </c>
      <c r="J667" s="5" t="s">
        <v>41</v>
      </c>
      <c r="K667" s="5" t="s">
        <v>159</v>
      </c>
      <c r="L667" s="5" t="s">
        <v>124</v>
      </c>
      <c r="M667" s="5" t="s">
        <v>125</v>
      </c>
      <c r="N667" s="11"/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2091000</v>
      </c>
      <c r="AG667" s="5" t="s">
        <v>45</v>
      </c>
      <c r="AH667" s="5" t="s">
        <v>46</v>
      </c>
    </row>
    <row r="668" spans="1:34" s="5" customFormat="1">
      <c r="A668" s="5" t="s">
        <v>154</v>
      </c>
      <c r="B668" s="5" t="s">
        <v>489</v>
      </c>
      <c r="C668" s="5" t="s">
        <v>490</v>
      </c>
      <c r="E668" s="5" t="s">
        <v>36</v>
      </c>
      <c r="F668" s="5" t="s">
        <v>37</v>
      </c>
      <c r="G668" s="5" t="s">
        <v>157</v>
      </c>
      <c r="H668" s="5" t="s">
        <v>491</v>
      </c>
      <c r="I668" s="5" t="s">
        <v>492</v>
      </c>
      <c r="J668" s="5" t="s">
        <v>41</v>
      </c>
      <c r="K668" s="5" t="s">
        <v>159</v>
      </c>
      <c r="L668" s="5" t="s">
        <v>124</v>
      </c>
      <c r="M668" s="5" t="s">
        <v>125</v>
      </c>
      <c r="N668" s="11"/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2500000</v>
      </c>
      <c r="AG668" s="5" t="s">
        <v>45</v>
      </c>
      <c r="AH668" s="5" t="s">
        <v>46</v>
      </c>
    </row>
    <row r="669" spans="1:34" s="5" customFormat="1">
      <c r="A669" s="5" t="s">
        <v>154</v>
      </c>
      <c r="B669" s="5" t="s">
        <v>580</v>
      </c>
      <c r="C669" s="5" t="s">
        <v>581</v>
      </c>
      <c r="E669" s="5" t="s">
        <v>36</v>
      </c>
      <c r="F669" s="5" t="s">
        <v>37</v>
      </c>
      <c r="G669" s="5" t="s">
        <v>157</v>
      </c>
      <c r="H669" s="5" t="s">
        <v>575</v>
      </c>
      <c r="I669" s="5" t="s">
        <v>582</v>
      </c>
      <c r="J669" s="5" t="s">
        <v>41</v>
      </c>
      <c r="K669" s="5" t="s">
        <v>159</v>
      </c>
      <c r="L669" s="5" t="s">
        <v>124</v>
      </c>
      <c r="M669" s="5" t="s">
        <v>125</v>
      </c>
      <c r="N669" s="11"/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173620</v>
      </c>
      <c r="AG669" s="5" t="s">
        <v>45</v>
      </c>
      <c r="AH669" s="5" t="s">
        <v>46</v>
      </c>
    </row>
    <row r="670" spans="1:34" s="5" customFormat="1">
      <c r="A670" s="5" t="s">
        <v>154</v>
      </c>
      <c r="B670" s="5" t="s">
        <v>669</v>
      </c>
      <c r="C670" s="5" t="s">
        <v>670</v>
      </c>
      <c r="E670" s="5" t="s">
        <v>36</v>
      </c>
      <c r="F670" s="5" t="s">
        <v>37</v>
      </c>
      <c r="G670" s="5" t="s">
        <v>157</v>
      </c>
      <c r="H670" s="5" t="s">
        <v>667</v>
      </c>
      <c r="I670" s="5" t="s">
        <v>671</v>
      </c>
      <c r="J670" s="5" t="s">
        <v>41</v>
      </c>
      <c r="K670" s="5" t="s">
        <v>159</v>
      </c>
      <c r="L670" s="5" t="s">
        <v>124</v>
      </c>
      <c r="M670" s="5" t="s">
        <v>125</v>
      </c>
      <c r="N670" s="11"/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1073750</v>
      </c>
      <c r="AG670" s="5" t="s">
        <v>45</v>
      </c>
      <c r="AH670" s="5" t="s">
        <v>46</v>
      </c>
    </row>
    <row r="671" spans="1:34" s="5" customFormat="1">
      <c r="A671" s="5" t="s">
        <v>154</v>
      </c>
      <c r="B671" s="5" t="s">
        <v>775</v>
      </c>
      <c r="C671" s="5" t="s">
        <v>776</v>
      </c>
      <c r="E671" s="5" t="s">
        <v>36</v>
      </c>
      <c r="F671" s="5" t="s">
        <v>37</v>
      </c>
      <c r="G671" s="5" t="s">
        <v>157</v>
      </c>
      <c r="H671" s="5" t="s">
        <v>770</v>
      </c>
      <c r="I671" s="5" t="s">
        <v>777</v>
      </c>
      <c r="J671" s="5" t="s">
        <v>41</v>
      </c>
      <c r="K671" s="5" t="s">
        <v>159</v>
      </c>
      <c r="L671" s="5" t="s">
        <v>124</v>
      </c>
      <c r="M671" s="5" t="s">
        <v>125</v>
      </c>
      <c r="N671" s="11"/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2500000</v>
      </c>
      <c r="AG671" s="5" t="s">
        <v>45</v>
      </c>
      <c r="AH671" s="5" t="s">
        <v>46</v>
      </c>
    </row>
    <row r="672" spans="1:34" s="5" customFormat="1">
      <c r="A672" s="5" t="s">
        <v>154</v>
      </c>
      <c r="B672" s="5" t="s">
        <v>838</v>
      </c>
      <c r="C672" s="5" t="s">
        <v>839</v>
      </c>
      <c r="E672" s="5" t="s">
        <v>36</v>
      </c>
      <c r="F672" s="5" t="s">
        <v>37</v>
      </c>
      <c r="G672" s="5" t="s">
        <v>157</v>
      </c>
      <c r="H672" s="5" t="s">
        <v>809</v>
      </c>
      <c r="I672" s="5" t="s">
        <v>840</v>
      </c>
      <c r="J672" s="5" t="s">
        <v>41</v>
      </c>
      <c r="K672" s="5" t="s">
        <v>159</v>
      </c>
      <c r="L672" s="5" t="s">
        <v>124</v>
      </c>
      <c r="M672" s="5" t="s">
        <v>125</v>
      </c>
      <c r="N672" s="11"/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800000</v>
      </c>
      <c r="AG672" s="5" t="s">
        <v>45</v>
      </c>
      <c r="AH672" s="5" t="s">
        <v>46</v>
      </c>
    </row>
    <row r="673" spans="1:34" s="5" customFormat="1">
      <c r="A673" s="5" t="s">
        <v>154</v>
      </c>
      <c r="B673" s="5" t="s">
        <v>868</v>
      </c>
      <c r="C673" s="5" t="s">
        <v>869</v>
      </c>
      <c r="E673" s="5" t="s">
        <v>36</v>
      </c>
      <c r="F673" s="5" t="s">
        <v>37</v>
      </c>
      <c r="G673" s="5" t="s">
        <v>157</v>
      </c>
      <c r="H673" s="5" t="s">
        <v>854</v>
      </c>
      <c r="I673" s="5" t="s">
        <v>870</v>
      </c>
      <c r="J673" s="5" t="s">
        <v>41</v>
      </c>
      <c r="K673" s="5" t="s">
        <v>159</v>
      </c>
      <c r="L673" s="5" t="s">
        <v>124</v>
      </c>
      <c r="M673" s="5" t="s">
        <v>125</v>
      </c>
      <c r="N673" s="11"/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1310000</v>
      </c>
      <c r="AG673" s="5" t="s">
        <v>45</v>
      </c>
      <c r="AH673" s="5" t="s">
        <v>46</v>
      </c>
    </row>
    <row r="674" spans="1:34" s="5" customFormat="1">
      <c r="A674" s="5" t="s">
        <v>154</v>
      </c>
      <c r="B674" s="5" t="s">
        <v>874</v>
      </c>
      <c r="C674" s="5" t="s">
        <v>875</v>
      </c>
      <c r="E674" s="5" t="s">
        <v>36</v>
      </c>
      <c r="F674" s="5" t="s">
        <v>37</v>
      </c>
      <c r="G674" s="5" t="s">
        <v>157</v>
      </c>
      <c r="H674" s="5" t="s">
        <v>854</v>
      </c>
      <c r="I674" s="5" t="s">
        <v>876</v>
      </c>
      <c r="J674" s="5" t="s">
        <v>41</v>
      </c>
      <c r="K674" s="5" t="s">
        <v>159</v>
      </c>
      <c r="L674" s="5" t="s">
        <v>124</v>
      </c>
      <c r="M674" s="5" t="s">
        <v>125</v>
      </c>
      <c r="N674" s="11"/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7830000</v>
      </c>
      <c r="AG674" s="5" t="s">
        <v>45</v>
      </c>
      <c r="AH674" s="5" t="s">
        <v>46</v>
      </c>
    </row>
    <row r="675" spans="1:34" s="5" customFormat="1">
      <c r="A675" s="5" t="s">
        <v>154</v>
      </c>
      <c r="B675" s="5" t="s">
        <v>880</v>
      </c>
      <c r="C675" s="5" t="s">
        <v>881</v>
      </c>
      <c r="E675" s="5" t="s">
        <v>36</v>
      </c>
      <c r="F675" s="5" t="s">
        <v>37</v>
      </c>
      <c r="G675" s="5" t="s">
        <v>157</v>
      </c>
      <c r="H675" s="5" t="s">
        <v>854</v>
      </c>
      <c r="I675" s="5" t="s">
        <v>882</v>
      </c>
      <c r="J675" s="5" t="s">
        <v>41</v>
      </c>
      <c r="K675" s="5" t="s">
        <v>159</v>
      </c>
      <c r="L675" s="5" t="s">
        <v>124</v>
      </c>
      <c r="M675" s="5" t="s">
        <v>125</v>
      </c>
      <c r="N675" s="11"/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1950000</v>
      </c>
      <c r="AG675" s="5" t="s">
        <v>45</v>
      </c>
      <c r="AH675" s="5" t="s">
        <v>46</v>
      </c>
    </row>
    <row r="676" spans="1:34" s="5" customFormat="1">
      <c r="A676" s="5" t="s">
        <v>154</v>
      </c>
      <c r="B676" s="5" t="s">
        <v>889</v>
      </c>
      <c r="C676" s="5" t="s">
        <v>890</v>
      </c>
      <c r="E676" s="5" t="s">
        <v>36</v>
      </c>
      <c r="F676" s="5" t="s">
        <v>37</v>
      </c>
      <c r="G676" s="5" t="s">
        <v>157</v>
      </c>
      <c r="H676" s="5" t="s">
        <v>854</v>
      </c>
      <c r="I676" s="5" t="s">
        <v>891</v>
      </c>
      <c r="J676" s="5" t="s">
        <v>41</v>
      </c>
      <c r="K676" s="5" t="s">
        <v>159</v>
      </c>
      <c r="L676" s="5" t="s">
        <v>124</v>
      </c>
      <c r="M676" s="5" t="s">
        <v>125</v>
      </c>
      <c r="N676" s="11"/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5550000</v>
      </c>
      <c r="AG676" s="5" t="s">
        <v>45</v>
      </c>
      <c r="AH676" s="5" t="s">
        <v>46</v>
      </c>
    </row>
    <row r="677" spans="1:34" s="5" customFormat="1">
      <c r="A677" s="5" t="s">
        <v>154</v>
      </c>
      <c r="B677" s="5" t="s">
        <v>892</v>
      </c>
      <c r="C677" s="5" t="s">
        <v>893</v>
      </c>
      <c r="E677" s="5" t="s">
        <v>36</v>
      </c>
      <c r="F677" s="5" t="s">
        <v>37</v>
      </c>
      <c r="G677" s="5" t="s">
        <v>157</v>
      </c>
      <c r="H677" s="5" t="s">
        <v>854</v>
      </c>
      <c r="I677" s="5" t="s">
        <v>894</v>
      </c>
      <c r="J677" s="5" t="s">
        <v>41</v>
      </c>
      <c r="K677" s="5" t="s">
        <v>159</v>
      </c>
      <c r="L677" s="5" t="s">
        <v>124</v>
      </c>
      <c r="M677" s="5" t="s">
        <v>125</v>
      </c>
      <c r="N677" s="11"/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5270000</v>
      </c>
      <c r="AG677" s="5" t="s">
        <v>45</v>
      </c>
      <c r="AH677" s="5" t="s">
        <v>46</v>
      </c>
    </row>
    <row r="678" spans="1:34" s="5" customFormat="1">
      <c r="A678" s="5" t="s">
        <v>154</v>
      </c>
      <c r="B678" s="5" t="s">
        <v>980</v>
      </c>
      <c r="C678" s="5" t="s">
        <v>981</v>
      </c>
      <c r="E678" s="5" t="s">
        <v>36</v>
      </c>
      <c r="F678" s="5" t="s">
        <v>37</v>
      </c>
      <c r="G678" s="5" t="s">
        <v>157</v>
      </c>
      <c r="H678" s="5" t="s">
        <v>903</v>
      </c>
      <c r="I678" s="5" t="s">
        <v>982</v>
      </c>
      <c r="J678" s="5" t="s">
        <v>41</v>
      </c>
      <c r="K678" s="5" t="s">
        <v>159</v>
      </c>
      <c r="L678" s="5" t="s">
        <v>124</v>
      </c>
      <c r="M678" s="5" t="s">
        <v>125</v>
      </c>
      <c r="N678" s="11"/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2500000</v>
      </c>
      <c r="AG678" s="5" t="s">
        <v>45</v>
      </c>
      <c r="AH678" s="5" t="s">
        <v>46</v>
      </c>
    </row>
    <row r="679" spans="1:34" s="5" customFormat="1">
      <c r="A679" s="5" t="s">
        <v>154</v>
      </c>
      <c r="B679" s="5" t="s">
        <v>983</v>
      </c>
      <c r="C679" s="5" t="s">
        <v>984</v>
      </c>
      <c r="E679" s="5" t="s">
        <v>36</v>
      </c>
      <c r="F679" s="5" t="s">
        <v>37</v>
      </c>
      <c r="G679" s="5" t="s">
        <v>157</v>
      </c>
      <c r="H679" s="5" t="s">
        <v>903</v>
      </c>
      <c r="I679" s="5" t="s">
        <v>985</v>
      </c>
      <c r="J679" s="5" t="s">
        <v>41</v>
      </c>
      <c r="K679" s="5" t="s">
        <v>159</v>
      </c>
      <c r="L679" s="5" t="s">
        <v>124</v>
      </c>
      <c r="M679" s="5" t="s">
        <v>125</v>
      </c>
      <c r="N679" s="11"/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2500000</v>
      </c>
      <c r="AG679" s="5" t="s">
        <v>45</v>
      </c>
      <c r="AH679" s="5" t="s">
        <v>46</v>
      </c>
    </row>
    <row r="680" spans="1:34" s="5" customFormat="1">
      <c r="A680" s="5" t="s">
        <v>154</v>
      </c>
      <c r="B680" s="5" t="s">
        <v>986</v>
      </c>
      <c r="C680" s="5" t="s">
        <v>987</v>
      </c>
      <c r="E680" s="5" t="s">
        <v>36</v>
      </c>
      <c r="F680" s="5" t="s">
        <v>37</v>
      </c>
      <c r="G680" s="5" t="s">
        <v>157</v>
      </c>
      <c r="H680" s="5" t="s">
        <v>903</v>
      </c>
      <c r="I680" s="5" t="s">
        <v>988</v>
      </c>
      <c r="J680" s="5" t="s">
        <v>41</v>
      </c>
      <c r="K680" s="5" t="s">
        <v>159</v>
      </c>
      <c r="L680" s="5" t="s">
        <v>124</v>
      </c>
      <c r="M680" s="5" t="s">
        <v>125</v>
      </c>
      <c r="N680" s="11"/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2500000</v>
      </c>
      <c r="AG680" s="5" t="s">
        <v>45</v>
      </c>
      <c r="AH680" s="5" t="s">
        <v>46</v>
      </c>
    </row>
    <row r="681" spans="1:34" s="5" customFormat="1">
      <c r="A681" s="5" t="s">
        <v>154</v>
      </c>
      <c r="B681" s="5" t="s">
        <v>989</v>
      </c>
      <c r="C681" s="5" t="s">
        <v>990</v>
      </c>
      <c r="E681" s="5" t="s">
        <v>36</v>
      </c>
      <c r="F681" s="5" t="s">
        <v>37</v>
      </c>
      <c r="G681" s="5" t="s">
        <v>157</v>
      </c>
      <c r="H681" s="5" t="s">
        <v>903</v>
      </c>
      <c r="I681" s="5" t="s">
        <v>991</v>
      </c>
      <c r="J681" s="5" t="s">
        <v>41</v>
      </c>
      <c r="K681" s="5" t="s">
        <v>159</v>
      </c>
      <c r="L681" s="5" t="s">
        <v>124</v>
      </c>
      <c r="M681" s="5" t="s">
        <v>125</v>
      </c>
      <c r="N681" s="11"/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2500000</v>
      </c>
      <c r="AG681" s="5" t="s">
        <v>45</v>
      </c>
      <c r="AH681" s="5" t="s">
        <v>46</v>
      </c>
    </row>
    <row r="682" spans="1:34" s="5" customFormat="1">
      <c r="A682" s="5" t="s">
        <v>154</v>
      </c>
      <c r="B682" s="5" t="s">
        <v>1562</v>
      </c>
      <c r="C682" s="5" t="s">
        <v>1563</v>
      </c>
      <c r="E682" s="5" t="s">
        <v>36</v>
      </c>
      <c r="F682" s="5" t="s">
        <v>37</v>
      </c>
      <c r="G682" s="5" t="s">
        <v>157</v>
      </c>
      <c r="H682" s="5" t="s">
        <v>1535</v>
      </c>
      <c r="I682" s="5" t="s">
        <v>1564</v>
      </c>
      <c r="J682" s="5" t="s">
        <v>41</v>
      </c>
      <c r="K682" s="5" t="s">
        <v>159</v>
      </c>
      <c r="L682" s="5" t="s">
        <v>124</v>
      </c>
      <c r="M682" s="5" t="s">
        <v>125</v>
      </c>
      <c r="N682" s="11"/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10000000</v>
      </c>
      <c r="AG682" s="5" t="s">
        <v>45</v>
      </c>
      <c r="AH682" s="5" t="s">
        <v>46</v>
      </c>
    </row>
    <row r="683" spans="1:34" s="5" customFormat="1">
      <c r="A683" s="5" t="s">
        <v>154</v>
      </c>
      <c r="B683" s="5" t="s">
        <v>160</v>
      </c>
      <c r="C683" s="5" t="s">
        <v>161</v>
      </c>
      <c r="E683" s="5" t="s">
        <v>36</v>
      </c>
      <c r="F683" s="5" t="s">
        <v>37</v>
      </c>
      <c r="G683" s="5" t="s">
        <v>157</v>
      </c>
      <c r="H683" s="5" t="s">
        <v>145</v>
      </c>
      <c r="I683" s="5" t="s">
        <v>162</v>
      </c>
      <c r="J683" s="5" t="s">
        <v>41</v>
      </c>
      <c r="K683" s="5" t="s">
        <v>159</v>
      </c>
      <c r="L683" s="5" t="s">
        <v>137</v>
      </c>
      <c r="M683" s="5" t="s">
        <v>163</v>
      </c>
      <c r="N683" s="11"/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2500000</v>
      </c>
      <c r="AG683" s="5" t="s">
        <v>45</v>
      </c>
      <c r="AH683" s="5" t="s">
        <v>46</v>
      </c>
    </row>
    <row r="684" spans="1:34" s="5" customFormat="1">
      <c r="A684" s="5" t="s">
        <v>154</v>
      </c>
      <c r="B684" s="5" t="s">
        <v>355</v>
      </c>
      <c r="C684" s="5" t="s">
        <v>356</v>
      </c>
      <c r="E684" s="5" t="s">
        <v>36</v>
      </c>
      <c r="F684" s="5" t="s">
        <v>37</v>
      </c>
      <c r="G684" s="5" t="s">
        <v>157</v>
      </c>
      <c r="H684" s="5" t="s">
        <v>334</v>
      </c>
      <c r="I684" s="5" t="s">
        <v>357</v>
      </c>
      <c r="J684" s="5" t="s">
        <v>41</v>
      </c>
      <c r="K684" s="5" t="s">
        <v>159</v>
      </c>
      <c r="L684" s="5" t="s">
        <v>137</v>
      </c>
      <c r="M684" s="5" t="s">
        <v>163</v>
      </c>
      <c r="N684" s="11"/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2500000</v>
      </c>
      <c r="AG684" s="5" t="s">
        <v>45</v>
      </c>
      <c r="AH684" s="5" t="s">
        <v>46</v>
      </c>
    </row>
    <row r="685" spans="1:34" s="5" customFormat="1">
      <c r="A685" s="5" t="s">
        <v>154</v>
      </c>
      <c r="B685" s="5" t="s">
        <v>493</v>
      </c>
      <c r="C685" s="5" t="s">
        <v>494</v>
      </c>
      <c r="E685" s="5" t="s">
        <v>36</v>
      </c>
      <c r="F685" s="5" t="s">
        <v>37</v>
      </c>
      <c r="G685" s="5" t="s">
        <v>157</v>
      </c>
      <c r="H685" s="5" t="s">
        <v>491</v>
      </c>
      <c r="I685" s="5" t="s">
        <v>495</v>
      </c>
      <c r="J685" s="5" t="s">
        <v>41</v>
      </c>
      <c r="K685" s="5" t="s">
        <v>159</v>
      </c>
      <c r="L685" s="5" t="s">
        <v>137</v>
      </c>
      <c r="M685" s="5" t="s">
        <v>163</v>
      </c>
      <c r="N685" s="11"/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2500000</v>
      </c>
      <c r="AG685" s="5" t="s">
        <v>45</v>
      </c>
      <c r="AH685" s="5" t="s">
        <v>46</v>
      </c>
    </row>
    <row r="686" spans="1:34" s="5" customFormat="1">
      <c r="A686" s="5" t="s">
        <v>154</v>
      </c>
      <c r="B686" s="5" t="s">
        <v>772</v>
      </c>
      <c r="C686" s="5" t="s">
        <v>773</v>
      </c>
      <c r="E686" s="5" t="s">
        <v>36</v>
      </c>
      <c r="F686" s="5" t="s">
        <v>37</v>
      </c>
      <c r="G686" s="5" t="s">
        <v>157</v>
      </c>
      <c r="H686" s="5" t="s">
        <v>770</v>
      </c>
      <c r="I686" s="5" t="s">
        <v>774</v>
      </c>
      <c r="J686" s="5" t="s">
        <v>41</v>
      </c>
      <c r="K686" s="5" t="s">
        <v>159</v>
      </c>
      <c r="L686" s="5" t="s">
        <v>137</v>
      </c>
      <c r="M686" s="5" t="s">
        <v>163</v>
      </c>
      <c r="N686" s="11"/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2500000</v>
      </c>
      <c r="AG686" s="5" t="s">
        <v>45</v>
      </c>
      <c r="AH686" s="5" t="s">
        <v>46</v>
      </c>
    </row>
    <row r="687" spans="1:34" s="5" customFormat="1">
      <c r="A687" s="5" t="s">
        <v>154</v>
      </c>
      <c r="B687" s="5" t="s">
        <v>968</v>
      </c>
      <c r="C687" s="5" t="s">
        <v>969</v>
      </c>
      <c r="E687" s="5" t="s">
        <v>36</v>
      </c>
      <c r="F687" s="5" t="s">
        <v>37</v>
      </c>
      <c r="G687" s="5" t="s">
        <v>157</v>
      </c>
      <c r="H687" s="5" t="s">
        <v>903</v>
      </c>
      <c r="I687" s="5" t="s">
        <v>970</v>
      </c>
      <c r="J687" s="5" t="s">
        <v>41</v>
      </c>
      <c r="K687" s="5" t="s">
        <v>159</v>
      </c>
      <c r="L687" s="5" t="s">
        <v>137</v>
      </c>
      <c r="M687" s="5" t="s">
        <v>163</v>
      </c>
      <c r="N687" s="11"/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2500000</v>
      </c>
      <c r="AG687" s="5" t="s">
        <v>45</v>
      </c>
      <c r="AH687" s="5" t="s">
        <v>46</v>
      </c>
    </row>
    <row r="688" spans="1:34" s="5" customFormat="1">
      <c r="A688" s="5" t="s">
        <v>154</v>
      </c>
      <c r="B688" s="5" t="s">
        <v>971</v>
      </c>
      <c r="C688" s="5" t="s">
        <v>972</v>
      </c>
      <c r="E688" s="5" t="s">
        <v>36</v>
      </c>
      <c r="F688" s="5" t="s">
        <v>37</v>
      </c>
      <c r="G688" s="5" t="s">
        <v>157</v>
      </c>
      <c r="H688" s="5" t="s">
        <v>903</v>
      </c>
      <c r="I688" s="5" t="s">
        <v>973</v>
      </c>
      <c r="J688" s="5" t="s">
        <v>41</v>
      </c>
      <c r="K688" s="5" t="s">
        <v>159</v>
      </c>
      <c r="L688" s="5" t="s">
        <v>137</v>
      </c>
      <c r="M688" s="5" t="s">
        <v>163</v>
      </c>
      <c r="N688" s="11"/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2500000</v>
      </c>
      <c r="AG688" s="5" t="s">
        <v>45</v>
      </c>
      <c r="AH688" s="5" t="s">
        <v>46</v>
      </c>
    </row>
    <row r="689" spans="1:34" s="5" customFormat="1">
      <c r="A689" s="5" t="s">
        <v>154</v>
      </c>
      <c r="B689" s="5" t="s">
        <v>974</v>
      </c>
      <c r="C689" s="5" t="s">
        <v>975</v>
      </c>
      <c r="E689" s="5" t="s">
        <v>36</v>
      </c>
      <c r="F689" s="5" t="s">
        <v>37</v>
      </c>
      <c r="G689" s="5" t="s">
        <v>157</v>
      </c>
      <c r="H689" s="5" t="s">
        <v>903</v>
      </c>
      <c r="I689" s="5" t="s">
        <v>976</v>
      </c>
      <c r="J689" s="5" t="s">
        <v>41</v>
      </c>
      <c r="K689" s="5" t="s">
        <v>159</v>
      </c>
      <c r="L689" s="5" t="s">
        <v>137</v>
      </c>
      <c r="M689" s="5" t="s">
        <v>163</v>
      </c>
      <c r="N689" s="11"/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2500000</v>
      </c>
      <c r="AG689" s="5" t="s">
        <v>45</v>
      </c>
      <c r="AH689" s="5" t="s">
        <v>46</v>
      </c>
    </row>
    <row r="690" spans="1:34" s="5" customFormat="1">
      <c r="A690" s="5" t="s">
        <v>154</v>
      </c>
      <c r="B690" s="5" t="s">
        <v>977</v>
      </c>
      <c r="C690" s="5" t="s">
        <v>978</v>
      </c>
      <c r="E690" s="5" t="s">
        <v>36</v>
      </c>
      <c r="F690" s="5" t="s">
        <v>37</v>
      </c>
      <c r="G690" s="5" t="s">
        <v>157</v>
      </c>
      <c r="H690" s="5" t="s">
        <v>903</v>
      </c>
      <c r="I690" s="5" t="s">
        <v>979</v>
      </c>
      <c r="J690" s="5" t="s">
        <v>41</v>
      </c>
      <c r="K690" s="5" t="s">
        <v>159</v>
      </c>
      <c r="L690" s="5" t="s">
        <v>137</v>
      </c>
      <c r="M690" s="5" t="s">
        <v>163</v>
      </c>
      <c r="N690" s="11"/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2500000</v>
      </c>
      <c r="AG690" s="5" t="s">
        <v>45</v>
      </c>
      <c r="AH690" s="5" t="s">
        <v>46</v>
      </c>
    </row>
    <row r="691" spans="1:34" s="5" customFormat="1">
      <c r="A691" s="5" t="s">
        <v>154</v>
      </c>
      <c r="B691" s="5" t="s">
        <v>1559</v>
      </c>
      <c r="C691" s="5" t="s">
        <v>1560</v>
      </c>
      <c r="E691" s="5" t="s">
        <v>36</v>
      </c>
      <c r="F691" s="5" t="s">
        <v>37</v>
      </c>
      <c r="G691" s="5" t="s">
        <v>157</v>
      </c>
      <c r="H691" s="5" t="s">
        <v>1535</v>
      </c>
      <c r="I691" s="5" t="s">
        <v>1561</v>
      </c>
      <c r="J691" s="5" t="s">
        <v>41</v>
      </c>
      <c r="K691" s="5" t="s">
        <v>159</v>
      </c>
      <c r="L691" s="5" t="s">
        <v>137</v>
      </c>
      <c r="M691" s="5" t="s">
        <v>163</v>
      </c>
      <c r="N691" s="11"/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10000000</v>
      </c>
      <c r="AG691" s="5" t="s">
        <v>45</v>
      </c>
      <c r="AH691" s="5" t="s">
        <v>46</v>
      </c>
    </row>
    <row r="692" spans="1:34" s="5" customFormat="1">
      <c r="A692" s="5" t="s">
        <v>154</v>
      </c>
      <c r="B692" s="5" t="s">
        <v>340</v>
      </c>
      <c r="C692" s="5" t="s">
        <v>341</v>
      </c>
      <c r="E692" s="5" t="s">
        <v>36</v>
      </c>
      <c r="F692" s="5" t="s">
        <v>37</v>
      </c>
      <c r="G692" s="5" t="s">
        <v>157</v>
      </c>
      <c r="H692" s="5" t="s">
        <v>334</v>
      </c>
      <c r="I692" s="5" t="s">
        <v>342</v>
      </c>
      <c r="J692" s="5" t="s">
        <v>41</v>
      </c>
      <c r="K692" s="5" t="s">
        <v>159</v>
      </c>
      <c r="L692" s="5" t="s">
        <v>79</v>
      </c>
      <c r="M692" s="5" t="s">
        <v>343</v>
      </c>
      <c r="N692" s="11"/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81500</v>
      </c>
      <c r="AG692" s="5" t="s">
        <v>45</v>
      </c>
      <c r="AH692" s="5" t="s">
        <v>46</v>
      </c>
    </row>
    <row r="693" spans="1:34" s="5" customFormat="1">
      <c r="A693" s="5" t="s">
        <v>154</v>
      </c>
      <c r="B693" s="5" t="s">
        <v>462</v>
      </c>
      <c r="C693" s="5" t="s">
        <v>463</v>
      </c>
      <c r="E693" s="5" t="s">
        <v>36</v>
      </c>
      <c r="F693" s="5" t="s">
        <v>37</v>
      </c>
      <c r="G693" s="5" t="s">
        <v>157</v>
      </c>
      <c r="H693" s="5" t="s">
        <v>321</v>
      </c>
      <c r="I693" s="5" t="s">
        <v>464</v>
      </c>
      <c r="J693" s="5" t="s">
        <v>41</v>
      </c>
      <c r="K693" s="5" t="s">
        <v>159</v>
      </c>
      <c r="L693" s="5" t="s">
        <v>79</v>
      </c>
      <c r="M693" s="5" t="s">
        <v>343</v>
      </c>
      <c r="N693" s="11"/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515500</v>
      </c>
      <c r="AG693" s="5" t="s">
        <v>45</v>
      </c>
      <c r="AH693" s="5" t="s">
        <v>46</v>
      </c>
    </row>
    <row r="694" spans="1:34" s="5" customFormat="1">
      <c r="A694" s="5" t="s">
        <v>154</v>
      </c>
      <c r="B694" s="5" t="s">
        <v>465</v>
      </c>
      <c r="C694" s="5" t="s">
        <v>466</v>
      </c>
      <c r="E694" s="5" t="s">
        <v>36</v>
      </c>
      <c r="F694" s="5" t="s">
        <v>37</v>
      </c>
      <c r="G694" s="5" t="s">
        <v>157</v>
      </c>
      <c r="H694" s="5" t="s">
        <v>321</v>
      </c>
      <c r="I694" s="5" t="s">
        <v>467</v>
      </c>
      <c r="J694" s="5" t="s">
        <v>41</v>
      </c>
      <c r="K694" s="5" t="s">
        <v>159</v>
      </c>
      <c r="L694" s="5" t="s">
        <v>79</v>
      </c>
      <c r="M694" s="5" t="s">
        <v>343</v>
      </c>
      <c r="N694" s="11"/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477600</v>
      </c>
      <c r="AG694" s="5" t="s">
        <v>45</v>
      </c>
      <c r="AH694" s="5" t="s">
        <v>46</v>
      </c>
    </row>
    <row r="695" spans="1:34" s="5" customFormat="1">
      <c r="A695" s="5" t="s">
        <v>154</v>
      </c>
      <c r="B695" s="5" t="s">
        <v>468</v>
      </c>
      <c r="C695" s="5" t="s">
        <v>469</v>
      </c>
      <c r="E695" s="5" t="s">
        <v>36</v>
      </c>
      <c r="F695" s="5" t="s">
        <v>470</v>
      </c>
      <c r="G695" s="5" t="s">
        <v>157</v>
      </c>
      <c r="H695" s="5" t="s">
        <v>321</v>
      </c>
      <c r="I695" s="5" t="s">
        <v>471</v>
      </c>
      <c r="J695" s="5" t="s">
        <v>41</v>
      </c>
      <c r="K695" s="5" t="s">
        <v>159</v>
      </c>
      <c r="L695" s="5" t="s">
        <v>79</v>
      </c>
      <c r="M695" s="5" t="s">
        <v>343</v>
      </c>
      <c r="N695" s="11"/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1101000</v>
      </c>
      <c r="AG695" s="5" t="s">
        <v>45</v>
      </c>
      <c r="AH695" s="5" t="s">
        <v>46</v>
      </c>
    </row>
    <row r="696" spans="1:34" s="5" customFormat="1">
      <c r="A696" s="5" t="s">
        <v>154</v>
      </c>
      <c r="B696" s="5" t="s">
        <v>573</v>
      </c>
      <c r="C696" s="5" t="s">
        <v>574</v>
      </c>
      <c r="E696" s="5" t="s">
        <v>36</v>
      </c>
      <c r="F696" s="5" t="s">
        <v>37</v>
      </c>
      <c r="G696" s="5" t="s">
        <v>157</v>
      </c>
      <c r="H696" s="5" t="s">
        <v>575</v>
      </c>
      <c r="I696" s="5" t="s">
        <v>576</v>
      </c>
      <c r="J696" s="5" t="s">
        <v>41</v>
      </c>
      <c r="K696" s="5" t="s">
        <v>159</v>
      </c>
      <c r="L696" s="5" t="s">
        <v>79</v>
      </c>
      <c r="M696" s="5" t="s">
        <v>343</v>
      </c>
      <c r="N696" s="11"/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125000</v>
      </c>
      <c r="AG696" s="5" t="s">
        <v>45</v>
      </c>
      <c r="AH696" s="5" t="s">
        <v>46</v>
      </c>
    </row>
    <row r="697" spans="1:34" s="5" customFormat="1">
      <c r="A697" s="5" t="s">
        <v>154</v>
      </c>
      <c r="B697" s="5" t="s">
        <v>672</v>
      </c>
      <c r="C697" s="5" t="s">
        <v>673</v>
      </c>
      <c r="E697" s="5" t="s">
        <v>36</v>
      </c>
      <c r="F697" s="5" t="s">
        <v>37</v>
      </c>
      <c r="G697" s="5" t="s">
        <v>157</v>
      </c>
      <c r="H697" s="5" t="s">
        <v>667</v>
      </c>
      <c r="I697" s="5" t="s">
        <v>674</v>
      </c>
      <c r="J697" s="5" t="s">
        <v>41</v>
      </c>
      <c r="K697" s="5" t="s">
        <v>159</v>
      </c>
      <c r="L697" s="5" t="s">
        <v>79</v>
      </c>
      <c r="M697" s="5" t="s">
        <v>343</v>
      </c>
      <c r="N697" s="11"/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634000</v>
      </c>
      <c r="AG697" s="5" t="s">
        <v>45</v>
      </c>
      <c r="AH697" s="5" t="s">
        <v>46</v>
      </c>
    </row>
    <row r="698" spans="1:34" s="5" customFormat="1">
      <c r="A698" s="5" t="s">
        <v>154</v>
      </c>
      <c r="B698" s="5" t="s">
        <v>678</v>
      </c>
      <c r="C698" s="5" t="s">
        <v>679</v>
      </c>
      <c r="E698" s="5" t="s">
        <v>36</v>
      </c>
      <c r="F698" s="5" t="s">
        <v>37</v>
      </c>
      <c r="G698" s="5" t="s">
        <v>157</v>
      </c>
      <c r="H698" s="5" t="s">
        <v>667</v>
      </c>
      <c r="I698" s="5" t="s">
        <v>680</v>
      </c>
      <c r="J698" s="5" t="s">
        <v>41</v>
      </c>
      <c r="K698" s="5" t="s">
        <v>159</v>
      </c>
      <c r="L698" s="5" t="s">
        <v>79</v>
      </c>
      <c r="M698" s="5" t="s">
        <v>343</v>
      </c>
      <c r="N698" s="11"/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236655</v>
      </c>
      <c r="AG698" s="5" t="s">
        <v>45</v>
      </c>
      <c r="AH698" s="5" t="s">
        <v>46</v>
      </c>
    </row>
    <row r="699" spans="1:34" s="5" customFormat="1">
      <c r="A699" s="5" t="s">
        <v>154</v>
      </c>
      <c r="B699" s="5" t="s">
        <v>831</v>
      </c>
      <c r="C699" s="5" t="s">
        <v>832</v>
      </c>
      <c r="E699" s="5" t="s">
        <v>36</v>
      </c>
      <c r="F699" s="5" t="s">
        <v>37</v>
      </c>
      <c r="G699" s="5" t="s">
        <v>157</v>
      </c>
      <c r="H699" s="5" t="s">
        <v>809</v>
      </c>
      <c r="I699" s="5" t="s">
        <v>833</v>
      </c>
      <c r="J699" s="5" t="s">
        <v>41</v>
      </c>
      <c r="K699" s="5" t="s">
        <v>159</v>
      </c>
      <c r="L699" s="5" t="s">
        <v>79</v>
      </c>
      <c r="M699" s="5" t="s">
        <v>343</v>
      </c>
      <c r="N699" s="11"/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740000</v>
      </c>
      <c r="AG699" s="5" t="s">
        <v>45</v>
      </c>
      <c r="AH699" s="5" t="s">
        <v>46</v>
      </c>
    </row>
    <row r="700" spans="1:34" s="5" customFormat="1">
      <c r="A700" s="5" t="s">
        <v>154</v>
      </c>
      <c r="B700" s="5" t="s">
        <v>841</v>
      </c>
      <c r="C700" s="5" t="s">
        <v>842</v>
      </c>
      <c r="E700" s="5" t="s">
        <v>36</v>
      </c>
      <c r="F700" s="5" t="s">
        <v>37</v>
      </c>
      <c r="G700" s="5" t="s">
        <v>157</v>
      </c>
      <c r="H700" s="5" t="s">
        <v>809</v>
      </c>
      <c r="I700" s="5" t="s">
        <v>843</v>
      </c>
      <c r="J700" s="5" t="s">
        <v>41</v>
      </c>
      <c r="K700" s="5" t="s">
        <v>159</v>
      </c>
      <c r="L700" s="5" t="s">
        <v>79</v>
      </c>
      <c r="M700" s="5" t="s">
        <v>343</v>
      </c>
      <c r="N700" s="11"/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485900</v>
      </c>
      <c r="AG700" s="5" t="s">
        <v>45</v>
      </c>
      <c r="AH700" s="5" t="s">
        <v>46</v>
      </c>
    </row>
    <row r="701" spans="1:34" s="5" customFormat="1">
      <c r="A701" s="5" t="s">
        <v>154</v>
      </c>
      <c r="B701" s="5" t="s">
        <v>852</v>
      </c>
      <c r="C701" s="5" t="s">
        <v>853</v>
      </c>
      <c r="E701" s="5" t="s">
        <v>36</v>
      </c>
      <c r="F701" s="5" t="s">
        <v>37</v>
      </c>
      <c r="G701" s="5" t="s">
        <v>157</v>
      </c>
      <c r="H701" s="5" t="s">
        <v>854</v>
      </c>
      <c r="I701" s="5" t="s">
        <v>855</v>
      </c>
      <c r="J701" s="5" t="s">
        <v>41</v>
      </c>
      <c r="K701" s="5" t="s">
        <v>159</v>
      </c>
      <c r="L701" s="5" t="s">
        <v>79</v>
      </c>
      <c r="M701" s="5" t="s">
        <v>343</v>
      </c>
      <c r="N701" s="11"/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1000032</v>
      </c>
      <c r="AG701" s="5" t="s">
        <v>45</v>
      </c>
      <c r="AH701" s="5" t="s">
        <v>46</v>
      </c>
    </row>
    <row r="702" spans="1:34" s="5" customFormat="1">
      <c r="A702" s="5" t="s">
        <v>154</v>
      </c>
      <c r="B702" s="5" t="s">
        <v>859</v>
      </c>
      <c r="C702" s="5" t="s">
        <v>860</v>
      </c>
      <c r="E702" s="5" t="s">
        <v>36</v>
      </c>
      <c r="F702" s="5" t="s">
        <v>37</v>
      </c>
      <c r="G702" s="5" t="s">
        <v>157</v>
      </c>
      <c r="H702" s="5" t="s">
        <v>854</v>
      </c>
      <c r="I702" s="5" t="s">
        <v>861</v>
      </c>
      <c r="J702" s="5" t="s">
        <v>41</v>
      </c>
      <c r="K702" s="5" t="s">
        <v>159</v>
      </c>
      <c r="L702" s="5" t="s">
        <v>79</v>
      </c>
      <c r="M702" s="5" t="s">
        <v>343</v>
      </c>
      <c r="N702" s="11"/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350000</v>
      </c>
      <c r="AG702" s="5" t="s">
        <v>45</v>
      </c>
      <c r="AH702" s="5" t="s">
        <v>46</v>
      </c>
    </row>
    <row r="703" spans="1:34" s="5" customFormat="1">
      <c r="A703" s="5" t="s">
        <v>154</v>
      </c>
      <c r="B703" s="5" t="s">
        <v>862</v>
      </c>
      <c r="C703" s="5" t="s">
        <v>863</v>
      </c>
      <c r="E703" s="5" t="s">
        <v>36</v>
      </c>
      <c r="F703" s="5" t="s">
        <v>37</v>
      </c>
      <c r="G703" s="5" t="s">
        <v>157</v>
      </c>
      <c r="H703" s="5" t="s">
        <v>854</v>
      </c>
      <c r="I703" s="5" t="s">
        <v>864</v>
      </c>
      <c r="J703" s="5" t="s">
        <v>41</v>
      </c>
      <c r="K703" s="5" t="s">
        <v>159</v>
      </c>
      <c r="L703" s="5" t="s">
        <v>79</v>
      </c>
      <c r="M703" s="5" t="s">
        <v>343</v>
      </c>
      <c r="N703" s="11"/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244000</v>
      </c>
      <c r="AG703" s="5" t="s">
        <v>45</v>
      </c>
      <c r="AH703" s="5" t="s">
        <v>46</v>
      </c>
    </row>
    <row r="704" spans="1:34" s="5" customFormat="1">
      <c r="A704" s="5" t="s">
        <v>154</v>
      </c>
      <c r="B704" s="5" t="s">
        <v>865</v>
      </c>
      <c r="C704" s="5" t="s">
        <v>866</v>
      </c>
      <c r="E704" s="5" t="s">
        <v>36</v>
      </c>
      <c r="F704" s="5" t="s">
        <v>37</v>
      </c>
      <c r="G704" s="5" t="s">
        <v>157</v>
      </c>
      <c r="H704" s="5" t="s">
        <v>854</v>
      </c>
      <c r="I704" s="5" t="s">
        <v>867</v>
      </c>
      <c r="J704" s="5" t="s">
        <v>41</v>
      </c>
      <c r="K704" s="5" t="s">
        <v>159</v>
      </c>
      <c r="L704" s="5" t="s">
        <v>79</v>
      </c>
      <c r="M704" s="5" t="s">
        <v>343</v>
      </c>
      <c r="N704" s="11"/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181300</v>
      </c>
      <c r="AG704" s="5" t="s">
        <v>45</v>
      </c>
      <c r="AH704" s="5" t="s">
        <v>46</v>
      </c>
    </row>
    <row r="705" spans="1:34" s="5" customFormat="1">
      <c r="A705" s="5" t="s">
        <v>154</v>
      </c>
      <c r="B705" s="5" t="s">
        <v>871</v>
      </c>
      <c r="C705" s="5" t="s">
        <v>872</v>
      </c>
      <c r="E705" s="5" t="s">
        <v>36</v>
      </c>
      <c r="F705" s="5" t="s">
        <v>37</v>
      </c>
      <c r="G705" s="5" t="s">
        <v>157</v>
      </c>
      <c r="H705" s="5" t="s">
        <v>854</v>
      </c>
      <c r="I705" s="5" t="s">
        <v>873</v>
      </c>
      <c r="J705" s="5" t="s">
        <v>41</v>
      </c>
      <c r="K705" s="5" t="s">
        <v>159</v>
      </c>
      <c r="L705" s="5" t="s">
        <v>79</v>
      </c>
      <c r="M705" s="5" t="s">
        <v>343</v>
      </c>
      <c r="N705" s="11"/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2124850</v>
      </c>
      <c r="AG705" s="5" t="s">
        <v>45</v>
      </c>
      <c r="AH705" s="5" t="s">
        <v>46</v>
      </c>
    </row>
    <row r="706" spans="1:34" s="5" customFormat="1">
      <c r="A706" s="5" t="s">
        <v>154</v>
      </c>
      <c r="B706" s="5" t="s">
        <v>877</v>
      </c>
      <c r="C706" s="5" t="s">
        <v>878</v>
      </c>
      <c r="E706" s="5" t="s">
        <v>36</v>
      </c>
      <c r="F706" s="5" t="s">
        <v>37</v>
      </c>
      <c r="G706" s="5" t="s">
        <v>157</v>
      </c>
      <c r="H706" s="5" t="s">
        <v>854</v>
      </c>
      <c r="I706" s="5" t="s">
        <v>879</v>
      </c>
      <c r="J706" s="5" t="s">
        <v>41</v>
      </c>
      <c r="K706" s="5" t="s">
        <v>159</v>
      </c>
      <c r="L706" s="5" t="s">
        <v>79</v>
      </c>
      <c r="M706" s="5" t="s">
        <v>343</v>
      </c>
      <c r="N706" s="11"/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1056000</v>
      </c>
      <c r="AG706" s="5" t="s">
        <v>45</v>
      </c>
      <c r="AH706" s="5" t="s">
        <v>46</v>
      </c>
    </row>
    <row r="707" spans="1:34" s="5" customFormat="1">
      <c r="A707" s="5" t="s">
        <v>154</v>
      </c>
      <c r="B707" s="5" t="s">
        <v>883</v>
      </c>
      <c r="C707" s="5" t="s">
        <v>884</v>
      </c>
      <c r="E707" s="5" t="s">
        <v>36</v>
      </c>
      <c r="F707" s="5" t="s">
        <v>37</v>
      </c>
      <c r="G707" s="5" t="s">
        <v>157</v>
      </c>
      <c r="H707" s="5" t="s">
        <v>854</v>
      </c>
      <c r="I707" s="5" t="s">
        <v>885</v>
      </c>
      <c r="J707" s="5" t="s">
        <v>41</v>
      </c>
      <c r="K707" s="5" t="s">
        <v>159</v>
      </c>
      <c r="L707" s="5" t="s">
        <v>79</v>
      </c>
      <c r="M707" s="5" t="s">
        <v>343</v>
      </c>
      <c r="N707" s="11"/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760000</v>
      </c>
      <c r="AG707" s="5" t="s">
        <v>45</v>
      </c>
      <c r="AH707" s="5" t="s">
        <v>46</v>
      </c>
    </row>
    <row r="708" spans="1:34" s="5" customFormat="1">
      <c r="A708" s="5" t="s">
        <v>154</v>
      </c>
      <c r="B708" s="5" t="s">
        <v>886</v>
      </c>
      <c r="C708" s="5" t="s">
        <v>887</v>
      </c>
      <c r="E708" s="5" t="s">
        <v>36</v>
      </c>
      <c r="F708" s="5" t="s">
        <v>37</v>
      </c>
      <c r="G708" s="5" t="s">
        <v>157</v>
      </c>
      <c r="H708" s="5" t="s">
        <v>854</v>
      </c>
      <c r="I708" s="5" t="s">
        <v>888</v>
      </c>
      <c r="J708" s="5" t="s">
        <v>41</v>
      </c>
      <c r="K708" s="5" t="s">
        <v>159</v>
      </c>
      <c r="L708" s="5" t="s">
        <v>79</v>
      </c>
      <c r="M708" s="5" t="s">
        <v>343</v>
      </c>
      <c r="N708" s="11"/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990450</v>
      </c>
      <c r="AG708" s="5" t="s">
        <v>45</v>
      </c>
      <c r="AH708" s="5" t="s">
        <v>46</v>
      </c>
    </row>
    <row r="709" spans="1:34" s="5" customFormat="1">
      <c r="A709" s="5" t="s">
        <v>154</v>
      </c>
      <c r="B709" s="5" t="s">
        <v>895</v>
      </c>
      <c r="C709" s="5" t="s">
        <v>896</v>
      </c>
      <c r="E709" s="5" t="s">
        <v>36</v>
      </c>
      <c r="F709" s="5" t="s">
        <v>37</v>
      </c>
      <c r="G709" s="5" t="s">
        <v>157</v>
      </c>
      <c r="H709" s="5" t="s">
        <v>854</v>
      </c>
      <c r="I709" s="5" t="s">
        <v>897</v>
      </c>
      <c r="J709" s="5" t="s">
        <v>41</v>
      </c>
      <c r="K709" s="5" t="s">
        <v>159</v>
      </c>
      <c r="L709" s="5" t="s">
        <v>79</v>
      </c>
      <c r="M709" s="5" t="s">
        <v>343</v>
      </c>
      <c r="N709" s="11"/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184700</v>
      </c>
      <c r="AG709" s="5" t="s">
        <v>45</v>
      </c>
      <c r="AH709" s="5" t="s">
        <v>46</v>
      </c>
    </row>
    <row r="710" spans="1:34" s="5" customFormat="1">
      <c r="A710" s="5" t="s">
        <v>154</v>
      </c>
      <c r="B710" s="5" t="s">
        <v>898</v>
      </c>
      <c r="C710" s="5" t="s">
        <v>899</v>
      </c>
      <c r="E710" s="5" t="s">
        <v>36</v>
      </c>
      <c r="F710" s="5" t="s">
        <v>37</v>
      </c>
      <c r="G710" s="5" t="s">
        <v>157</v>
      </c>
      <c r="H710" s="5" t="s">
        <v>854</v>
      </c>
      <c r="I710" s="5" t="s">
        <v>900</v>
      </c>
      <c r="J710" s="5" t="s">
        <v>41</v>
      </c>
      <c r="K710" s="5" t="s">
        <v>159</v>
      </c>
      <c r="L710" s="5" t="s">
        <v>79</v>
      </c>
      <c r="M710" s="5" t="s">
        <v>343</v>
      </c>
      <c r="N710" s="11"/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960000</v>
      </c>
      <c r="AG710" s="5" t="s">
        <v>45</v>
      </c>
      <c r="AH710" s="5" t="s">
        <v>46</v>
      </c>
    </row>
    <row r="711" spans="1:34" s="5" customFormat="1">
      <c r="A711" s="5" t="s">
        <v>154</v>
      </c>
      <c r="B711" s="5" t="s">
        <v>789</v>
      </c>
      <c r="C711" s="5" t="s">
        <v>790</v>
      </c>
      <c r="E711" s="5" t="s">
        <v>36</v>
      </c>
      <c r="F711" s="5" t="s">
        <v>37</v>
      </c>
      <c r="G711" s="5" t="s">
        <v>157</v>
      </c>
      <c r="H711" s="5" t="s">
        <v>770</v>
      </c>
      <c r="I711" s="5" t="s">
        <v>791</v>
      </c>
      <c r="J711" s="5" t="s">
        <v>41</v>
      </c>
      <c r="K711" s="5" t="s">
        <v>159</v>
      </c>
      <c r="L711" s="5" t="s">
        <v>104</v>
      </c>
      <c r="M711" s="5" t="s">
        <v>792</v>
      </c>
      <c r="N711" s="11"/>
      <c r="P711" s="11">
        <v>0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10894143</v>
      </c>
      <c r="AG711" s="5" t="s">
        <v>45</v>
      </c>
      <c r="AH711" s="5" t="s">
        <v>46</v>
      </c>
    </row>
    <row r="712" spans="1:34" s="5" customFormat="1">
      <c r="A712" s="5" t="s">
        <v>154</v>
      </c>
      <c r="B712" s="5" t="s">
        <v>1515</v>
      </c>
      <c r="C712" s="5" t="s">
        <v>1516</v>
      </c>
      <c r="E712" s="5" t="s">
        <v>36</v>
      </c>
      <c r="F712" s="5" t="s">
        <v>37</v>
      </c>
      <c r="G712" s="5" t="s">
        <v>157</v>
      </c>
      <c r="H712" s="5" t="s">
        <v>1384</v>
      </c>
      <c r="I712" s="5" t="s">
        <v>1517</v>
      </c>
      <c r="J712" s="5" t="s">
        <v>41</v>
      </c>
      <c r="K712" s="5" t="s">
        <v>159</v>
      </c>
      <c r="L712" s="5" t="s">
        <v>104</v>
      </c>
      <c r="M712" s="5" t="s">
        <v>792</v>
      </c>
      <c r="N712" s="11"/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2936602</v>
      </c>
      <c r="AG712" s="5" t="s">
        <v>45</v>
      </c>
      <c r="AH712" s="5" t="s">
        <v>46</v>
      </c>
    </row>
    <row r="713" spans="1:34" s="5" customFormat="1">
      <c r="A713" s="5" t="s">
        <v>154</v>
      </c>
      <c r="B713" s="5" t="s">
        <v>452</v>
      </c>
      <c r="C713" s="5" t="s">
        <v>453</v>
      </c>
      <c r="E713" s="5" t="s">
        <v>36</v>
      </c>
      <c r="F713" s="5" t="s">
        <v>37</v>
      </c>
      <c r="G713" s="5" t="s">
        <v>157</v>
      </c>
      <c r="H713" s="5" t="s">
        <v>321</v>
      </c>
      <c r="I713" s="5" t="s">
        <v>454</v>
      </c>
      <c r="J713" s="5" t="s">
        <v>41</v>
      </c>
      <c r="K713" s="5" t="s">
        <v>159</v>
      </c>
      <c r="L713" s="5" t="s">
        <v>53</v>
      </c>
      <c r="M713" s="5" t="s">
        <v>455</v>
      </c>
      <c r="N713" s="11"/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1735067</v>
      </c>
      <c r="AG713" s="5" t="s">
        <v>45</v>
      </c>
      <c r="AH713" s="5" t="s">
        <v>46</v>
      </c>
    </row>
    <row r="714" spans="1:34" s="5" customFormat="1">
      <c r="A714" s="5" t="s">
        <v>154</v>
      </c>
      <c r="B714" s="5" t="s">
        <v>807</v>
      </c>
      <c r="C714" s="5" t="s">
        <v>808</v>
      </c>
      <c r="E714" s="5" t="s">
        <v>36</v>
      </c>
      <c r="F714" s="5" t="s">
        <v>37</v>
      </c>
      <c r="G714" s="5" t="s">
        <v>157</v>
      </c>
      <c r="H714" s="5" t="s">
        <v>809</v>
      </c>
      <c r="I714" s="5" t="s">
        <v>810</v>
      </c>
      <c r="J714" s="5" t="s">
        <v>41</v>
      </c>
      <c r="K714" s="5" t="s">
        <v>159</v>
      </c>
      <c r="L714" s="5" t="s">
        <v>53</v>
      </c>
      <c r="M714" s="5" t="s">
        <v>455</v>
      </c>
      <c r="N714" s="11"/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1920443</v>
      </c>
      <c r="AG714" s="5" t="s">
        <v>45</v>
      </c>
      <c r="AH714" s="5" t="s">
        <v>46</v>
      </c>
    </row>
    <row r="715" spans="1:34" s="5" customFormat="1">
      <c r="A715" s="5" t="s">
        <v>154</v>
      </c>
      <c r="B715" s="5" t="s">
        <v>1512</v>
      </c>
      <c r="C715" s="5" t="s">
        <v>1513</v>
      </c>
      <c r="E715" s="5" t="s">
        <v>36</v>
      </c>
      <c r="F715" s="5" t="s">
        <v>37</v>
      </c>
      <c r="G715" s="5" t="s">
        <v>157</v>
      </c>
      <c r="H715" s="5" t="s">
        <v>1384</v>
      </c>
      <c r="I715" s="5" t="s">
        <v>1514</v>
      </c>
      <c r="J715" s="5" t="s">
        <v>41</v>
      </c>
      <c r="K715" s="5" t="s">
        <v>159</v>
      </c>
      <c r="L715" s="5" t="s">
        <v>53</v>
      </c>
      <c r="M715" s="5" t="s">
        <v>455</v>
      </c>
      <c r="N715" s="11"/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1807351</v>
      </c>
      <c r="AG715" s="5" t="s">
        <v>45</v>
      </c>
      <c r="AH715" s="5" t="s">
        <v>46</v>
      </c>
    </row>
    <row r="716" spans="1:34" s="5" customFormat="1">
      <c r="A716" s="5" t="s">
        <v>154</v>
      </c>
      <c r="B716" s="5" t="s">
        <v>784</v>
      </c>
      <c r="C716" s="5" t="s">
        <v>785</v>
      </c>
      <c r="E716" s="5" t="s">
        <v>36</v>
      </c>
      <c r="F716" s="5" t="s">
        <v>37</v>
      </c>
      <c r="G716" s="5" t="s">
        <v>157</v>
      </c>
      <c r="H716" s="5" t="s">
        <v>770</v>
      </c>
      <c r="I716" s="5" t="s">
        <v>786</v>
      </c>
      <c r="J716" s="5" t="s">
        <v>41</v>
      </c>
      <c r="K716" s="5" t="s">
        <v>159</v>
      </c>
      <c r="L716" s="5" t="s">
        <v>787</v>
      </c>
      <c r="M716" s="5" t="s">
        <v>788</v>
      </c>
      <c r="N716" s="11"/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6082062</v>
      </c>
      <c r="AG716" s="5" t="s">
        <v>45</v>
      </c>
      <c r="AH716" s="5" t="s">
        <v>46</v>
      </c>
    </row>
    <row r="717" spans="1:34" s="5" customFormat="1">
      <c r="A717" s="5" t="s">
        <v>154</v>
      </c>
      <c r="B717" s="5" t="s">
        <v>1550</v>
      </c>
      <c r="C717" s="5" t="s">
        <v>1551</v>
      </c>
      <c r="E717" s="5" t="s">
        <v>36</v>
      </c>
      <c r="F717" s="5" t="s">
        <v>37</v>
      </c>
      <c r="G717" s="5" t="s">
        <v>157</v>
      </c>
      <c r="H717" s="5" t="s">
        <v>1535</v>
      </c>
      <c r="I717" s="5" t="s">
        <v>1552</v>
      </c>
      <c r="J717" s="5" t="s">
        <v>41</v>
      </c>
      <c r="K717" s="5" t="s">
        <v>159</v>
      </c>
      <c r="L717" s="5" t="s">
        <v>787</v>
      </c>
      <c r="M717" s="5" t="s">
        <v>788</v>
      </c>
      <c r="N717" s="11"/>
      <c r="P717" s="11">
        <v>0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5498204</v>
      </c>
      <c r="AG717" s="5" t="s">
        <v>45</v>
      </c>
      <c r="AH717" s="5" t="s">
        <v>46</v>
      </c>
    </row>
    <row r="718" spans="1:34" s="5" customFormat="1">
      <c r="A718" s="5" t="s">
        <v>154</v>
      </c>
      <c r="B718" s="5" t="s">
        <v>793</v>
      </c>
      <c r="C718" s="5" t="s">
        <v>794</v>
      </c>
      <c r="E718" s="5" t="s">
        <v>36</v>
      </c>
      <c r="F718" s="5" t="s">
        <v>37</v>
      </c>
      <c r="G718" s="5" t="s">
        <v>157</v>
      </c>
      <c r="H718" s="5" t="s">
        <v>770</v>
      </c>
      <c r="I718" s="5" t="s">
        <v>795</v>
      </c>
      <c r="J718" s="5" t="s">
        <v>41</v>
      </c>
      <c r="K718" s="5" t="s">
        <v>159</v>
      </c>
      <c r="L718" s="5" t="s">
        <v>796</v>
      </c>
      <c r="M718" s="5" t="s">
        <v>797</v>
      </c>
      <c r="N718" s="11"/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5644375</v>
      </c>
      <c r="AG718" s="5" t="s">
        <v>45</v>
      </c>
      <c r="AH718" s="5" t="s">
        <v>46</v>
      </c>
    </row>
    <row r="719" spans="1:34" s="5" customFormat="1">
      <c r="A719" s="5" t="s">
        <v>154</v>
      </c>
      <c r="B719" s="5" t="s">
        <v>1556</v>
      </c>
      <c r="C719" s="5" t="s">
        <v>1557</v>
      </c>
      <c r="E719" s="5" t="s">
        <v>36</v>
      </c>
      <c r="F719" s="5" t="s">
        <v>37</v>
      </c>
      <c r="G719" s="5" t="s">
        <v>157</v>
      </c>
      <c r="H719" s="5" t="s">
        <v>1535</v>
      </c>
      <c r="I719" s="5" t="s">
        <v>1558</v>
      </c>
      <c r="J719" s="5" t="s">
        <v>41</v>
      </c>
      <c r="K719" s="5" t="s">
        <v>159</v>
      </c>
      <c r="L719" s="5" t="s">
        <v>796</v>
      </c>
      <c r="M719" s="5" t="s">
        <v>797</v>
      </c>
      <c r="N719" s="11"/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5677083</v>
      </c>
      <c r="AG719" s="5" t="s">
        <v>45</v>
      </c>
      <c r="AH719" s="5" t="s">
        <v>46</v>
      </c>
    </row>
    <row r="720" spans="1:34" s="5" customFormat="1">
      <c r="A720" s="5" t="s">
        <v>154</v>
      </c>
      <c r="B720" s="5" t="s">
        <v>834</v>
      </c>
      <c r="C720" s="5" t="s">
        <v>835</v>
      </c>
      <c r="E720" s="5" t="s">
        <v>36</v>
      </c>
      <c r="F720" s="5" t="s">
        <v>37</v>
      </c>
      <c r="G720" s="5" t="s">
        <v>157</v>
      </c>
      <c r="H720" s="5" t="s">
        <v>809</v>
      </c>
      <c r="I720" s="5" t="s">
        <v>836</v>
      </c>
      <c r="J720" s="5" t="s">
        <v>41</v>
      </c>
      <c r="K720" s="5" t="s">
        <v>159</v>
      </c>
      <c r="L720" s="5" t="s">
        <v>116</v>
      </c>
      <c r="M720" s="5" t="s">
        <v>837</v>
      </c>
      <c r="N720" s="11"/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153600</v>
      </c>
      <c r="AG720" s="5" t="s">
        <v>45</v>
      </c>
      <c r="AH720" s="5" t="s">
        <v>46</v>
      </c>
    </row>
    <row r="721" spans="1:34" s="5" customFormat="1">
      <c r="A721" s="5" t="s">
        <v>154</v>
      </c>
      <c r="B721" s="5" t="s">
        <v>1533</v>
      </c>
      <c r="C721" s="5" t="s">
        <v>1534</v>
      </c>
      <c r="E721" s="5" t="s">
        <v>36</v>
      </c>
      <c r="F721" s="5" t="s">
        <v>37</v>
      </c>
      <c r="G721" s="5" t="s">
        <v>157</v>
      </c>
      <c r="H721" s="5" t="s">
        <v>1535</v>
      </c>
      <c r="I721" s="5" t="s">
        <v>1536</v>
      </c>
      <c r="J721" s="5" t="s">
        <v>41</v>
      </c>
      <c r="K721" s="5" t="s">
        <v>159</v>
      </c>
      <c r="L721" s="5" t="s">
        <v>1537</v>
      </c>
      <c r="M721" s="5" t="s">
        <v>1538</v>
      </c>
      <c r="N721" s="11"/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966902</v>
      </c>
      <c r="AG721" s="5" t="s">
        <v>45</v>
      </c>
      <c r="AH721" s="5" t="s">
        <v>46</v>
      </c>
    </row>
    <row r="722" spans="1:34" s="5" customFormat="1">
      <c r="A722" s="5" t="s">
        <v>154</v>
      </c>
      <c r="B722" s="5" t="s">
        <v>402</v>
      </c>
      <c r="C722" s="5" t="s">
        <v>403</v>
      </c>
      <c r="E722" s="5" t="s">
        <v>36</v>
      </c>
      <c r="F722" s="5" t="s">
        <v>37</v>
      </c>
      <c r="G722" s="5" t="s">
        <v>157</v>
      </c>
      <c r="H722" s="5" t="s">
        <v>388</v>
      </c>
      <c r="I722" s="5" t="s">
        <v>404</v>
      </c>
      <c r="J722" s="5" t="s">
        <v>41</v>
      </c>
      <c r="K722" s="5" t="s">
        <v>159</v>
      </c>
      <c r="L722" s="5" t="s">
        <v>405</v>
      </c>
      <c r="M722" s="5" t="s">
        <v>406</v>
      </c>
      <c r="N722" s="11"/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360000</v>
      </c>
      <c r="AG722" s="5" t="s">
        <v>45</v>
      </c>
      <c r="AH722" s="5" t="s">
        <v>46</v>
      </c>
    </row>
    <row r="723" spans="1:34" s="5" customFormat="1">
      <c r="A723" s="5" t="s">
        <v>154</v>
      </c>
      <c r="B723" s="5" t="s">
        <v>456</v>
      </c>
      <c r="C723" s="5" t="s">
        <v>457</v>
      </c>
      <c r="E723" s="5" t="s">
        <v>36</v>
      </c>
      <c r="F723" s="5" t="s">
        <v>37</v>
      </c>
      <c r="G723" s="5" t="s">
        <v>157</v>
      </c>
      <c r="H723" s="5" t="s">
        <v>321</v>
      </c>
      <c r="I723" s="5" t="s">
        <v>458</v>
      </c>
      <c r="J723" s="5" t="s">
        <v>41</v>
      </c>
      <c r="K723" s="5" t="s">
        <v>159</v>
      </c>
      <c r="L723" s="5" t="s">
        <v>405</v>
      </c>
      <c r="M723" s="5" t="s">
        <v>406</v>
      </c>
      <c r="N723" s="11"/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320000</v>
      </c>
      <c r="AG723" s="5" t="s">
        <v>45</v>
      </c>
      <c r="AH723" s="5" t="s">
        <v>46</v>
      </c>
    </row>
    <row r="724" spans="1:34" s="5" customFormat="1">
      <c r="A724" s="5" t="s">
        <v>154</v>
      </c>
      <c r="B724" s="5" t="s">
        <v>577</v>
      </c>
      <c r="C724" s="5" t="s">
        <v>578</v>
      </c>
      <c r="E724" s="5" t="s">
        <v>36</v>
      </c>
      <c r="F724" s="5" t="s">
        <v>37</v>
      </c>
      <c r="G724" s="5" t="s">
        <v>157</v>
      </c>
      <c r="H724" s="5" t="s">
        <v>575</v>
      </c>
      <c r="I724" s="5" t="s">
        <v>579</v>
      </c>
      <c r="J724" s="5" t="s">
        <v>41</v>
      </c>
      <c r="K724" s="5" t="s">
        <v>159</v>
      </c>
      <c r="L724" s="5" t="s">
        <v>405</v>
      </c>
      <c r="M724" s="5" t="s">
        <v>406</v>
      </c>
      <c r="N724" s="11"/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202400</v>
      </c>
      <c r="AG724" s="5" t="s">
        <v>45</v>
      </c>
      <c r="AH724" s="5" t="s">
        <v>46</v>
      </c>
    </row>
    <row r="725" spans="1:34" s="5" customFormat="1">
      <c r="A725" s="5" t="s">
        <v>154</v>
      </c>
      <c r="B725" s="5" t="s">
        <v>675</v>
      </c>
      <c r="C725" s="5" t="s">
        <v>676</v>
      </c>
      <c r="E725" s="5" t="s">
        <v>36</v>
      </c>
      <c r="F725" s="5" t="s">
        <v>37</v>
      </c>
      <c r="G725" s="5" t="s">
        <v>157</v>
      </c>
      <c r="H725" s="5" t="s">
        <v>667</v>
      </c>
      <c r="I725" s="5" t="s">
        <v>677</v>
      </c>
      <c r="J725" s="5" t="s">
        <v>41</v>
      </c>
      <c r="K725" s="5" t="s">
        <v>159</v>
      </c>
      <c r="L725" s="5" t="s">
        <v>405</v>
      </c>
      <c r="M725" s="5" t="s">
        <v>406</v>
      </c>
      <c r="N725" s="11"/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371600</v>
      </c>
      <c r="AG725" s="5" t="s">
        <v>45</v>
      </c>
      <c r="AH725" s="5" t="s">
        <v>46</v>
      </c>
    </row>
    <row r="726" spans="1:34" s="5" customFormat="1">
      <c r="A726" s="5" t="s">
        <v>154</v>
      </c>
      <c r="B726" s="5" t="s">
        <v>164</v>
      </c>
      <c r="C726" s="5" t="s">
        <v>165</v>
      </c>
      <c r="E726" s="5" t="s">
        <v>36</v>
      </c>
      <c r="F726" s="5" t="s">
        <v>37</v>
      </c>
      <c r="G726" s="5" t="s">
        <v>157</v>
      </c>
      <c r="H726" s="5" t="s">
        <v>145</v>
      </c>
      <c r="I726" s="5" t="s">
        <v>166</v>
      </c>
      <c r="J726" s="5" t="s">
        <v>41</v>
      </c>
      <c r="K726" s="5" t="s">
        <v>159</v>
      </c>
      <c r="L726" s="5" t="s">
        <v>133</v>
      </c>
      <c r="M726" s="5" t="s">
        <v>134</v>
      </c>
      <c r="N726" s="11"/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2500000</v>
      </c>
      <c r="AG726" s="5" t="s">
        <v>45</v>
      </c>
      <c r="AH726" s="5" t="s">
        <v>46</v>
      </c>
    </row>
    <row r="727" spans="1:34" s="5" customFormat="1">
      <c r="A727" s="5" t="s">
        <v>154</v>
      </c>
      <c r="B727" s="5" t="s">
        <v>358</v>
      </c>
      <c r="C727" s="5" t="s">
        <v>359</v>
      </c>
      <c r="E727" s="5" t="s">
        <v>36</v>
      </c>
      <c r="F727" s="5" t="s">
        <v>37</v>
      </c>
      <c r="G727" s="5" t="s">
        <v>157</v>
      </c>
      <c r="H727" s="5" t="s">
        <v>334</v>
      </c>
      <c r="I727" s="5" t="s">
        <v>360</v>
      </c>
      <c r="J727" s="5" t="s">
        <v>41</v>
      </c>
      <c r="K727" s="5" t="s">
        <v>159</v>
      </c>
      <c r="L727" s="5" t="s">
        <v>133</v>
      </c>
      <c r="M727" s="5" t="s">
        <v>134</v>
      </c>
      <c r="N727" s="11"/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2500000</v>
      </c>
      <c r="AG727" s="5" t="s">
        <v>45</v>
      </c>
      <c r="AH727" s="5" t="s">
        <v>46</v>
      </c>
    </row>
    <row r="728" spans="1:34" s="5" customFormat="1">
      <c r="A728" s="5" t="s">
        <v>154</v>
      </c>
      <c r="B728" s="5" t="s">
        <v>496</v>
      </c>
      <c r="C728" s="5" t="s">
        <v>497</v>
      </c>
      <c r="E728" s="5" t="s">
        <v>36</v>
      </c>
      <c r="F728" s="5" t="s">
        <v>37</v>
      </c>
      <c r="G728" s="5" t="s">
        <v>157</v>
      </c>
      <c r="H728" s="5" t="s">
        <v>491</v>
      </c>
      <c r="I728" s="5" t="s">
        <v>498</v>
      </c>
      <c r="J728" s="5" t="s">
        <v>41</v>
      </c>
      <c r="K728" s="5" t="s">
        <v>159</v>
      </c>
      <c r="L728" s="5" t="s">
        <v>133</v>
      </c>
      <c r="M728" s="5" t="s">
        <v>134</v>
      </c>
      <c r="N728" s="11"/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2500000</v>
      </c>
      <c r="AG728" s="5" t="s">
        <v>45</v>
      </c>
      <c r="AH728" s="5" t="s">
        <v>46</v>
      </c>
    </row>
    <row r="729" spans="1:34" s="5" customFormat="1">
      <c r="A729" s="5" t="s">
        <v>154</v>
      </c>
      <c r="B729" s="5" t="s">
        <v>778</v>
      </c>
      <c r="C729" s="5" t="s">
        <v>779</v>
      </c>
      <c r="E729" s="5" t="s">
        <v>36</v>
      </c>
      <c r="F729" s="5" t="s">
        <v>37</v>
      </c>
      <c r="G729" s="5" t="s">
        <v>157</v>
      </c>
      <c r="H729" s="5" t="s">
        <v>770</v>
      </c>
      <c r="I729" s="5" t="s">
        <v>780</v>
      </c>
      <c r="J729" s="5" t="s">
        <v>41</v>
      </c>
      <c r="K729" s="5" t="s">
        <v>159</v>
      </c>
      <c r="L729" s="5" t="s">
        <v>133</v>
      </c>
      <c r="M729" s="5" t="s">
        <v>134</v>
      </c>
      <c r="N729" s="11"/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2500000</v>
      </c>
      <c r="AG729" s="5" t="s">
        <v>45</v>
      </c>
      <c r="AH729" s="5" t="s">
        <v>46</v>
      </c>
    </row>
    <row r="730" spans="1:34" s="5" customFormat="1">
      <c r="A730" s="5" t="s">
        <v>154</v>
      </c>
      <c r="B730" s="5" t="s">
        <v>992</v>
      </c>
      <c r="C730" s="5" t="s">
        <v>993</v>
      </c>
      <c r="E730" s="5" t="s">
        <v>36</v>
      </c>
      <c r="F730" s="5" t="s">
        <v>37</v>
      </c>
      <c r="G730" s="5" t="s">
        <v>157</v>
      </c>
      <c r="H730" s="5" t="s">
        <v>903</v>
      </c>
      <c r="I730" s="5" t="s">
        <v>994</v>
      </c>
      <c r="J730" s="5" t="s">
        <v>41</v>
      </c>
      <c r="K730" s="5" t="s">
        <v>159</v>
      </c>
      <c r="L730" s="5" t="s">
        <v>133</v>
      </c>
      <c r="M730" s="5" t="s">
        <v>134</v>
      </c>
      <c r="N730" s="11"/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2500000</v>
      </c>
      <c r="AG730" s="5" t="s">
        <v>45</v>
      </c>
      <c r="AH730" s="5" t="s">
        <v>46</v>
      </c>
    </row>
    <row r="731" spans="1:34" s="5" customFormat="1">
      <c r="A731" s="5" t="s">
        <v>154</v>
      </c>
      <c r="B731" s="5" t="s">
        <v>995</v>
      </c>
      <c r="C731" s="5" t="s">
        <v>996</v>
      </c>
      <c r="E731" s="5" t="s">
        <v>36</v>
      </c>
      <c r="F731" s="5" t="s">
        <v>37</v>
      </c>
      <c r="G731" s="5" t="s">
        <v>157</v>
      </c>
      <c r="H731" s="5" t="s">
        <v>903</v>
      </c>
      <c r="I731" s="5" t="s">
        <v>997</v>
      </c>
      <c r="J731" s="5" t="s">
        <v>41</v>
      </c>
      <c r="K731" s="5" t="s">
        <v>159</v>
      </c>
      <c r="L731" s="5" t="s">
        <v>133</v>
      </c>
      <c r="M731" s="5" t="s">
        <v>134</v>
      </c>
      <c r="N731" s="11"/>
      <c r="P731" s="11">
        <v>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2500000</v>
      </c>
      <c r="AG731" s="5" t="s">
        <v>45</v>
      </c>
      <c r="AH731" s="5" t="s">
        <v>46</v>
      </c>
    </row>
    <row r="732" spans="1:34" s="5" customFormat="1">
      <c r="A732" s="5" t="s">
        <v>154</v>
      </c>
      <c r="B732" s="5" t="s">
        <v>998</v>
      </c>
      <c r="C732" s="5" t="s">
        <v>999</v>
      </c>
      <c r="E732" s="5" t="s">
        <v>36</v>
      </c>
      <c r="F732" s="5" t="s">
        <v>37</v>
      </c>
      <c r="G732" s="5" t="s">
        <v>157</v>
      </c>
      <c r="H732" s="5" t="s">
        <v>903</v>
      </c>
      <c r="I732" s="5" t="s">
        <v>1000</v>
      </c>
      <c r="J732" s="5" t="s">
        <v>41</v>
      </c>
      <c r="K732" s="5" t="s">
        <v>159</v>
      </c>
      <c r="L732" s="5" t="s">
        <v>133</v>
      </c>
      <c r="M732" s="5" t="s">
        <v>134</v>
      </c>
      <c r="N732" s="11"/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2500000</v>
      </c>
      <c r="AG732" s="5" t="s">
        <v>45</v>
      </c>
      <c r="AH732" s="5" t="s">
        <v>46</v>
      </c>
    </row>
    <row r="733" spans="1:34" s="5" customFormat="1">
      <c r="A733" s="5" t="s">
        <v>154</v>
      </c>
      <c r="B733" s="5" t="s">
        <v>1001</v>
      </c>
      <c r="C733" s="5" t="s">
        <v>1002</v>
      </c>
      <c r="E733" s="5" t="s">
        <v>36</v>
      </c>
      <c r="F733" s="5" t="s">
        <v>37</v>
      </c>
      <c r="G733" s="5" t="s">
        <v>157</v>
      </c>
      <c r="H733" s="5" t="s">
        <v>903</v>
      </c>
      <c r="I733" s="5" t="s">
        <v>1003</v>
      </c>
      <c r="J733" s="5" t="s">
        <v>41</v>
      </c>
      <c r="K733" s="5" t="s">
        <v>159</v>
      </c>
      <c r="L733" s="5" t="s">
        <v>133</v>
      </c>
      <c r="M733" s="5" t="s">
        <v>134</v>
      </c>
      <c r="N733" s="11"/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2500000</v>
      </c>
      <c r="AG733" s="5" t="s">
        <v>45</v>
      </c>
      <c r="AH733" s="5" t="s">
        <v>46</v>
      </c>
    </row>
    <row r="734" spans="1:34" s="5" customFormat="1">
      <c r="A734" s="5" t="s">
        <v>154</v>
      </c>
      <c r="B734" s="5" t="s">
        <v>1565</v>
      </c>
      <c r="C734" s="5" t="s">
        <v>1566</v>
      </c>
      <c r="E734" s="5" t="s">
        <v>36</v>
      </c>
      <c r="F734" s="5" t="s">
        <v>37</v>
      </c>
      <c r="G734" s="5" t="s">
        <v>157</v>
      </c>
      <c r="H734" s="5" t="s">
        <v>1535</v>
      </c>
      <c r="I734" s="5" t="s">
        <v>1567</v>
      </c>
      <c r="J734" s="5" t="s">
        <v>41</v>
      </c>
      <c r="K734" s="5" t="s">
        <v>159</v>
      </c>
      <c r="L734" s="5" t="s">
        <v>133</v>
      </c>
      <c r="M734" s="5" t="s">
        <v>134</v>
      </c>
      <c r="N734" s="11"/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10000000</v>
      </c>
      <c r="AG734" s="5" t="s">
        <v>45</v>
      </c>
      <c r="AH734" s="5" t="s">
        <v>46</v>
      </c>
    </row>
    <row r="735" spans="1:34" s="5" customFormat="1">
      <c r="A735" s="5" t="s">
        <v>154</v>
      </c>
      <c r="B735" s="5" t="s">
        <v>397</v>
      </c>
      <c r="C735" s="5" t="s">
        <v>398</v>
      </c>
      <c r="E735" s="5" t="s">
        <v>36</v>
      </c>
      <c r="F735" s="5" t="s">
        <v>37</v>
      </c>
      <c r="G735" s="5" t="s">
        <v>157</v>
      </c>
      <c r="H735" s="5" t="s">
        <v>388</v>
      </c>
      <c r="I735" s="5" t="s">
        <v>399</v>
      </c>
      <c r="J735" s="5" t="s">
        <v>41</v>
      </c>
      <c r="K735" s="5" t="s">
        <v>159</v>
      </c>
      <c r="L735" s="5" t="s">
        <v>400</v>
      </c>
      <c r="M735" s="5" t="s">
        <v>401</v>
      </c>
      <c r="N735" s="11"/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2600000</v>
      </c>
      <c r="AG735" s="5" t="s">
        <v>45</v>
      </c>
      <c r="AH735" s="5" t="s">
        <v>46</v>
      </c>
    </row>
    <row r="736" spans="1:34" s="5" customFormat="1">
      <c r="A736" s="5" t="s">
        <v>154</v>
      </c>
      <c r="B736" s="5" t="s">
        <v>816</v>
      </c>
      <c r="C736" s="5" t="s">
        <v>817</v>
      </c>
      <c r="E736" s="5" t="s">
        <v>36</v>
      </c>
      <c r="F736" s="5" t="s">
        <v>37</v>
      </c>
      <c r="G736" s="5" t="s">
        <v>157</v>
      </c>
      <c r="H736" s="5" t="s">
        <v>809</v>
      </c>
      <c r="I736" s="5" t="s">
        <v>818</v>
      </c>
      <c r="J736" s="5" t="s">
        <v>41</v>
      </c>
      <c r="K736" s="5" t="s">
        <v>159</v>
      </c>
      <c r="L736" s="5" t="s">
        <v>819</v>
      </c>
      <c r="M736" s="5" t="s">
        <v>820</v>
      </c>
      <c r="N736" s="11"/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2373843</v>
      </c>
      <c r="AG736" s="5" t="s">
        <v>45</v>
      </c>
      <c r="AH736" s="5" t="s">
        <v>46</v>
      </c>
    </row>
    <row r="737" spans="1:34" s="5" customForma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9"/>
      <c r="O737" s="1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1"/>
      <c r="AH737" s="1"/>
    </row>
    <row r="738" spans="1:34" s="5" customFormat="1">
      <c r="N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4" s="5" customFormat="1">
      <c r="A739" s="5" t="s">
        <v>225</v>
      </c>
      <c r="B739" s="5" t="s">
        <v>244</v>
      </c>
      <c r="C739" s="5" t="s">
        <v>245</v>
      </c>
      <c r="D739" s="5" t="s">
        <v>50</v>
      </c>
      <c r="H739" s="5" t="s">
        <v>220</v>
      </c>
      <c r="I739" s="5" t="s">
        <v>231</v>
      </c>
      <c r="J739" s="5" t="s">
        <v>41</v>
      </c>
      <c r="K739" s="5" t="s">
        <v>42</v>
      </c>
      <c r="L739" s="5" t="s">
        <v>100</v>
      </c>
      <c r="M739" s="5" t="s">
        <v>101</v>
      </c>
      <c r="N739" s="11"/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1688261</v>
      </c>
      <c r="AG739" s="5" t="s">
        <v>55</v>
      </c>
      <c r="AH739" s="5" t="s">
        <v>46</v>
      </c>
    </row>
    <row r="740" spans="1:34" s="5" customFormat="1">
      <c r="A740" s="5" t="s">
        <v>225</v>
      </c>
      <c r="B740" s="5" t="s">
        <v>1201</v>
      </c>
      <c r="C740" s="5" t="s">
        <v>1202</v>
      </c>
      <c r="D740" s="5" t="s">
        <v>50</v>
      </c>
      <c r="H740" s="5" t="s">
        <v>1188</v>
      </c>
      <c r="I740" s="5" t="s">
        <v>1200</v>
      </c>
      <c r="J740" s="5" t="s">
        <v>41</v>
      </c>
      <c r="K740" s="5" t="s">
        <v>42</v>
      </c>
      <c r="L740" s="5" t="s">
        <v>100</v>
      </c>
      <c r="M740" s="5" t="s">
        <v>101</v>
      </c>
      <c r="N740" s="11"/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1789351</v>
      </c>
      <c r="AG740" s="5" t="s">
        <v>55</v>
      </c>
      <c r="AH740" s="5" t="s">
        <v>46</v>
      </c>
    </row>
    <row r="741" spans="1:34" s="5" customFormat="1">
      <c r="A741" s="5" t="s">
        <v>225</v>
      </c>
      <c r="B741" s="5" t="s">
        <v>1245</v>
      </c>
      <c r="C741" s="5" t="s">
        <v>1246</v>
      </c>
      <c r="D741" s="5" t="s">
        <v>50</v>
      </c>
      <c r="H741" s="5" t="s">
        <v>1188</v>
      </c>
      <c r="I741" s="5" t="s">
        <v>1236</v>
      </c>
      <c r="J741" s="5" t="s">
        <v>41</v>
      </c>
      <c r="K741" s="5" t="s">
        <v>42</v>
      </c>
      <c r="L741" s="5" t="s">
        <v>100</v>
      </c>
      <c r="M741" s="5" t="s">
        <v>101</v>
      </c>
      <c r="N741" s="11"/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2525242</v>
      </c>
      <c r="AG741" s="5" t="s">
        <v>55</v>
      </c>
      <c r="AH741" s="5" t="s">
        <v>46</v>
      </c>
    </row>
    <row r="742" spans="1:34" s="5" customFormat="1">
      <c r="A742" s="5" t="s">
        <v>47</v>
      </c>
      <c r="B742" s="5" t="s">
        <v>98</v>
      </c>
      <c r="C742" s="5" t="s">
        <v>99</v>
      </c>
      <c r="D742" s="5" t="s">
        <v>50</v>
      </c>
      <c r="H742" s="5" t="s">
        <v>51</v>
      </c>
      <c r="I742" s="5" t="s">
        <v>95</v>
      </c>
      <c r="J742" s="5" t="s">
        <v>41</v>
      </c>
      <c r="K742" s="5" t="s">
        <v>42</v>
      </c>
      <c r="L742" s="5" t="s">
        <v>100</v>
      </c>
      <c r="M742" s="5" t="s">
        <v>101</v>
      </c>
      <c r="N742" s="11"/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1668759</v>
      </c>
      <c r="AG742" s="5" t="s">
        <v>55</v>
      </c>
      <c r="AH742" s="5" t="s">
        <v>46</v>
      </c>
    </row>
    <row r="743" spans="1:34" s="5" customFormat="1">
      <c r="A743" s="5" t="s">
        <v>47</v>
      </c>
      <c r="B743" s="5" t="s">
        <v>303</v>
      </c>
      <c r="C743" s="5" t="s">
        <v>304</v>
      </c>
      <c r="D743" s="5" t="s">
        <v>50</v>
      </c>
      <c r="H743" s="5" t="s">
        <v>220</v>
      </c>
      <c r="I743" s="5" t="s">
        <v>292</v>
      </c>
      <c r="J743" s="5" t="s">
        <v>41</v>
      </c>
      <c r="K743" s="5" t="s">
        <v>42</v>
      </c>
      <c r="L743" s="5" t="s">
        <v>100</v>
      </c>
      <c r="M743" s="5" t="s">
        <v>101</v>
      </c>
      <c r="N743" s="11"/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885941</v>
      </c>
      <c r="AG743" s="5" t="s">
        <v>55</v>
      </c>
      <c r="AH743" s="5" t="s">
        <v>46</v>
      </c>
    </row>
    <row r="744" spans="1:34" s="5" customFormat="1">
      <c r="A744" s="5" t="s">
        <v>47</v>
      </c>
      <c r="B744" s="5" t="s">
        <v>606</v>
      </c>
      <c r="C744" s="5" t="s">
        <v>607</v>
      </c>
      <c r="D744" s="5" t="s">
        <v>50</v>
      </c>
      <c r="H744" s="5" t="s">
        <v>585</v>
      </c>
      <c r="I744" s="5" t="s">
        <v>591</v>
      </c>
      <c r="J744" s="5" t="s">
        <v>41</v>
      </c>
      <c r="K744" s="5" t="s">
        <v>42</v>
      </c>
      <c r="L744" s="5" t="s">
        <v>100</v>
      </c>
      <c r="M744" s="5" t="s">
        <v>101</v>
      </c>
      <c r="N744" s="11"/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1692228</v>
      </c>
      <c r="AG744" s="5" t="s">
        <v>55</v>
      </c>
      <c r="AH744" s="5" t="s">
        <v>46</v>
      </c>
    </row>
    <row r="745" spans="1:34" s="5" customFormat="1">
      <c r="A745" s="5" t="s">
        <v>47</v>
      </c>
      <c r="B745" s="5" t="s">
        <v>719</v>
      </c>
      <c r="C745" s="5" t="s">
        <v>720</v>
      </c>
      <c r="D745" s="5" t="s">
        <v>50</v>
      </c>
      <c r="H745" s="5" t="s">
        <v>704</v>
      </c>
      <c r="I745" s="5" t="s">
        <v>712</v>
      </c>
      <c r="J745" s="5" t="s">
        <v>41</v>
      </c>
      <c r="K745" s="5" t="s">
        <v>42</v>
      </c>
      <c r="L745" s="5" t="s">
        <v>100</v>
      </c>
      <c r="M745" s="5" t="s">
        <v>101</v>
      </c>
      <c r="N745" s="11"/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1706442</v>
      </c>
      <c r="AG745" s="5" t="s">
        <v>55</v>
      </c>
      <c r="AH745" s="5" t="s">
        <v>46</v>
      </c>
    </row>
    <row r="746" spans="1:34" s="5" customFormat="1">
      <c r="A746" s="5" t="s">
        <v>47</v>
      </c>
      <c r="B746" s="5" t="s">
        <v>922</v>
      </c>
      <c r="C746" s="5" t="s">
        <v>923</v>
      </c>
      <c r="D746" s="5" t="s">
        <v>50</v>
      </c>
      <c r="H746" s="5" t="s">
        <v>903</v>
      </c>
      <c r="I746" s="5" t="s">
        <v>919</v>
      </c>
      <c r="J746" s="5" t="s">
        <v>41</v>
      </c>
      <c r="K746" s="5" t="s">
        <v>42</v>
      </c>
      <c r="L746" s="5" t="s">
        <v>100</v>
      </c>
      <c r="M746" s="5" t="s">
        <v>101</v>
      </c>
      <c r="N746" s="11"/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1923496</v>
      </c>
      <c r="AG746" s="5" t="s">
        <v>55</v>
      </c>
      <c r="AH746" s="5" t="s">
        <v>46</v>
      </c>
    </row>
    <row r="747" spans="1:34" s="5" customFormat="1">
      <c r="A747" s="5" t="s">
        <v>47</v>
      </c>
      <c r="B747" s="5" t="s">
        <v>1145</v>
      </c>
      <c r="C747" s="5" t="s">
        <v>1146</v>
      </c>
      <c r="D747" s="5" t="s">
        <v>50</v>
      </c>
      <c r="H747" s="5" t="s">
        <v>1123</v>
      </c>
      <c r="I747" s="5" t="s">
        <v>1138</v>
      </c>
      <c r="J747" s="5" t="s">
        <v>41</v>
      </c>
      <c r="K747" s="5" t="s">
        <v>42</v>
      </c>
      <c r="L747" s="5" t="s">
        <v>100</v>
      </c>
      <c r="M747" s="5" t="s">
        <v>101</v>
      </c>
      <c r="N747" s="11"/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3123714</v>
      </c>
      <c r="AG747" s="5" t="s">
        <v>55</v>
      </c>
      <c r="AH747" s="5" t="s">
        <v>46</v>
      </c>
    </row>
    <row r="748" spans="1:34" s="5" customFormat="1">
      <c r="A748" s="5" t="s">
        <v>47</v>
      </c>
      <c r="B748" s="5" t="s">
        <v>1306</v>
      </c>
      <c r="C748" s="5" t="s">
        <v>1307</v>
      </c>
      <c r="D748" s="5" t="s">
        <v>50</v>
      </c>
      <c r="H748" s="5" t="s">
        <v>1095</v>
      </c>
      <c r="I748" s="5" t="s">
        <v>1293</v>
      </c>
      <c r="J748" s="5" t="s">
        <v>41</v>
      </c>
      <c r="K748" s="5" t="s">
        <v>42</v>
      </c>
      <c r="L748" s="5" t="s">
        <v>100</v>
      </c>
      <c r="M748" s="5" t="s">
        <v>101</v>
      </c>
      <c r="N748" s="11"/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1530860</v>
      </c>
      <c r="AG748" s="5" t="s">
        <v>55</v>
      </c>
      <c r="AH748" s="5" t="s">
        <v>46</v>
      </c>
    </row>
    <row r="749" spans="1:34" s="5" customFormat="1">
      <c r="A749" s="5" t="s">
        <v>47</v>
      </c>
      <c r="B749" s="5" t="s">
        <v>1426</v>
      </c>
      <c r="C749" s="5" t="s">
        <v>1427</v>
      </c>
      <c r="D749" s="5" t="s">
        <v>50</v>
      </c>
      <c r="H749" s="5" t="s">
        <v>1413</v>
      </c>
      <c r="I749" s="5" t="s">
        <v>1423</v>
      </c>
      <c r="J749" s="5" t="s">
        <v>41</v>
      </c>
      <c r="K749" s="5" t="s">
        <v>42</v>
      </c>
      <c r="L749" s="5" t="s">
        <v>100</v>
      </c>
      <c r="M749" s="5" t="s">
        <v>101</v>
      </c>
      <c r="N749" s="11"/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907107</v>
      </c>
      <c r="AG749" s="5" t="s">
        <v>55</v>
      </c>
      <c r="AH749" s="5" t="s">
        <v>46</v>
      </c>
    </row>
    <row r="750" spans="1:34" s="5" customFormat="1">
      <c r="A750" s="5" t="s">
        <v>47</v>
      </c>
      <c r="B750" s="5" t="s">
        <v>1491</v>
      </c>
      <c r="C750" s="5" t="s">
        <v>1492</v>
      </c>
      <c r="D750" s="5" t="s">
        <v>50</v>
      </c>
      <c r="H750" s="5" t="s">
        <v>687</v>
      </c>
      <c r="I750" s="5" t="s">
        <v>1472</v>
      </c>
      <c r="J750" s="5" t="s">
        <v>41</v>
      </c>
      <c r="K750" s="5" t="s">
        <v>42</v>
      </c>
      <c r="L750" s="5" t="s">
        <v>100</v>
      </c>
      <c r="M750" s="5" t="s">
        <v>101</v>
      </c>
      <c r="N750" s="11"/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1942106</v>
      </c>
      <c r="AG750" s="5" t="s">
        <v>55</v>
      </c>
      <c r="AH750" s="5" t="s">
        <v>46</v>
      </c>
    </row>
    <row r="751" spans="1:34" s="5" customFormat="1">
      <c r="A751" s="5" t="s">
        <v>47</v>
      </c>
      <c r="B751" s="5" t="s">
        <v>1662</v>
      </c>
      <c r="C751" s="5" t="s">
        <v>1663</v>
      </c>
      <c r="D751" s="5" t="s">
        <v>50</v>
      </c>
      <c r="H751" s="5" t="s">
        <v>1378</v>
      </c>
      <c r="I751" s="5" t="s">
        <v>1657</v>
      </c>
      <c r="J751" s="5" t="s">
        <v>41</v>
      </c>
      <c r="K751" s="5" t="s">
        <v>42</v>
      </c>
      <c r="L751" s="5" t="s">
        <v>100</v>
      </c>
      <c r="M751" s="5" t="s">
        <v>101</v>
      </c>
      <c r="N751" s="11"/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4901097</v>
      </c>
      <c r="AG751" s="5" t="s">
        <v>55</v>
      </c>
      <c r="AH751" s="5" t="s">
        <v>46</v>
      </c>
    </row>
    <row r="752" spans="1:34" s="5" customFormat="1">
      <c r="A752" s="5" t="s">
        <v>47</v>
      </c>
      <c r="B752" s="5" t="s">
        <v>1783</v>
      </c>
      <c r="C752" s="5" t="s">
        <v>1784</v>
      </c>
      <c r="D752" s="5" t="s">
        <v>50</v>
      </c>
      <c r="H752" s="5" t="s">
        <v>1762</v>
      </c>
      <c r="I752" s="5" t="s">
        <v>1774</v>
      </c>
      <c r="J752" s="5" t="s">
        <v>41</v>
      </c>
      <c r="K752" s="5" t="s">
        <v>42</v>
      </c>
      <c r="L752" s="5" t="s">
        <v>100</v>
      </c>
      <c r="M752" s="5" t="s">
        <v>101</v>
      </c>
      <c r="N752" s="11"/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2517172</v>
      </c>
      <c r="AG752" s="5" t="s">
        <v>55</v>
      </c>
      <c r="AH752" s="5" t="s">
        <v>46</v>
      </c>
    </row>
    <row r="753" spans="1:34" s="5" customFormat="1">
      <c r="A753" s="5" t="s">
        <v>225</v>
      </c>
      <c r="B753" s="5" t="s">
        <v>242</v>
      </c>
      <c r="C753" s="5" t="s">
        <v>243</v>
      </c>
      <c r="D753" s="5" t="s">
        <v>50</v>
      </c>
      <c r="H753" s="5" t="s">
        <v>220</v>
      </c>
      <c r="I753" s="5" t="s">
        <v>231</v>
      </c>
      <c r="J753" s="5" t="s">
        <v>41</v>
      </c>
      <c r="K753" s="5" t="s">
        <v>42</v>
      </c>
      <c r="L753" s="5" t="s">
        <v>59</v>
      </c>
      <c r="M753" s="5" t="s">
        <v>60</v>
      </c>
      <c r="N753" s="11"/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1067626</v>
      </c>
      <c r="AG753" s="5" t="s">
        <v>55</v>
      </c>
      <c r="AH753" s="5" t="s">
        <v>46</v>
      </c>
    </row>
    <row r="754" spans="1:34" s="5" customFormat="1">
      <c r="A754" s="5" t="s">
        <v>47</v>
      </c>
      <c r="B754" s="5" t="s">
        <v>56</v>
      </c>
      <c r="C754" s="5" t="s">
        <v>57</v>
      </c>
      <c r="D754" s="5" t="s">
        <v>50</v>
      </c>
      <c r="H754" s="5" t="s">
        <v>51</v>
      </c>
      <c r="I754" s="5" t="s">
        <v>58</v>
      </c>
      <c r="J754" s="5" t="s">
        <v>41</v>
      </c>
      <c r="K754" s="5" t="s">
        <v>42</v>
      </c>
      <c r="L754" s="5" t="s">
        <v>59</v>
      </c>
      <c r="M754" s="5" t="s">
        <v>60</v>
      </c>
      <c r="N754" s="11"/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1067626</v>
      </c>
      <c r="AG754" s="5" t="s">
        <v>55</v>
      </c>
      <c r="AH754" s="5" t="s">
        <v>46</v>
      </c>
    </row>
    <row r="755" spans="1:34" s="5" customFormat="1">
      <c r="A755" s="5" t="s">
        <v>47</v>
      </c>
      <c r="B755" s="5" t="s">
        <v>286</v>
      </c>
      <c r="C755" s="5" t="s">
        <v>287</v>
      </c>
      <c r="D755" s="5" t="s">
        <v>50</v>
      </c>
      <c r="H755" s="5" t="s">
        <v>220</v>
      </c>
      <c r="I755" s="5" t="s">
        <v>275</v>
      </c>
      <c r="J755" s="5" t="s">
        <v>41</v>
      </c>
      <c r="K755" s="5" t="s">
        <v>42</v>
      </c>
      <c r="L755" s="5" t="s">
        <v>59</v>
      </c>
      <c r="M755" s="5" t="s">
        <v>60</v>
      </c>
      <c r="N755" s="11"/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533813</v>
      </c>
      <c r="AG755" s="5" t="s">
        <v>55</v>
      </c>
      <c r="AH755" s="5" t="s">
        <v>46</v>
      </c>
    </row>
    <row r="756" spans="1:34" s="5" customFormat="1">
      <c r="A756" s="5" t="s">
        <v>47</v>
      </c>
      <c r="B756" s="5" t="s">
        <v>589</v>
      </c>
      <c r="C756" s="5" t="s">
        <v>590</v>
      </c>
      <c r="D756" s="5" t="s">
        <v>50</v>
      </c>
      <c r="H756" s="5" t="s">
        <v>585</v>
      </c>
      <c r="I756" s="5" t="s">
        <v>591</v>
      </c>
      <c r="J756" s="5" t="s">
        <v>41</v>
      </c>
      <c r="K756" s="5" t="s">
        <v>42</v>
      </c>
      <c r="L756" s="5" t="s">
        <v>59</v>
      </c>
      <c r="M756" s="5" t="s">
        <v>60</v>
      </c>
      <c r="N756" s="11"/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1032038</v>
      </c>
      <c r="AG756" s="5" t="s">
        <v>55</v>
      </c>
      <c r="AH756" s="5" t="s">
        <v>46</v>
      </c>
    </row>
    <row r="757" spans="1:34" s="5" customFormat="1">
      <c r="A757" s="5" t="s">
        <v>225</v>
      </c>
      <c r="B757" s="5" t="s">
        <v>250</v>
      </c>
      <c r="C757" s="5" t="s">
        <v>251</v>
      </c>
      <c r="D757" s="5" t="s">
        <v>50</v>
      </c>
      <c r="H757" s="5" t="s">
        <v>220</v>
      </c>
      <c r="I757" s="5" t="s">
        <v>231</v>
      </c>
      <c r="J757" s="5" t="s">
        <v>41</v>
      </c>
      <c r="K757" s="5" t="s">
        <v>42</v>
      </c>
      <c r="L757" s="5" t="s">
        <v>63</v>
      </c>
      <c r="M757" s="5" t="s">
        <v>64</v>
      </c>
      <c r="N757" s="11"/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1748218</v>
      </c>
      <c r="AG757" s="5" t="s">
        <v>55</v>
      </c>
      <c r="AH757" s="5" t="s">
        <v>46</v>
      </c>
    </row>
    <row r="758" spans="1:34" s="5" customFormat="1">
      <c r="A758" s="5" t="s">
        <v>225</v>
      </c>
      <c r="B758" s="5" t="s">
        <v>1190</v>
      </c>
      <c r="C758" s="5" t="s">
        <v>1191</v>
      </c>
      <c r="D758" s="5" t="s">
        <v>50</v>
      </c>
      <c r="H758" s="5" t="s">
        <v>1188</v>
      </c>
      <c r="I758" s="5" t="s">
        <v>1189</v>
      </c>
      <c r="J758" s="5" t="s">
        <v>41</v>
      </c>
      <c r="K758" s="5" t="s">
        <v>42</v>
      </c>
      <c r="L758" s="5" t="s">
        <v>63</v>
      </c>
      <c r="M758" s="5" t="s">
        <v>64</v>
      </c>
      <c r="N758" s="11"/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1764000</v>
      </c>
      <c r="AG758" s="5" t="s">
        <v>55</v>
      </c>
      <c r="AH758" s="5" t="s">
        <v>46</v>
      </c>
    </row>
    <row r="759" spans="1:34" s="5" customFormat="1">
      <c r="A759" s="5" t="s">
        <v>225</v>
      </c>
      <c r="B759" s="5" t="s">
        <v>1241</v>
      </c>
      <c r="C759" s="5" t="s">
        <v>1242</v>
      </c>
      <c r="D759" s="5" t="s">
        <v>50</v>
      </c>
      <c r="H759" s="5" t="s">
        <v>1188</v>
      </c>
      <c r="I759" s="5" t="s">
        <v>1236</v>
      </c>
      <c r="J759" s="5" t="s">
        <v>41</v>
      </c>
      <c r="K759" s="5" t="s">
        <v>42</v>
      </c>
      <c r="L759" s="5" t="s">
        <v>63</v>
      </c>
      <c r="M759" s="5" t="s">
        <v>64</v>
      </c>
      <c r="N759" s="11"/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1">
        <v>1764000</v>
      </c>
      <c r="AG759" s="5" t="s">
        <v>55</v>
      </c>
      <c r="AH759" s="5" t="s">
        <v>46</v>
      </c>
    </row>
    <row r="760" spans="1:34" s="5" customFormat="1">
      <c r="A760" s="5" t="s">
        <v>47</v>
      </c>
      <c r="B760" s="5" t="s">
        <v>61</v>
      </c>
      <c r="C760" s="5" t="s">
        <v>62</v>
      </c>
      <c r="D760" s="5" t="s">
        <v>50</v>
      </c>
      <c r="H760" s="5" t="s">
        <v>51</v>
      </c>
      <c r="I760" s="5" t="s">
        <v>58</v>
      </c>
      <c r="J760" s="5" t="s">
        <v>41</v>
      </c>
      <c r="K760" s="5" t="s">
        <v>42</v>
      </c>
      <c r="L760" s="5" t="s">
        <v>63</v>
      </c>
      <c r="M760" s="5" t="s">
        <v>64</v>
      </c>
      <c r="N760" s="11"/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1748218</v>
      </c>
      <c r="AG760" s="5" t="s">
        <v>55</v>
      </c>
      <c r="AH760" s="5" t="s">
        <v>46</v>
      </c>
    </row>
    <row r="761" spans="1:34" s="5" customFormat="1">
      <c r="A761" s="5" t="s">
        <v>47</v>
      </c>
      <c r="B761" s="5" t="s">
        <v>284</v>
      </c>
      <c r="C761" s="5" t="s">
        <v>285</v>
      </c>
      <c r="D761" s="5" t="s">
        <v>50</v>
      </c>
      <c r="H761" s="5" t="s">
        <v>220</v>
      </c>
      <c r="I761" s="5" t="s">
        <v>275</v>
      </c>
      <c r="J761" s="5" t="s">
        <v>41</v>
      </c>
      <c r="K761" s="5" t="s">
        <v>42</v>
      </c>
      <c r="L761" s="5" t="s">
        <v>63</v>
      </c>
      <c r="M761" s="5" t="s">
        <v>64</v>
      </c>
      <c r="N761" s="11"/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842109</v>
      </c>
      <c r="AG761" s="5" t="s">
        <v>55</v>
      </c>
      <c r="AH761" s="5" t="s">
        <v>46</v>
      </c>
    </row>
    <row r="762" spans="1:34" s="5" customFormat="1">
      <c r="A762" s="5" t="s">
        <v>47</v>
      </c>
      <c r="B762" s="5" t="s">
        <v>583</v>
      </c>
      <c r="C762" s="5" t="s">
        <v>584</v>
      </c>
      <c r="D762" s="5" t="s">
        <v>50</v>
      </c>
      <c r="H762" s="5" t="s">
        <v>585</v>
      </c>
      <c r="I762" s="5" t="s">
        <v>586</v>
      </c>
      <c r="J762" s="5" t="s">
        <v>41</v>
      </c>
      <c r="K762" s="5" t="s">
        <v>42</v>
      </c>
      <c r="L762" s="5" t="s">
        <v>63</v>
      </c>
      <c r="M762" s="5" t="s">
        <v>64</v>
      </c>
      <c r="N762" s="11"/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1748218</v>
      </c>
      <c r="AG762" s="5" t="s">
        <v>55</v>
      </c>
      <c r="AH762" s="5" t="s">
        <v>46</v>
      </c>
    </row>
    <row r="763" spans="1:34" s="5" customFormat="1">
      <c r="A763" s="5" t="s">
        <v>47</v>
      </c>
      <c r="B763" s="5" t="s">
        <v>708</v>
      </c>
      <c r="C763" s="5" t="s">
        <v>709</v>
      </c>
      <c r="D763" s="5" t="s">
        <v>50</v>
      </c>
      <c r="H763" s="5" t="s">
        <v>704</v>
      </c>
      <c r="I763" s="5" t="s">
        <v>705</v>
      </c>
      <c r="J763" s="5" t="s">
        <v>41</v>
      </c>
      <c r="K763" s="5" t="s">
        <v>42</v>
      </c>
      <c r="L763" s="5" t="s">
        <v>63</v>
      </c>
      <c r="M763" s="5" t="s">
        <v>64</v>
      </c>
      <c r="N763" s="11"/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1748218</v>
      </c>
      <c r="AG763" s="5" t="s">
        <v>55</v>
      </c>
      <c r="AH763" s="5" t="s">
        <v>46</v>
      </c>
    </row>
    <row r="764" spans="1:34" s="5" customFormat="1">
      <c r="A764" s="5" t="s">
        <v>47</v>
      </c>
      <c r="B764" s="5" t="s">
        <v>909</v>
      </c>
      <c r="C764" s="5" t="s">
        <v>910</v>
      </c>
      <c r="D764" s="5" t="s">
        <v>50</v>
      </c>
      <c r="H764" s="5" t="s">
        <v>903</v>
      </c>
      <c r="I764" s="5" t="s">
        <v>904</v>
      </c>
      <c r="J764" s="5" t="s">
        <v>41</v>
      </c>
      <c r="K764" s="5" t="s">
        <v>42</v>
      </c>
      <c r="L764" s="5" t="s">
        <v>63</v>
      </c>
      <c r="M764" s="5" t="s">
        <v>64</v>
      </c>
      <c r="N764" s="11"/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1764000</v>
      </c>
      <c r="AG764" s="5" t="s">
        <v>55</v>
      </c>
      <c r="AH764" s="5" t="s">
        <v>46</v>
      </c>
    </row>
    <row r="765" spans="1:34" s="5" customFormat="1">
      <c r="A765" s="5" t="s">
        <v>47</v>
      </c>
      <c r="B765" s="5" t="s">
        <v>1128</v>
      </c>
      <c r="C765" s="5" t="s">
        <v>1129</v>
      </c>
      <c r="D765" s="5" t="s">
        <v>50</v>
      </c>
      <c r="H765" s="5" t="s">
        <v>1123</v>
      </c>
      <c r="I765" s="5" t="s">
        <v>1127</v>
      </c>
      <c r="J765" s="5" t="s">
        <v>41</v>
      </c>
      <c r="K765" s="5" t="s">
        <v>42</v>
      </c>
      <c r="L765" s="5" t="s">
        <v>63</v>
      </c>
      <c r="M765" s="5" t="s">
        <v>64</v>
      </c>
      <c r="N765" s="11"/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2699501</v>
      </c>
      <c r="AG765" s="5" t="s">
        <v>55</v>
      </c>
      <c r="AH765" s="5" t="s">
        <v>46</v>
      </c>
    </row>
    <row r="766" spans="1:34" s="5" customFormat="1">
      <c r="A766" s="5" t="s">
        <v>47</v>
      </c>
      <c r="B766" s="5" t="s">
        <v>1291</v>
      </c>
      <c r="C766" s="5" t="s">
        <v>1292</v>
      </c>
      <c r="D766" s="5" t="s">
        <v>50</v>
      </c>
      <c r="H766" s="5" t="s">
        <v>1095</v>
      </c>
      <c r="I766" s="5" t="s">
        <v>1293</v>
      </c>
      <c r="J766" s="5" t="s">
        <v>41</v>
      </c>
      <c r="K766" s="5" t="s">
        <v>42</v>
      </c>
      <c r="L766" s="5" t="s">
        <v>63</v>
      </c>
      <c r="M766" s="5" t="s">
        <v>64</v>
      </c>
      <c r="N766" s="11"/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850000</v>
      </c>
      <c r="AG766" s="5" t="s">
        <v>55</v>
      </c>
      <c r="AH766" s="5" t="s">
        <v>46</v>
      </c>
    </row>
    <row r="767" spans="1:34" s="5" customFormat="1">
      <c r="A767" s="5" t="s">
        <v>47</v>
      </c>
      <c r="B767" s="5" t="s">
        <v>1415</v>
      </c>
      <c r="C767" s="5" t="s">
        <v>1416</v>
      </c>
      <c r="D767" s="5" t="s">
        <v>50</v>
      </c>
      <c r="H767" s="5" t="s">
        <v>1413</v>
      </c>
      <c r="I767" s="5" t="s">
        <v>1414</v>
      </c>
      <c r="J767" s="5" t="s">
        <v>41</v>
      </c>
      <c r="K767" s="5" t="s">
        <v>42</v>
      </c>
      <c r="L767" s="5" t="s">
        <v>63</v>
      </c>
      <c r="M767" s="5" t="s">
        <v>64</v>
      </c>
      <c r="N767" s="11"/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850000</v>
      </c>
      <c r="AG767" s="5" t="s">
        <v>55</v>
      </c>
      <c r="AH767" s="5" t="s">
        <v>46</v>
      </c>
    </row>
    <row r="768" spans="1:34" s="5" customFormat="1">
      <c r="A768" s="5" t="s">
        <v>47</v>
      </c>
      <c r="B768" s="5" t="s">
        <v>1473</v>
      </c>
      <c r="C768" s="5" t="s">
        <v>1474</v>
      </c>
      <c r="D768" s="5" t="s">
        <v>50</v>
      </c>
      <c r="H768" s="5" t="s">
        <v>687</v>
      </c>
      <c r="I768" s="5" t="s">
        <v>1472</v>
      </c>
      <c r="J768" s="5" t="s">
        <v>41</v>
      </c>
      <c r="K768" s="5" t="s">
        <v>42</v>
      </c>
      <c r="L768" s="5" t="s">
        <v>63</v>
      </c>
      <c r="M768" s="5" t="s">
        <v>64</v>
      </c>
      <c r="N768" s="11"/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1">
        <v>1764000</v>
      </c>
      <c r="AG768" s="5" t="s">
        <v>55</v>
      </c>
      <c r="AH768" s="5" t="s">
        <v>46</v>
      </c>
    </row>
    <row r="769" spans="1:34" s="5" customFormat="1">
      <c r="A769" s="5" t="s">
        <v>47</v>
      </c>
      <c r="B769" s="5" t="s">
        <v>1647</v>
      </c>
      <c r="C769" s="5" t="s">
        <v>1648</v>
      </c>
      <c r="D769" s="5" t="s">
        <v>50</v>
      </c>
      <c r="H769" s="5" t="s">
        <v>1378</v>
      </c>
      <c r="I769" s="5" t="s">
        <v>1642</v>
      </c>
      <c r="J769" s="5" t="s">
        <v>41</v>
      </c>
      <c r="K769" s="5" t="s">
        <v>42</v>
      </c>
      <c r="L769" s="5" t="s">
        <v>63</v>
      </c>
      <c r="M769" s="5" t="s">
        <v>64</v>
      </c>
      <c r="N769" s="11"/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0</v>
      </c>
      <c r="AF769" s="11">
        <v>4610398</v>
      </c>
      <c r="AG769" s="5" t="s">
        <v>55</v>
      </c>
      <c r="AH769" s="5" t="s">
        <v>46</v>
      </c>
    </row>
    <row r="770" spans="1:34" s="5" customFormat="1">
      <c r="A770" s="5" t="s">
        <v>47</v>
      </c>
      <c r="B770" s="5" t="s">
        <v>1764</v>
      </c>
      <c r="C770" s="5" t="s">
        <v>1765</v>
      </c>
      <c r="D770" s="5" t="s">
        <v>50</v>
      </c>
      <c r="H770" s="5" t="s">
        <v>1762</v>
      </c>
      <c r="I770" s="5" t="s">
        <v>1763</v>
      </c>
      <c r="J770" s="5" t="s">
        <v>41</v>
      </c>
      <c r="K770" s="5" t="s">
        <v>42</v>
      </c>
      <c r="L770" s="5" t="s">
        <v>63</v>
      </c>
      <c r="M770" s="5" t="s">
        <v>64</v>
      </c>
      <c r="N770" s="11"/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2295554</v>
      </c>
      <c r="AG770" s="5" t="s">
        <v>55</v>
      </c>
      <c r="AH770" s="5" t="s">
        <v>46</v>
      </c>
    </row>
    <row r="771" spans="1:34" s="5" customFormat="1">
      <c r="A771" s="5" t="s">
        <v>47</v>
      </c>
      <c r="B771" s="5" t="s">
        <v>1775</v>
      </c>
      <c r="C771" s="5" t="s">
        <v>1776</v>
      </c>
      <c r="D771" s="5" t="s">
        <v>50</v>
      </c>
      <c r="H771" s="5" t="s">
        <v>1762</v>
      </c>
      <c r="I771" s="5" t="s">
        <v>1774</v>
      </c>
      <c r="J771" s="5" t="s">
        <v>41</v>
      </c>
      <c r="K771" s="5" t="s">
        <v>42</v>
      </c>
      <c r="L771" s="5" t="s">
        <v>1777</v>
      </c>
      <c r="M771" s="5" t="s">
        <v>1778</v>
      </c>
      <c r="N771" s="11"/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2348166</v>
      </c>
      <c r="AG771" s="5" t="s">
        <v>55</v>
      </c>
      <c r="AH771" s="5" t="s">
        <v>46</v>
      </c>
    </row>
    <row r="772" spans="1:34" s="5" customFormat="1">
      <c r="A772" s="5" t="s">
        <v>225</v>
      </c>
      <c r="B772" s="5" t="s">
        <v>238</v>
      </c>
      <c r="C772" s="5" t="s">
        <v>239</v>
      </c>
      <c r="D772" s="5" t="s">
        <v>50</v>
      </c>
      <c r="H772" s="5" t="s">
        <v>220</v>
      </c>
      <c r="I772" s="5" t="s">
        <v>231</v>
      </c>
      <c r="J772" s="5" t="s">
        <v>41</v>
      </c>
      <c r="K772" s="5" t="s">
        <v>42</v>
      </c>
      <c r="L772" s="5" t="s">
        <v>71</v>
      </c>
      <c r="M772" s="5" t="s">
        <v>72</v>
      </c>
      <c r="N772" s="11"/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1781382</v>
      </c>
      <c r="AG772" s="5" t="s">
        <v>55</v>
      </c>
      <c r="AH772" s="5" t="s">
        <v>46</v>
      </c>
    </row>
    <row r="773" spans="1:34" s="5" customFormat="1">
      <c r="A773" s="5" t="s">
        <v>225</v>
      </c>
      <c r="B773" s="5" t="s">
        <v>1192</v>
      </c>
      <c r="C773" s="5" t="s">
        <v>1193</v>
      </c>
      <c r="D773" s="5" t="s">
        <v>50</v>
      </c>
      <c r="H773" s="5" t="s">
        <v>1188</v>
      </c>
      <c r="I773" s="5" t="s">
        <v>1189</v>
      </c>
      <c r="J773" s="5" t="s">
        <v>41</v>
      </c>
      <c r="K773" s="5" t="s">
        <v>42</v>
      </c>
      <c r="L773" s="5" t="s">
        <v>71</v>
      </c>
      <c r="M773" s="5" t="s">
        <v>72</v>
      </c>
      <c r="N773" s="11"/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1543052</v>
      </c>
      <c r="AG773" s="5" t="s">
        <v>55</v>
      </c>
      <c r="AH773" s="5" t="s">
        <v>46</v>
      </c>
    </row>
    <row r="774" spans="1:34" s="5" customFormat="1">
      <c r="A774" s="5" t="s">
        <v>225</v>
      </c>
      <c r="B774" s="5" t="s">
        <v>1237</v>
      </c>
      <c r="C774" s="5" t="s">
        <v>1238</v>
      </c>
      <c r="D774" s="5" t="s">
        <v>50</v>
      </c>
      <c r="H774" s="5" t="s">
        <v>1188</v>
      </c>
      <c r="I774" s="5" t="s">
        <v>1236</v>
      </c>
      <c r="J774" s="5" t="s">
        <v>41</v>
      </c>
      <c r="K774" s="5" t="s">
        <v>42</v>
      </c>
      <c r="L774" s="5" t="s">
        <v>71</v>
      </c>
      <c r="M774" s="5" t="s">
        <v>72</v>
      </c>
      <c r="N774" s="11"/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2293052</v>
      </c>
      <c r="AG774" s="5" t="s">
        <v>55</v>
      </c>
      <c r="AH774" s="5" t="s">
        <v>46</v>
      </c>
    </row>
    <row r="775" spans="1:34" s="5" customFormat="1">
      <c r="A775" s="5" t="s">
        <v>47</v>
      </c>
      <c r="B775" s="5" t="s">
        <v>69</v>
      </c>
      <c r="C775" s="5" t="s">
        <v>70</v>
      </c>
      <c r="D775" s="5" t="s">
        <v>50</v>
      </c>
      <c r="H775" s="5" t="s">
        <v>51</v>
      </c>
      <c r="I775" s="5" t="s">
        <v>58</v>
      </c>
      <c r="J775" s="5" t="s">
        <v>41</v>
      </c>
      <c r="K775" s="5" t="s">
        <v>42</v>
      </c>
      <c r="L775" s="5" t="s">
        <v>71</v>
      </c>
      <c r="M775" s="5" t="s">
        <v>72</v>
      </c>
      <c r="N775" s="11"/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1679451</v>
      </c>
      <c r="AG775" s="5" t="s">
        <v>55</v>
      </c>
      <c r="AH775" s="5" t="s">
        <v>46</v>
      </c>
    </row>
    <row r="776" spans="1:34" s="5" customFormat="1">
      <c r="A776" s="5" t="s">
        <v>47</v>
      </c>
      <c r="B776" s="5" t="s">
        <v>276</v>
      </c>
      <c r="C776" s="5" t="s">
        <v>277</v>
      </c>
      <c r="D776" s="5" t="s">
        <v>50</v>
      </c>
      <c r="H776" s="5" t="s">
        <v>220</v>
      </c>
      <c r="I776" s="5" t="s">
        <v>275</v>
      </c>
      <c r="J776" s="5" t="s">
        <v>41</v>
      </c>
      <c r="K776" s="5" t="s">
        <v>42</v>
      </c>
      <c r="L776" s="5" t="s">
        <v>71</v>
      </c>
      <c r="M776" s="5" t="s">
        <v>72</v>
      </c>
      <c r="N776" s="11"/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993361</v>
      </c>
      <c r="AG776" s="5" t="s">
        <v>55</v>
      </c>
      <c r="AH776" s="5" t="s">
        <v>46</v>
      </c>
    </row>
    <row r="777" spans="1:34" s="5" customFormat="1">
      <c r="A777" s="5" t="s">
        <v>47</v>
      </c>
      <c r="B777" s="5" t="s">
        <v>592</v>
      </c>
      <c r="C777" s="5" t="s">
        <v>593</v>
      </c>
      <c r="D777" s="5" t="s">
        <v>50</v>
      </c>
      <c r="H777" s="5" t="s">
        <v>585</v>
      </c>
      <c r="I777" s="5" t="s">
        <v>591</v>
      </c>
      <c r="J777" s="5" t="s">
        <v>41</v>
      </c>
      <c r="K777" s="5" t="s">
        <v>42</v>
      </c>
      <c r="L777" s="5" t="s">
        <v>71</v>
      </c>
      <c r="M777" s="5" t="s">
        <v>72</v>
      </c>
      <c r="N777" s="11"/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1538314</v>
      </c>
      <c r="AG777" s="5" t="s">
        <v>55</v>
      </c>
      <c r="AH777" s="5" t="s">
        <v>46</v>
      </c>
    </row>
    <row r="778" spans="1:34" s="5" customFormat="1">
      <c r="A778" s="5" t="s">
        <v>47</v>
      </c>
      <c r="B778" s="5" t="s">
        <v>713</v>
      </c>
      <c r="C778" s="5" t="s">
        <v>714</v>
      </c>
      <c r="D778" s="5" t="s">
        <v>50</v>
      </c>
      <c r="H778" s="5" t="s">
        <v>704</v>
      </c>
      <c r="I778" s="5" t="s">
        <v>712</v>
      </c>
      <c r="J778" s="5" t="s">
        <v>41</v>
      </c>
      <c r="K778" s="5" t="s">
        <v>42</v>
      </c>
      <c r="L778" s="5" t="s">
        <v>71</v>
      </c>
      <c r="M778" s="5" t="s">
        <v>72</v>
      </c>
      <c r="N778" s="11"/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1411647</v>
      </c>
      <c r="AG778" s="5" t="s">
        <v>55</v>
      </c>
      <c r="AH778" s="5" t="s">
        <v>46</v>
      </c>
    </row>
    <row r="779" spans="1:34" s="5" customFormat="1">
      <c r="A779" s="5" t="s">
        <v>47</v>
      </c>
      <c r="B779" s="5" t="s">
        <v>920</v>
      </c>
      <c r="C779" s="5" t="s">
        <v>921</v>
      </c>
      <c r="D779" s="5" t="s">
        <v>50</v>
      </c>
      <c r="H779" s="5" t="s">
        <v>903</v>
      </c>
      <c r="I779" s="5" t="s">
        <v>919</v>
      </c>
      <c r="J779" s="5" t="s">
        <v>41</v>
      </c>
      <c r="K779" s="5" t="s">
        <v>42</v>
      </c>
      <c r="L779" s="5" t="s">
        <v>71</v>
      </c>
      <c r="M779" s="5" t="s">
        <v>72</v>
      </c>
      <c r="N779" s="11"/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1987597</v>
      </c>
      <c r="AG779" s="5" t="s">
        <v>55</v>
      </c>
      <c r="AH779" s="5" t="s">
        <v>46</v>
      </c>
    </row>
    <row r="780" spans="1:34" s="5" customFormat="1">
      <c r="A780" s="5" t="s">
        <v>47</v>
      </c>
      <c r="B780" s="5" t="s">
        <v>1125</v>
      </c>
      <c r="C780" s="5" t="s">
        <v>1126</v>
      </c>
      <c r="D780" s="5" t="s">
        <v>50</v>
      </c>
      <c r="H780" s="5" t="s">
        <v>1123</v>
      </c>
      <c r="I780" s="5" t="s">
        <v>1127</v>
      </c>
      <c r="J780" s="5" t="s">
        <v>41</v>
      </c>
      <c r="K780" s="5" t="s">
        <v>42</v>
      </c>
      <c r="L780" s="5" t="s">
        <v>71</v>
      </c>
      <c r="M780" s="5" t="s">
        <v>72</v>
      </c>
      <c r="N780" s="11"/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2386887</v>
      </c>
      <c r="AG780" s="5" t="s">
        <v>55</v>
      </c>
      <c r="AH780" s="5" t="s">
        <v>46</v>
      </c>
    </row>
    <row r="781" spans="1:34" s="5" customFormat="1">
      <c r="A781" s="5" t="s">
        <v>47</v>
      </c>
      <c r="B781" s="5" t="s">
        <v>1294</v>
      </c>
      <c r="C781" s="5" t="s">
        <v>1295</v>
      </c>
      <c r="D781" s="5" t="s">
        <v>50</v>
      </c>
      <c r="H781" s="5" t="s">
        <v>1095</v>
      </c>
      <c r="I781" s="5" t="s">
        <v>1293</v>
      </c>
      <c r="J781" s="5" t="s">
        <v>41</v>
      </c>
      <c r="K781" s="5" t="s">
        <v>42</v>
      </c>
      <c r="L781" s="5" t="s">
        <v>71</v>
      </c>
      <c r="M781" s="5" t="s">
        <v>72</v>
      </c>
      <c r="N781" s="11"/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1481526</v>
      </c>
      <c r="AG781" s="5" t="s">
        <v>55</v>
      </c>
      <c r="AH781" s="5" t="s">
        <v>46</v>
      </c>
    </row>
    <row r="782" spans="1:34" s="5" customFormat="1">
      <c r="A782" s="5" t="s">
        <v>47</v>
      </c>
      <c r="B782" s="5" t="s">
        <v>1419</v>
      </c>
      <c r="C782" s="5" t="s">
        <v>1420</v>
      </c>
      <c r="D782" s="5" t="s">
        <v>50</v>
      </c>
      <c r="H782" s="5" t="s">
        <v>1413</v>
      </c>
      <c r="I782" s="5" t="s">
        <v>1414</v>
      </c>
      <c r="J782" s="5" t="s">
        <v>41</v>
      </c>
      <c r="K782" s="5" t="s">
        <v>42</v>
      </c>
      <c r="L782" s="5" t="s">
        <v>71</v>
      </c>
      <c r="M782" s="5" t="s">
        <v>72</v>
      </c>
      <c r="N782" s="11"/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731526</v>
      </c>
      <c r="AG782" s="5" t="s">
        <v>55</v>
      </c>
      <c r="AH782" s="5" t="s">
        <v>46</v>
      </c>
    </row>
    <row r="783" spans="1:34" s="5" customFormat="1">
      <c r="A783" s="5" t="s">
        <v>47</v>
      </c>
      <c r="B783" s="5" t="s">
        <v>1465</v>
      </c>
      <c r="C783" s="5" t="s">
        <v>1466</v>
      </c>
      <c r="D783" s="5" t="s">
        <v>50</v>
      </c>
      <c r="H783" s="5" t="s">
        <v>687</v>
      </c>
      <c r="I783" s="5" t="s">
        <v>1467</v>
      </c>
      <c r="J783" s="5" t="s">
        <v>41</v>
      </c>
      <c r="K783" s="5" t="s">
        <v>42</v>
      </c>
      <c r="L783" s="5" t="s">
        <v>71</v>
      </c>
      <c r="M783" s="5" t="s">
        <v>72</v>
      </c>
      <c r="N783" s="11"/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1543052</v>
      </c>
      <c r="AG783" s="5" t="s">
        <v>55</v>
      </c>
      <c r="AH783" s="5" t="s">
        <v>46</v>
      </c>
    </row>
    <row r="784" spans="1:34" s="5" customFormat="1">
      <c r="A784" s="5" t="s">
        <v>47</v>
      </c>
      <c r="B784" s="5" t="s">
        <v>1649</v>
      </c>
      <c r="C784" s="5" t="s">
        <v>1650</v>
      </c>
      <c r="D784" s="5" t="s">
        <v>50</v>
      </c>
      <c r="H784" s="5" t="s">
        <v>1378</v>
      </c>
      <c r="I784" s="5" t="s">
        <v>1642</v>
      </c>
      <c r="J784" s="5" t="s">
        <v>41</v>
      </c>
      <c r="K784" s="5" t="s">
        <v>42</v>
      </c>
      <c r="L784" s="5" t="s">
        <v>71</v>
      </c>
      <c r="M784" s="5" t="s">
        <v>72</v>
      </c>
      <c r="N784" s="11"/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4417784</v>
      </c>
      <c r="AG784" s="5" t="s">
        <v>55</v>
      </c>
      <c r="AH784" s="5" t="s">
        <v>46</v>
      </c>
    </row>
    <row r="785" spans="1:34" s="5" customFormat="1">
      <c r="A785" s="5" t="s">
        <v>47</v>
      </c>
      <c r="B785" s="5" t="s">
        <v>1766</v>
      </c>
      <c r="C785" s="5" t="s">
        <v>1767</v>
      </c>
      <c r="D785" s="5" t="s">
        <v>50</v>
      </c>
      <c r="H785" s="5" t="s">
        <v>1762</v>
      </c>
      <c r="I785" s="5" t="s">
        <v>1763</v>
      </c>
      <c r="J785" s="5" t="s">
        <v>41</v>
      </c>
      <c r="K785" s="5" t="s">
        <v>42</v>
      </c>
      <c r="L785" s="5" t="s">
        <v>71</v>
      </c>
      <c r="M785" s="5" t="s">
        <v>72</v>
      </c>
      <c r="N785" s="11"/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2271084</v>
      </c>
      <c r="AG785" s="5" t="s">
        <v>55</v>
      </c>
      <c r="AH785" s="5" t="s">
        <v>46</v>
      </c>
    </row>
    <row r="786" spans="1:34" s="5" customFormat="1">
      <c r="A786" s="5" t="s">
        <v>225</v>
      </c>
      <c r="B786" s="5" t="s">
        <v>252</v>
      </c>
      <c r="C786" s="5" t="s">
        <v>253</v>
      </c>
      <c r="D786" s="5" t="s">
        <v>50</v>
      </c>
      <c r="H786" s="5" t="s">
        <v>220</v>
      </c>
      <c r="I786" s="5" t="s">
        <v>231</v>
      </c>
      <c r="J786" s="5" t="s">
        <v>41</v>
      </c>
      <c r="K786" s="5" t="s">
        <v>42</v>
      </c>
      <c r="L786" s="5" t="s">
        <v>87</v>
      </c>
      <c r="M786" s="5" t="s">
        <v>88</v>
      </c>
      <c r="N786" s="11"/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1566974</v>
      </c>
      <c r="AG786" s="5" t="s">
        <v>55</v>
      </c>
      <c r="AH786" s="5" t="s">
        <v>46</v>
      </c>
    </row>
    <row r="787" spans="1:34" s="5" customFormat="1">
      <c r="A787" s="5" t="s">
        <v>225</v>
      </c>
      <c r="B787" s="5" t="s">
        <v>1198</v>
      </c>
      <c r="C787" s="5" t="s">
        <v>1199</v>
      </c>
      <c r="D787" s="5" t="s">
        <v>50</v>
      </c>
      <c r="H787" s="5" t="s">
        <v>1188</v>
      </c>
      <c r="I787" s="5" t="s">
        <v>1200</v>
      </c>
      <c r="J787" s="5" t="s">
        <v>41</v>
      </c>
      <c r="K787" s="5" t="s">
        <v>42</v>
      </c>
      <c r="L787" s="5" t="s">
        <v>87</v>
      </c>
      <c r="M787" s="5" t="s">
        <v>88</v>
      </c>
      <c r="N787" s="11"/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1470922</v>
      </c>
      <c r="AG787" s="5" t="s">
        <v>55</v>
      </c>
      <c r="AH787" s="5" t="s">
        <v>46</v>
      </c>
    </row>
    <row r="788" spans="1:34" s="5" customFormat="1">
      <c r="A788" s="5" t="s">
        <v>225</v>
      </c>
      <c r="B788" s="5" t="s">
        <v>1247</v>
      </c>
      <c r="C788" s="5" t="s">
        <v>1248</v>
      </c>
      <c r="D788" s="5" t="s">
        <v>50</v>
      </c>
      <c r="H788" s="5" t="s">
        <v>1188</v>
      </c>
      <c r="I788" s="5" t="s">
        <v>1236</v>
      </c>
      <c r="J788" s="5" t="s">
        <v>41</v>
      </c>
      <c r="K788" s="5" t="s">
        <v>42</v>
      </c>
      <c r="L788" s="5" t="s">
        <v>87</v>
      </c>
      <c r="M788" s="5" t="s">
        <v>88</v>
      </c>
      <c r="N788" s="11"/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1470922</v>
      </c>
      <c r="AG788" s="5" t="s">
        <v>55</v>
      </c>
      <c r="AH788" s="5" t="s">
        <v>46</v>
      </c>
    </row>
    <row r="789" spans="1:34" s="5" customFormat="1">
      <c r="A789" s="5" t="s">
        <v>47</v>
      </c>
      <c r="B789" s="5" t="s">
        <v>85</v>
      </c>
      <c r="C789" s="5" t="s">
        <v>86</v>
      </c>
      <c r="D789" s="5" t="s">
        <v>50</v>
      </c>
      <c r="H789" s="5" t="s">
        <v>51</v>
      </c>
      <c r="I789" s="5" t="s">
        <v>58</v>
      </c>
      <c r="J789" s="5" t="s">
        <v>41</v>
      </c>
      <c r="K789" s="5" t="s">
        <v>42</v>
      </c>
      <c r="L789" s="5" t="s">
        <v>87</v>
      </c>
      <c r="M789" s="5" t="s">
        <v>88</v>
      </c>
      <c r="N789" s="11"/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1566974</v>
      </c>
      <c r="AG789" s="5" t="s">
        <v>55</v>
      </c>
      <c r="AH789" s="5" t="s">
        <v>46</v>
      </c>
    </row>
    <row r="790" spans="1:34" s="5" customFormat="1">
      <c r="A790" s="5" t="s">
        <v>47</v>
      </c>
      <c r="B790" s="5" t="s">
        <v>278</v>
      </c>
      <c r="C790" s="5" t="s">
        <v>279</v>
      </c>
      <c r="D790" s="5" t="s">
        <v>50</v>
      </c>
      <c r="H790" s="5" t="s">
        <v>220</v>
      </c>
      <c r="I790" s="5" t="s">
        <v>275</v>
      </c>
      <c r="J790" s="5" t="s">
        <v>41</v>
      </c>
      <c r="K790" s="5" t="s">
        <v>42</v>
      </c>
      <c r="L790" s="5" t="s">
        <v>87</v>
      </c>
      <c r="M790" s="5" t="s">
        <v>88</v>
      </c>
      <c r="N790" s="11"/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744431</v>
      </c>
      <c r="AG790" s="5" t="s">
        <v>55</v>
      </c>
      <c r="AH790" s="5" t="s">
        <v>46</v>
      </c>
    </row>
    <row r="791" spans="1:34" s="5" customFormat="1">
      <c r="A791" s="5" t="s">
        <v>47</v>
      </c>
      <c r="B791" s="5" t="s">
        <v>600</v>
      </c>
      <c r="C791" s="5" t="s">
        <v>601</v>
      </c>
      <c r="D791" s="5" t="s">
        <v>50</v>
      </c>
      <c r="H791" s="5" t="s">
        <v>585</v>
      </c>
      <c r="I791" s="5" t="s">
        <v>591</v>
      </c>
      <c r="J791" s="5" t="s">
        <v>41</v>
      </c>
      <c r="K791" s="5" t="s">
        <v>42</v>
      </c>
      <c r="L791" s="5" t="s">
        <v>87</v>
      </c>
      <c r="M791" s="5" t="s">
        <v>88</v>
      </c>
      <c r="N791" s="11"/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2328774</v>
      </c>
      <c r="AG791" s="5" t="s">
        <v>55</v>
      </c>
      <c r="AH791" s="5" t="s">
        <v>46</v>
      </c>
    </row>
    <row r="792" spans="1:34" s="5" customFormat="1">
      <c r="A792" s="5" t="s">
        <v>47</v>
      </c>
      <c r="B792" s="5" t="s">
        <v>715</v>
      </c>
      <c r="C792" s="5" t="s">
        <v>716</v>
      </c>
      <c r="D792" s="5" t="s">
        <v>50</v>
      </c>
      <c r="H792" s="5" t="s">
        <v>704</v>
      </c>
      <c r="I792" s="5" t="s">
        <v>712</v>
      </c>
      <c r="J792" s="5" t="s">
        <v>41</v>
      </c>
      <c r="K792" s="5" t="s">
        <v>42</v>
      </c>
      <c r="L792" s="5" t="s">
        <v>87</v>
      </c>
      <c r="M792" s="5" t="s">
        <v>88</v>
      </c>
      <c r="N792" s="11"/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1566974</v>
      </c>
      <c r="AG792" s="5" t="s">
        <v>55</v>
      </c>
      <c r="AH792" s="5" t="s">
        <v>46</v>
      </c>
    </row>
    <row r="793" spans="1:34" s="5" customFormat="1">
      <c r="A793" s="5" t="s">
        <v>47</v>
      </c>
      <c r="B793" s="5" t="s">
        <v>913</v>
      </c>
      <c r="C793" s="5" t="s">
        <v>914</v>
      </c>
      <c r="D793" s="5" t="s">
        <v>50</v>
      </c>
      <c r="H793" s="5" t="s">
        <v>903</v>
      </c>
      <c r="I793" s="5" t="s">
        <v>904</v>
      </c>
      <c r="J793" s="5" t="s">
        <v>41</v>
      </c>
      <c r="K793" s="5" t="s">
        <v>42</v>
      </c>
      <c r="L793" s="5" t="s">
        <v>87</v>
      </c>
      <c r="M793" s="5" t="s">
        <v>88</v>
      </c>
      <c r="N793" s="11"/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1570922</v>
      </c>
      <c r="AG793" s="5" t="s">
        <v>55</v>
      </c>
      <c r="AH793" s="5" t="s">
        <v>46</v>
      </c>
    </row>
    <row r="794" spans="1:34" s="5" customFormat="1">
      <c r="A794" s="5" t="s">
        <v>47</v>
      </c>
      <c r="B794" s="5" t="s">
        <v>1130</v>
      </c>
      <c r="C794" s="5" t="s">
        <v>1131</v>
      </c>
      <c r="D794" s="5" t="s">
        <v>50</v>
      </c>
      <c r="H794" s="5" t="s">
        <v>1123</v>
      </c>
      <c r="I794" s="5" t="s">
        <v>1127</v>
      </c>
      <c r="J794" s="5" t="s">
        <v>41</v>
      </c>
      <c r="K794" s="5" t="s">
        <v>42</v>
      </c>
      <c r="L794" s="5" t="s">
        <v>87</v>
      </c>
      <c r="M794" s="5" t="s">
        <v>88</v>
      </c>
      <c r="N794" s="11"/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1">
        <v>2323794</v>
      </c>
      <c r="AG794" s="5" t="s">
        <v>55</v>
      </c>
      <c r="AH794" s="5" t="s">
        <v>46</v>
      </c>
    </row>
    <row r="795" spans="1:34" s="5" customFormat="1">
      <c r="A795" s="5" t="s">
        <v>47</v>
      </c>
      <c r="B795" s="5" t="s">
        <v>1300</v>
      </c>
      <c r="C795" s="5" t="s">
        <v>1301</v>
      </c>
      <c r="D795" s="5" t="s">
        <v>50</v>
      </c>
      <c r="H795" s="5" t="s">
        <v>1095</v>
      </c>
      <c r="I795" s="5" t="s">
        <v>1293</v>
      </c>
      <c r="J795" s="5" t="s">
        <v>41</v>
      </c>
      <c r="K795" s="5" t="s">
        <v>42</v>
      </c>
      <c r="L795" s="5" t="s">
        <v>87</v>
      </c>
      <c r="M795" s="5" t="s">
        <v>88</v>
      </c>
      <c r="N795" s="11"/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746405</v>
      </c>
      <c r="AG795" s="5" t="s">
        <v>55</v>
      </c>
      <c r="AH795" s="5" t="s">
        <v>46</v>
      </c>
    </row>
    <row r="796" spans="1:34" s="5" customFormat="1">
      <c r="A796" s="5" t="s">
        <v>47</v>
      </c>
      <c r="B796" s="5" t="s">
        <v>1424</v>
      </c>
      <c r="C796" s="5" t="s">
        <v>1425</v>
      </c>
      <c r="D796" s="5" t="s">
        <v>50</v>
      </c>
      <c r="H796" s="5" t="s">
        <v>1413</v>
      </c>
      <c r="I796" s="5" t="s">
        <v>1423</v>
      </c>
      <c r="J796" s="5" t="s">
        <v>41</v>
      </c>
      <c r="K796" s="5" t="s">
        <v>42</v>
      </c>
      <c r="L796" s="5" t="s">
        <v>87</v>
      </c>
      <c r="M796" s="5" t="s">
        <v>88</v>
      </c>
      <c r="N796" s="11"/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646405</v>
      </c>
      <c r="AG796" s="5" t="s">
        <v>55</v>
      </c>
      <c r="AH796" s="5" t="s">
        <v>46</v>
      </c>
    </row>
    <row r="797" spans="1:34" s="5" customFormat="1">
      <c r="A797" s="5" t="s">
        <v>47</v>
      </c>
      <c r="B797" s="5" t="s">
        <v>1481</v>
      </c>
      <c r="C797" s="5" t="s">
        <v>1482</v>
      </c>
      <c r="D797" s="5" t="s">
        <v>50</v>
      </c>
      <c r="H797" s="5" t="s">
        <v>687</v>
      </c>
      <c r="I797" s="5" t="s">
        <v>1472</v>
      </c>
      <c r="J797" s="5" t="s">
        <v>41</v>
      </c>
      <c r="K797" s="5" t="s">
        <v>42</v>
      </c>
      <c r="L797" s="5" t="s">
        <v>87</v>
      </c>
      <c r="M797" s="5" t="s">
        <v>88</v>
      </c>
      <c r="N797" s="11"/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1470922</v>
      </c>
      <c r="AG797" s="5" t="s">
        <v>55</v>
      </c>
      <c r="AH797" s="5" t="s">
        <v>46</v>
      </c>
    </row>
    <row r="798" spans="1:34" s="5" customFormat="1">
      <c r="A798" s="5" t="s">
        <v>47</v>
      </c>
      <c r="B798" s="5" t="s">
        <v>1651</v>
      </c>
      <c r="C798" s="5" t="s">
        <v>1652</v>
      </c>
      <c r="D798" s="5" t="s">
        <v>50</v>
      </c>
      <c r="H798" s="5" t="s">
        <v>1378</v>
      </c>
      <c r="I798" s="5" t="s">
        <v>1642</v>
      </c>
      <c r="J798" s="5" t="s">
        <v>41</v>
      </c>
      <c r="K798" s="5" t="s">
        <v>42</v>
      </c>
      <c r="L798" s="5" t="s">
        <v>87</v>
      </c>
      <c r="M798" s="5" t="s">
        <v>88</v>
      </c>
      <c r="N798" s="11"/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4348902</v>
      </c>
      <c r="AG798" s="5" t="s">
        <v>55</v>
      </c>
      <c r="AH798" s="5" t="s">
        <v>46</v>
      </c>
    </row>
    <row r="799" spans="1:34" s="5" customFormat="1">
      <c r="A799" s="5" t="s">
        <v>47</v>
      </c>
      <c r="B799" s="5" t="s">
        <v>1772</v>
      </c>
      <c r="C799" s="5" t="s">
        <v>1773</v>
      </c>
      <c r="D799" s="5" t="s">
        <v>50</v>
      </c>
      <c r="H799" s="5" t="s">
        <v>1762</v>
      </c>
      <c r="I799" s="5" t="s">
        <v>1774</v>
      </c>
      <c r="J799" s="5" t="s">
        <v>41</v>
      </c>
      <c r="K799" s="5" t="s">
        <v>42</v>
      </c>
      <c r="L799" s="5" t="s">
        <v>87</v>
      </c>
      <c r="M799" s="5" t="s">
        <v>88</v>
      </c>
      <c r="N799" s="11"/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2158661</v>
      </c>
      <c r="AG799" s="5" t="s">
        <v>55</v>
      </c>
      <c r="AH799" s="5" t="s">
        <v>46</v>
      </c>
    </row>
    <row r="800" spans="1:34" s="5" customFormat="1">
      <c r="A800" s="5" t="s">
        <v>225</v>
      </c>
      <c r="B800" s="5" t="s">
        <v>234</v>
      </c>
      <c r="C800" s="5" t="s">
        <v>235</v>
      </c>
      <c r="D800" s="5" t="s">
        <v>50</v>
      </c>
      <c r="H800" s="5" t="s">
        <v>220</v>
      </c>
      <c r="I800" s="5" t="s">
        <v>231</v>
      </c>
      <c r="J800" s="5" t="s">
        <v>41</v>
      </c>
      <c r="K800" s="5" t="s">
        <v>42</v>
      </c>
      <c r="L800" s="5" t="s">
        <v>67</v>
      </c>
      <c r="M800" s="5" t="s">
        <v>68</v>
      </c>
      <c r="N800" s="11"/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1509620</v>
      </c>
      <c r="AG800" s="5" t="s">
        <v>55</v>
      </c>
      <c r="AH800" s="5" t="s">
        <v>46</v>
      </c>
    </row>
    <row r="801" spans="1:34" s="5" customFormat="1">
      <c r="A801" s="5" t="s">
        <v>47</v>
      </c>
      <c r="B801" s="5" t="s">
        <v>65</v>
      </c>
      <c r="C801" s="5" t="s">
        <v>66</v>
      </c>
      <c r="D801" s="5" t="s">
        <v>50</v>
      </c>
      <c r="H801" s="5" t="s">
        <v>51</v>
      </c>
      <c r="I801" s="5" t="s">
        <v>58</v>
      </c>
      <c r="J801" s="5" t="s">
        <v>41</v>
      </c>
      <c r="K801" s="5" t="s">
        <v>42</v>
      </c>
      <c r="L801" s="5" t="s">
        <v>67</v>
      </c>
      <c r="M801" s="5" t="s">
        <v>68</v>
      </c>
      <c r="N801" s="11"/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1521612</v>
      </c>
      <c r="AG801" s="5" t="s">
        <v>55</v>
      </c>
      <c r="AH801" s="5" t="s">
        <v>46</v>
      </c>
    </row>
    <row r="802" spans="1:34" s="5" customFormat="1">
      <c r="A802" s="5" t="s">
        <v>47</v>
      </c>
      <c r="B802" s="5" t="s">
        <v>282</v>
      </c>
      <c r="C802" s="5" t="s">
        <v>283</v>
      </c>
      <c r="D802" s="5" t="s">
        <v>50</v>
      </c>
      <c r="H802" s="5" t="s">
        <v>220</v>
      </c>
      <c r="I802" s="5" t="s">
        <v>275</v>
      </c>
      <c r="J802" s="5" t="s">
        <v>41</v>
      </c>
      <c r="K802" s="5" t="s">
        <v>42</v>
      </c>
      <c r="L802" s="5" t="s">
        <v>67</v>
      </c>
      <c r="M802" s="5" t="s">
        <v>68</v>
      </c>
      <c r="N802" s="11"/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711750</v>
      </c>
      <c r="AG802" s="5" t="s">
        <v>55</v>
      </c>
      <c r="AH802" s="5" t="s">
        <v>46</v>
      </c>
    </row>
    <row r="803" spans="1:34" s="5" customFormat="1">
      <c r="A803" s="5" t="s">
        <v>47</v>
      </c>
      <c r="B803" s="5" t="s">
        <v>594</v>
      </c>
      <c r="C803" s="5" t="s">
        <v>595</v>
      </c>
      <c r="D803" s="5" t="s">
        <v>50</v>
      </c>
      <c r="H803" s="5" t="s">
        <v>585</v>
      </c>
      <c r="I803" s="5" t="s">
        <v>591</v>
      </c>
      <c r="J803" s="5" t="s">
        <v>41</v>
      </c>
      <c r="K803" s="5" t="s">
        <v>42</v>
      </c>
      <c r="L803" s="5" t="s">
        <v>67</v>
      </c>
      <c r="M803" s="5" t="s">
        <v>68</v>
      </c>
      <c r="N803" s="11"/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1509620</v>
      </c>
      <c r="AG803" s="5" t="s">
        <v>55</v>
      </c>
      <c r="AH803" s="5" t="s">
        <v>46</v>
      </c>
    </row>
    <row r="804" spans="1:34" s="5" customFormat="1">
      <c r="A804" s="5" t="s">
        <v>47</v>
      </c>
      <c r="B804" s="5" t="s">
        <v>706</v>
      </c>
      <c r="C804" s="5" t="s">
        <v>707</v>
      </c>
      <c r="D804" s="5" t="s">
        <v>50</v>
      </c>
      <c r="H804" s="5" t="s">
        <v>704</v>
      </c>
      <c r="I804" s="5" t="s">
        <v>705</v>
      </c>
      <c r="J804" s="5" t="s">
        <v>41</v>
      </c>
      <c r="K804" s="5" t="s">
        <v>42</v>
      </c>
      <c r="L804" s="5" t="s">
        <v>67</v>
      </c>
      <c r="M804" s="5" t="s">
        <v>68</v>
      </c>
      <c r="N804" s="11"/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1509620</v>
      </c>
      <c r="AG804" s="5" t="s">
        <v>55</v>
      </c>
      <c r="AH804" s="5" t="s">
        <v>46</v>
      </c>
    </row>
    <row r="805" spans="1:34" s="5" customFormat="1">
      <c r="A805" s="5" t="s">
        <v>47</v>
      </c>
      <c r="B805" s="5" t="s">
        <v>907</v>
      </c>
      <c r="C805" s="5" t="s">
        <v>908</v>
      </c>
      <c r="D805" s="5" t="s">
        <v>50</v>
      </c>
      <c r="H805" s="5" t="s">
        <v>903</v>
      </c>
      <c r="I805" s="5" t="s">
        <v>904</v>
      </c>
      <c r="J805" s="5" t="s">
        <v>41</v>
      </c>
      <c r="K805" s="5" t="s">
        <v>42</v>
      </c>
      <c r="L805" s="5" t="s">
        <v>67</v>
      </c>
      <c r="M805" s="5" t="s">
        <v>68</v>
      </c>
      <c r="N805" s="11"/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1509620</v>
      </c>
      <c r="AG805" s="5" t="s">
        <v>55</v>
      </c>
      <c r="AH805" s="5" t="s">
        <v>46</v>
      </c>
    </row>
    <row r="806" spans="1:34" s="5" customFormat="1">
      <c r="A806" s="5" t="s">
        <v>225</v>
      </c>
      <c r="B806" s="5" t="s">
        <v>229</v>
      </c>
      <c r="C806" s="5" t="s">
        <v>230</v>
      </c>
      <c r="D806" s="5" t="s">
        <v>50</v>
      </c>
      <c r="H806" s="5" t="s">
        <v>220</v>
      </c>
      <c r="I806" s="5" t="s">
        <v>231</v>
      </c>
      <c r="J806" s="5" t="s">
        <v>41</v>
      </c>
      <c r="K806" s="5" t="s">
        <v>42</v>
      </c>
      <c r="L806" s="5" t="s">
        <v>83</v>
      </c>
      <c r="M806" s="5" t="s">
        <v>84</v>
      </c>
      <c r="N806" s="11"/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1582452</v>
      </c>
      <c r="AG806" s="5" t="s">
        <v>55</v>
      </c>
      <c r="AH806" s="5" t="s">
        <v>46</v>
      </c>
    </row>
    <row r="807" spans="1:34" s="5" customFormat="1">
      <c r="A807" s="5" t="s">
        <v>225</v>
      </c>
      <c r="B807" s="5" t="s">
        <v>1205</v>
      </c>
      <c r="C807" s="5" t="s">
        <v>1206</v>
      </c>
      <c r="D807" s="5" t="s">
        <v>50</v>
      </c>
      <c r="H807" s="5" t="s">
        <v>1188</v>
      </c>
      <c r="I807" s="5" t="s">
        <v>1200</v>
      </c>
      <c r="J807" s="5" t="s">
        <v>41</v>
      </c>
      <c r="K807" s="5" t="s">
        <v>42</v>
      </c>
      <c r="L807" s="5" t="s">
        <v>83</v>
      </c>
      <c r="M807" s="5" t="s">
        <v>84</v>
      </c>
      <c r="N807" s="11"/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1584634</v>
      </c>
      <c r="AG807" s="5" t="s">
        <v>55</v>
      </c>
      <c r="AH807" s="5" t="s">
        <v>46</v>
      </c>
    </row>
    <row r="808" spans="1:34" s="5" customFormat="1">
      <c r="A808" s="5" t="s">
        <v>225</v>
      </c>
      <c r="B808" s="5" t="s">
        <v>1251</v>
      </c>
      <c r="C808" s="5" t="s">
        <v>1252</v>
      </c>
      <c r="D808" s="5" t="s">
        <v>50</v>
      </c>
      <c r="H808" s="5" t="s">
        <v>1188</v>
      </c>
      <c r="I808" s="5" t="s">
        <v>1236</v>
      </c>
      <c r="J808" s="5" t="s">
        <v>41</v>
      </c>
      <c r="K808" s="5" t="s">
        <v>42</v>
      </c>
      <c r="L808" s="5" t="s">
        <v>83</v>
      </c>
      <c r="M808" s="5" t="s">
        <v>84</v>
      </c>
      <c r="N808" s="11"/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1584634</v>
      </c>
      <c r="AG808" s="5" t="s">
        <v>55</v>
      </c>
      <c r="AH808" s="5" t="s">
        <v>46</v>
      </c>
    </row>
    <row r="809" spans="1:34" s="5" customFormat="1">
      <c r="A809" s="5" t="s">
        <v>47</v>
      </c>
      <c r="B809" s="5" t="s">
        <v>81</v>
      </c>
      <c r="C809" s="5" t="s">
        <v>82</v>
      </c>
      <c r="D809" s="5" t="s">
        <v>50</v>
      </c>
      <c r="H809" s="5" t="s">
        <v>51</v>
      </c>
      <c r="I809" s="5" t="s">
        <v>58</v>
      </c>
      <c r="J809" s="5" t="s">
        <v>41</v>
      </c>
      <c r="K809" s="5" t="s">
        <v>42</v>
      </c>
      <c r="L809" s="5" t="s">
        <v>83</v>
      </c>
      <c r="M809" s="5" t="s">
        <v>84</v>
      </c>
      <c r="N809" s="11"/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1701910</v>
      </c>
      <c r="AG809" s="5" t="s">
        <v>55</v>
      </c>
      <c r="AH809" s="5" t="s">
        <v>46</v>
      </c>
    </row>
    <row r="810" spans="1:34" s="5" customFormat="1">
      <c r="A810" s="5" t="s">
        <v>47</v>
      </c>
      <c r="B810" s="5" t="s">
        <v>297</v>
      </c>
      <c r="C810" s="5" t="s">
        <v>298</v>
      </c>
      <c r="D810" s="5" t="s">
        <v>50</v>
      </c>
      <c r="H810" s="5" t="s">
        <v>220</v>
      </c>
      <c r="I810" s="5" t="s">
        <v>292</v>
      </c>
      <c r="J810" s="5" t="s">
        <v>41</v>
      </c>
      <c r="K810" s="5" t="s">
        <v>42</v>
      </c>
      <c r="L810" s="5" t="s">
        <v>83</v>
      </c>
      <c r="M810" s="5" t="s">
        <v>84</v>
      </c>
      <c r="N810" s="11"/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752198</v>
      </c>
      <c r="AG810" s="5" t="s">
        <v>55</v>
      </c>
      <c r="AH810" s="5" t="s">
        <v>46</v>
      </c>
    </row>
    <row r="811" spans="1:34" s="5" customFormat="1">
      <c r="A811" s="5" t="s">
        <v>47</v>
      </c>
      <c r="B811" s="5" t="s">
        <v>602</v>
      </c>
      <c r="C811" s="5" t="s">
        <v>603</v>
      </c>
      <c r="D811" s="5" t="s">
        <v>50</v>
      </c>
      <c r="H811" s="5" t="s">
        <v>585</v>
      </c>
      <c r="I811" s="5" t="s">
        <v>591</v>
      </c>
      <c r="J811" s="5" t="s">
        <v>41</v>
      </c>
      <c r="K811" s="5" t="s">
        <v>42</v>
      </c>
      <c r="L811" s="5" t="s">
        <v>83</v>
      </c>
      <c r="M811" s="5" t="s">
        <v>84</v>
      </c>
      <c r="N811" s="11"/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1582452</v>
      </c>
      <c r="AG811" s="5" t="s">
        <v>55</v>
      </c>
      <c r="AH811" s="5" t="s">
        <v>46</v>
      </c>
    </row>
    <row r="812" spans="1:34" s="5" customFormat="1">
      <c r="A812" s="5" t="s">
        <v>47</v>
      </c>
      <c r="B812" s="5" t="s">
        <v>723</v>
      </c>
      <c r="C812" s="5" t="s">
        <v>724</v>
      </c>
      <c r="D812" s="5" t="s">
        <v>50</v>
      </c>
      <c r="H812" s="5" t="s">
        <v>704</v>
      </c>
      <c r="I812" s="5" t="s">
        <v>725</v>
      </c>
      <c r="J812" s="5" t="s">
        <v>41</v>
      </c>
      <c r="K812" s="5" t="s">
        <v>42</v>
      </c>
      <c r="L812" s="5" t="s">
        <v>83</v>
      </c>
      <c r="M812" s="5" t="s">
        <v>84</v>
      </c>
      <c r="N812" s="11"/>
      <c r="P812" s="11">
        <v>0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1582452</v>
      </c>
      <c r="AG812" s="5" t="s">
        <v>55</v>
      </c>
      <c r="AH812" s="5" t="s">
        <v>46</v>
      </c>
    </row>
    <row r="813" spans="1:34" s="5" customFormat="1">
      <c r="A813" s="5" t="s">
        <v>47</v>
      </c>
      <c r="B813" s="5" t="s">
        <v>905</v>
      </c>
      <c r="C813" s="5" t="s">
        <v>906</v>
      </c>
      <c r="D813" s="5" t="s">
        <v>50</v>
      </c>
      <c r="H813" s="5" t="s">
        <v>903</v>
      </c>
      <c r="I813" s="5" t="s">
        <v>904</v>
      </c>
      <c r="J813" s="5" t="s">
        <v>41</v>
      </c>
      <c r="K813" s="5" t="s">
        <v>42</v>
      </c>
      <c r="L813" s="5" t="s">
        <v>83</v>
      </c>
      <c r="M813" s="5" t="s">
        <v>84</v>
      </c>
      <c r="N813" s="11"/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1471301</v>
      </c>
      <c r="AG813" s="5" t="s">
        <v>55</v>
      </c>
      <c r="AH813" s="5" t="s">
        <v>46</v>
      </c>
    </row>
    <row r="814" spans="1:34" s="5" customFormat="1">
      <c r="A814" s="5" t="s">
        <v>47</v>
      </c>
      <c r="B814" s="5" t="s">
        <v>1143</v>
      </c>
      <c r="C814" s="5" t="s">
        <v>1144</v>
      </c>
      <c r="D814" s="5" t="s">
        <v>50</v>
      </c>
      <c r="H814" s="5" t="s">
        <v>1123</v>
      </c>
      <c r="I814" s="5" t="s">
        <v>1138</v>
      </c>
      <c r="J814" s="5" t="s">
        <v>41</v>
      </c>
      <c r="K814" s="5" t="s">
        <v>42</v>
      </c>
      <c r="L814" s="5" t="s">
        <v>83</v>
      </c>
      <c r="M814" s="5" t="s">
        <v>84</v>
      </c>
      <c r="N814" s="11"/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2453630</v>
      </c>
      <c r="AG814" s="5" t="s">
        <v>55</v>
      </c>
      <c r="AH814" s="5" t="s">
        <v>46</v>
      </c>
    </row>
    <row r="815" spans="1:34" s="5" customFormat="1">
      <c r="A815" s="5" t="s">
        <v>47</v>
      </c>
      <c r="B815" s="5" t="s">
        <v>1304</v>
      </c>
      <c r="C815" s="5" t="s">
        <v>1305</v>
      </c>
      <c r="D815" s="5" t="s">
        <v>50</v>
      </c>
      <c r="H815" s="5" t="s">
        <v>1095</v>
      </c>
      <c r="I815" s="5" t="s">
        <v>1293</v>
      </c>
      <c r="J815" s="5" t="s">
        <v>41</v>
      </c>
      <c r="K815" s="5" t="s">
        <v>42</v>
      </c>
      <c r="L815" s="5" t="s">
        <v>83</v>
      </c>
      <c r="M815" s="5" t="s">
        <v>84</v>
      </c>
      <c r="N815" s="11"/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753289</v>
      </c>
      <c r="AG815" s="5" t="s">
        <v>55</v>
      </c>
      <c r="AH815" s="5" t="s">
        <v>46</v>
      </c>
    </row>
    <row r="816" spans="1:34" s="5" customFormat="1">
      <c r="A816" s="5" t="s">
        <v>47</v>
      </c>
      <c r="B816" s="5" t="s">
        <v>1430</v>
      </c>
      <c r="C816" s="5" t="s">
        <v>1431</v>
      </c>
      <c r="D816" s="5" t="s">
        <v>50</v>
      </c>
      <c r="H816" s="5" t="s">
        <v>1413</v>
      </c>
      <c r="I816" s="5" t="s">
        <v>1423</v>
      </c>
      <c r="J816" s="5" t="s">
        <v>41</v>
      </c>
      <c r="K816" s="5" t="s">
        <v>42</v>
      </c>
      <c r="L816" s="5" t="s">
        <v>83</v>
      </c>
      <c r="M816" s="5" t="s">
        <v>84</v>
      </c>
      <c r="N816" s="11"/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753289</v>
      </c>
      <c r="AG816" s="5" t="s">
        <v>55</v>
      </c>
      <c r="AH816" s="5" t="s">
        <v>46</v>
      </c>
    </row>
    <row r="817" spans="1:34" s="5" customFormat="1">
      <c r="A817" s="5" t="s">
        <v>47</v>
      </c>
      <c r="B817" s="5" t="s">
        <v>1468</v>
      </c>
      <c r="C817" s="5" t="s">
        <v>1469</v>
      </c>
      <c r="D817" s="5" t="s">
        <v>50</v>
      </c>
      <c r="H817" s="5" t="s">
        <v>687</v>
      </c>
      <c r="I817" s="5" t="s">
        <v>1467</v>
      </c>
      <c r="J817" s="5" t="s">
        <v>41</v>
      </c>
      <c r="K817" s="5" t="s">
        <v>42</v>
      </c>
      <c r="L817" s="5" t="s">
        <v>83</v>
      </c>
      <c r="M817" s="5" t="s">
        <v>84</v>
      </c>
      <c r="N817" s="11"/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1737019</v>
      </c>
      <c r="AG817" s="5" t="s">
        <v>55</v>
      </c>
      <c r="AH817" s="5" t="s">
        <v>46</v>
      </c>
    </row>
    <row r="818" spans="1:34" s="5" customFormat="1">
      <c r="A818" s="5" t="s">
        <v>47</v>
      </c>
      <c r="B818" s="5" t="s">
        <v>1660</v>
      </c>
      <c r="C818" s="5" t="s">
        <v>1661</v>
      </c>
      <c r="D818" s="5" t="s">
        <v>50</v>
      </c>
      <c r="H818" s="5" t="s">
        <v>1378</v>
      </c>
      <c r="I818" s="5" t="s">
        <v>1657</v>
      </c>
      <c r="J818" s="5" t="s">
        <v>41</v>
      </c>
      <c r="K818" s="5" t="s">
        <v>42</v>
      </c>
      <c r="L818" s="5" t="s">
        <v>83</v>
      </c>
      <c r="M818" s="5" t="s">
        <v>84</v>
      </c>
      <c r="N818" s="11"/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4446570</v>
      </c>
      <c r="AG818" s="5" t="s">
        <v>55</v>
      </c>
      <c r="AH818" s="5" t="s">
        <v>46</v>
      </c>
    </row>
    <row r="819" spans="1:34" s="5" customFormat="1">
      <c r="A819" s="5" t="s">
        <v>47</v>
      </c>
      <c r="B819" s="5" t="s">
        <v>1781</v>
      </c>
      <c r="C819" s="5" t="s">
        <v>1782</v>
      </c>
      <c r="D819" s="5" t="s">
        <v>50</v>
      </c>
      <c r="H819" s="5" t="s">
        <v>1762</v>
      </c>
      <c r="I819" s="5" t="s">
        <v>1774</v>
      </c>
      <c r="J819" s="5" t="s">
        <v>41</v>
      </c>
      <c r="K819" s="5" t="s">
        <v>42</v>
      </c>
      <c r="L819" s="5" t="s">
        <v>83</v>
      </c>
      <c r="M819" s="5" t="s">
        <v>84</v>
      </c>
      <c r="N819" s="11"/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2253333</v>
      </c>
      <c r="AG819" s="5" t="s">
        <v>55</v>
      </c>
      <c r="AH819" s="5" t="s">
        <v>46</v>
      </c>
    </row>
    <row r="820" spans="1:34" s="5" customFormat="1">
      <c r="A820" s="5" t="s">
        <v>225</v>
      </c>
      <c r="B820" s="5" t="s">
        <v>269</v>
      </c>
      <c r="C820" s="5" t="s">
        <v>270</v>
      </c>
      <c r="D820" s="5" t="s">
        <v>50</v>
      </c>
      <c r="H820" s="5" t="s">
        <v>220</v>
      </c>
      <c r="I820" s="5" t="s">
        <v>256</v>
      </c>
      <c r="J820" s="5" t="s">
        <v>41</v>
      </c>
      <c r="K820" s="5" t="s">
        <v>42</v>
      </c>
      <c r="L820" s="5" t="s">
        <v>141</v>
      </c>
      <c r="M820" s="5" t="s">
        <v>142</v>
      </c>
      <c r="N820" s="11"/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1736573</v>
      </c>
      <c r="AG820" s="5" t="s">
        <v>55</v>
      </c>
      <c r="AH820" s="5" t="s">
        <v>46</v>
      </c>
    </row>
    <row r="821" spans="1:34" s="5" customFormat="1">
      <c r="A821" s="5" t="s">
        <v>225</v>
      </c>
      <c r="B821" s="5" t="s">
        <v>1228</v>
      </c>
      <c r="C821" s="5" t="s">
        <v>1229</v>
      </c>
      <c r="D821" s="5" t="s">
        <v>50</v>
      </c>
      <c r="H821" s="5" t="s">
        <v>1188</v>
      </c>
      <c r="I821" s="5" t="s">
        <v>1230</v>
      </c>
      <c r="J821" s="5" t="s">
        <v>41</v>
      </c>
      <c r="K821" s="5" t="s">
        <v>42</v>
      </c>
      <c r="L821" s="5" t="s">
        <v>141</v>
      </c>
      <c r="M821" s="5" t="s">
        <v>142</v>
      </c>
      <c r="N821" s="11"/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0</v>
      </c>
      <c r="AC821" s="11">
        <v>0</v>
      </c>
      <c r="AD821" s="11">
        <v>0</v>
      </c>
      <c r="AE821" s="11">
        <v>0</v>
      </c>
      <c r="AF821" s="11">
        <v>1871478</v>
      </c>
      <c r="AG821" s="5" t="s">
        <v>55</v>
      </c>
      <c r="AH821" s="5" t="s">
        <v>46</v>
      </c>
    </row>
    <row r="822" spans="1:34" s="5" customFormat="1">
      <c r="A822" s="5" t="s">
        <v>225</v>
      </c>
      <c r="B822" s="5" t="s">
        <v>1266</v>
      </c>
      <c r="C822" s="5" t="s">
        <v>1267</v>
      </c>
      <c r="D822" s="5" t="s">
        <v>50</v>
      </c>
      <c r="H822" s="5" t="s">
        <v>1188</v>
      </c>
      <c r="I822" s="5" t="s">
        <v>1255</v>
      </c>
      <c r="J822" s="5" t="s">
        <v>41</v>
      </c>
      <c r="K822" s="5" t="s">
        <v>42</v>
      </c>
      <c r="L822" s="5" t="s">
        <v>141</v>
      </c>
      <c r="M822" s="5" t="s">
        <v>142</v>
      </c>
      <c r="N822" s="11"/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2453827</v>
      </c>
      <c r="AG822" s="5" t="s">
        <v>55</v>
      </c>
      <c r="AH822" s="5" t="s">
        <v>46</v>
      </c>
    </row>
    <row r="823" spans="1:34" s="5" customFormat="1">
      <c r="A823" s="5" t="s">
        <v>47</v>
      </c>
      <c r="B823" s="5" t="s">
        <v>139</v>
      </c>
      <c r="C823" s="5" t="s">
        <v>140</v>
      </c>
      <c r="D823" s="5" t="s">
        <v>50</v>
      </c>
      <c r="H823" s="5" t="s">
        <v>51</v>
      </c>
      <c r="I823" s="5" t="s">
        <v>128</v>
      </c>
      <c r="J823" s="5" t="s">
        <v>41</v>
      </c>
      <c r="K823" s="5" t="s">
        <v>42</v>
      </c>
      <c r="L823" s="5" t="s">
        <v>141</v>
      </c>
      <c r="M823" s="5" t="s">
        <v>142</v>
      </c>
      <c r="N823" s="11"/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1997316</v>
      </c>
      <c r="AG823" s="5" t="s">
        <v>55</v>
      </c>
      <c r="AH823" s="5" t="s">
        <v>46</v>
      </c>
    </row>
    <row r="824" spans="1:34" s="5" customFormat="1">
      <c r="A824" s="5" t="s">
        <v>47</v>
      </c>
      <c r="B824" s="5" t="s">
        <v>317</v>
      </c>
      <c r="C824" s="5" t="s">
        <v>318</v>
      </c>
      <c r="D824" s="5" t="s">
        <v>50</v>
      </c>
      <c r="H824" s="5" t="s">
        <v>220</v>
      </c>
      <c r="I824" s="5" t="s">
        <v>292</v>
      </c>
      <c r="J824" s="5" t="s">
        <v>41</v>
      </c>
      <c r="K824" s="5" t="s">
        <v>42</v>
      </c>
      <c r="L824" s="5" t="s">
        <v>141</v>
      </c>
      <c r="M824" s="5" t="s">
        <v>142</v>
      </c>
      <c r="N824" s="11"/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914410</v>
      </c>
      <c r="AG824" s="5" t="s">
        <v>55</v>
      </c>
      <c r="AH824" s="5" t="s">
        <v>46</v>
      </c>
    </row>
    <row r="825" spans="1:34" s="5" customFormat="1">
      <c r="A825" s="5" t="s">
        <v>47</v>
      </c>
      <c r="B825" s="5" t="s">
        <v>627</v>
      </c>
      <c r="C825" s="5" t="s">
        <v>628</v>
      </c>
      <c r="D825" s="5" t="s">
        <v>50</v>
      </c>
      <c r="H825" s="5" t="s">
        <v>585</v>
      </c>
      <c r="I825" s="5" t="s">
        <v>620</v>
      </c>
      <c r="J825" s="5" t="s">
        <v>41</v>
      </c>
      <c r="K825" s="5" t="s">
        <v>42</v>
      </c>
      <c r="L825" s="5" t="s">
        <v>141</v>
      </c>
      <c r="M825" s="5" t="s">
        <v>142</v>
      </c>
      <c r="N825" s="11"/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1598630</v>
      </c>
      <c r="AG825" s="5" t="s">
        <v>55</v>
      </c>
      <c r="AH825" s="5" t="s">
        <v>46</v>
      </c>
    </row>
    <row r="826" spans="1:34" s="5" customFormat="1">
      <c r="A826" s="5" t="s">
        <v>47</v>
      </c>
      <c r="B826" s="5" t="s">
        <v>750</v>
      </c>
      <c r="C826" s="5" t="s">
        <v>751</v>
      </c>
      <c r="D826" s="5" t="s">
        <v>50</v>
      </c>
      <c r="H826" s="5" t="s">
        <v>704</v>
      </c>
      <c r="I826" s="5" t="s">
        <v>747</v>
      </c>
      <c r="J826" s="5" t="s">
        <v>41</v>
      </c>
      <c r="K826" s="5" t="s">
        <v>42</v>
      </c>
      <c r="L826" s="5" t="s">
        <v>141</v>
      </c>
      <c r="M826" s="5" t="s">
        <v>142</v>
      </c>
      <c r="N826" s="11"/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1720802</v>
      </c>
      <c r="AG826" s="5" t="s">
        <v>55</v>
      </c>
      <c r="AH826" s="5" t="s">
        <v>46</v>
      </c>
    </row>
    <row r="827" spans="1:34" s="5" customFormat="1">
      <c r="A827" s="5" t="s">
        <v>47</v>
      </c>
      <c r="B827" s="5" t="s">
        <v>941</v>
      </c>
      <c r="C827" s="5" t="s">
        <v>942</v>
      </c>
      <c r="D827" s="5" t="s">
        <v>50</v>
      </c>
      <c r="H827" s="5" t="s">
        <v>903</v>
      </c>
      <c r="I827" s="5" t="s">
        <v>943</v>
      </c>
      <c r="J827" s="5" t="s">
        <v>41</v>
      </c>
      <c r="K827" s="5" t="s">
        <v>42</v>
      </c>
      <c r="L827" s="5" t="s">
        <v>141</v>
      </c>
      <c r="M827" s="5" t="s">
        <v>142</v>
      </c>
      <c r="N827" s="11"/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1598630</v>
      </c>
      <c r="AG827" s="5" t="s">
        <v>55</v>
      </c>
      <c r="AH827" s="5" t="s">
        <v>46</v>
      </c>
    </row>
    <row r="828" spans="1:34" s="5" customFormat="1">
      <c r="A828" s="5" t="s">
        <v>47</v>
      </c>
      <c r="B828" s="5" t="s">
        <v>1167</v>
      </c>
      <c r="C828" s="5" t="s">
        <v>1168</v>
      </c>
      <c r="D828" s="5" t="s">
        <v>50</v>
      </c>
      <c r="H828" s="5" t="s">
        <v>1123</v>
      </c>
      <c r="I828" s="5" t="s">
        <v>1164</v>
      </c>
      <c r="J828" s="5" t="s">
        <v>41</v>
      </c>
      <c r="K828" s="5" t="s">
        <v>42</v>
      </c>
      <c r="L828" s="5" t="s">
        <v>141</v>
      </c>
      <c r="M828" s="5" t="s">
        <v>142</v>
      </c>
      <c r="N828" s="11"/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2687336</v>
      </c>
      <c r="AG828" s="5" t="s">
        <v>55</v>
      </c>
      <c r="AH828" s="5" t="s">
        <v>46</v>
      </c>
    </row>
    <row r="829" spans="1:34" s="5" customFormat="1">
      <c r="A829" s="5" t="s">
        <v>47</v>
      </c>
      <c r="B829" s="5" t="s">
        <v>1328</v>
      </c>
      <c r="C829" s="5" t="s">
        <v>1329</v>
      </c>
      <c r="D829" s="5" t="s">
        <v>50</v>
      </c>
      <c r="H829" s="5" t="s">
        <v>1095</v>
      </c>
      <c r="I829" s="5" t="s">
        <v>1323</v>
      </c>
      <c r="J829" s="5" t="s">
        <v>41</v>
      </c>
      <c r="K829" s="5" t="s">
        <v>42</v>
      </c>
      <c r="L829" s="5" t="s">
        <v>141</v>
      </c>
      <c r="M829" s="5" t="s">
        <v>142</v>
      </c>
      <c r="N829" s="11"/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1623210</v>
      </c>
      <c r="AG829" s="5" t="s">
        <v>55</v>
      </c>
      <c r="AH829" s="5" t="s">
        <v>46</v>
      </c>
    </row>
    <row r="830" spans="1:34" s="5" customFormat="1">
      <c r="A830" s="5" t="s">
        <v>47</v>
      </c>
      <c r="B830" s="5" t="s">
        <v>1448</v>
      </c>
      <c r="C830" s="5" t="s">
        <v>1449</v>
      </c>
      <c r="D830" s="5" t="s">
        <v>50</v>
      </c>
      <c r="H830" s="5" t="s">
        <v>1413</v>
      </c>
      <c r="I830" s="5" t="s">
        <v>1450</v>
      </c>
      <c r="J830" s="5" t="s">
        <v>41</v>
      </c>
      <c r="K830" s="5" t="s">
        <v>42</v>
      </c>
      <c r="L830" s="5" t="s">
        <v>141</v>
      </c>
      <c r="M830" s="5" t="s">
        <v>142</v>
      </c>
      <c r="N830" s="11"/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990223</v>
      </c>
      <c r="AG830" s="5" t="s">
        <v>55</v>
      </c>
      <c r="AH830" s="5" t="s">
        <v>46</v>
      </c>
    </row>
    <row r="831" spans="1:34" s="5" customFormat="1">
      <c r="A831" s="5" t="s">
        <v>47</v>
      </c>
      <c r="B831" s="5" t="s">
        <v>1505</v>
      </c>
      <c r="C831" s="5" t="s">
        <v>1506</v>
      </c>
      <c r="D831" s="5" t="s">
        <v>50</v>
      </c>
      <c r="H831" s="5" t="s">
        <v>687</v>
      </c>
      <c r="I831" s="5" t="s">
        <v>1472</v>
      </c>
      <c r="J831" s="5" t="s">
        <v>41</v>
      </c>
      <c r="K831" s="5" t="s">
        <v>42</v>
      </c>
      <c r="L831" s="5" t="s">
        <v>141</v>
      </c>
      <c r="M831" s="5" t="s">
        <v>142</v>
      </c>
      <c r="N831" s="11"/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1645869</v>
      </c>
      <c r="AG831" s="5" t="s">
        <v>55</v>
      </c>
      <c r="AH831" s="5" t="s">
        <v>46</v>
      </c>
    </row>
    <row r="832" spans="1:34" s="5" customFormat="1">
      <c r="A832" s="5" t="s">
        <v>47</v>
      </c>
      <c r="B832" s="5" t="s">
        <v>1676</v>
      </c>
      <c r="C832" s="5" t="s">
        <v>1677</v>
      </c>
      <c r="D832" s="5" t="s">
        <v>50</v>
      </c>
      <c r="H832" s="5" t="s">
        <v>1378</v>
      </c>
      <c r="I832" s="5" t="s">
        <v>1678</v>
      </c>
      <c r="J832" s="5" t="s">
        <v>41</v>
      </c>
      <c r="K832" s="5" t="s">
        <v>42</v>
      </c>
      <c r="L832" s="5" t="s">
        <v>141</v>
      </c>
      <c r="M832" s="5" t="s">
        <v>142</v>
      </c>
      <c r="N832" s="11"/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5161582</v>
      </c>
      <c r="AG832" s="5" t="s">
        <v>55</v>
      </c>
      <c r="AH832" s="5" t="s">
        <v>46</v>
      </c>
    </row>
    <row r="833" spans="1:34" s="5" customFormat="1">
      <c r="A833" s="5" t="s">
        <v>47</v>
      </c>
      <c r="B833" s="5" t="s">
        <v>1801</v>
      </c>
      <c r="C833" s="5" t="s">
        <v>1802</v>
      </c>
      <c r="D833" s="5" t="s">
        <v>50</v>
      </c>
      <c r="H833" s="5" t="s">
        <v>1762</v>
      </c>
      <c r="I833" s="5" t="s">
        <v>1800</v>
      </c>
      <c r="J833" s="5" t="s">
        <v>41</v>
      </c>
      <c r="K833" s="5" t="s">
        <v>42</v>
      </c>
      <c r="L833" s="5" t="s">
        <v>141</v>
      </c>
      <c r="M833" s="5" t="s">
        <v>142</v>
      </c>
      <c r="N833" s="11"/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2639436</v>
      </c>
      <c r="AG833" s="5" t="s">
        <v>55</v>
      </c>
      <c r="AH833" s="5" t="s">
        <v>46</v>
      </c>
    </row>
    <row r="834" spans="1:34" s="5" customFormat="1">
      <c r="A834" s="5" t="s">
        <v>225</v>
      </c>
      <c r="B834" s="5" t="s">
        <v>246</v>
      </c>
      <c r="C834" s="5" t="s">
        <v>247</v>
      </c>
      <c r="D834" s="5" t="s">
        <v>50</v>
      </c>
      <c r="H834" s="5" t="s">
        <v>220</v>
      </c>
      <c r="I834" s="5" t="s">
        <v>231</v>
      </c>
      <c r="J834" s="5" t="s">
        <v>41</v>
      </c>
      <c r="K834" s="5" t="s">
        <v>42</v>
      </c>
      <c r="L834" s="5" t="s">
        <v>75</v>
      </c>
      <c r="M834" s="5" t="s">
        <v>76</v>
      </c>
      <c r="N834" s="11"/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1646506</v>
      </c>
      <c r="AG834" s="5" t="s">
        <v>55</v>
      </c>
      <c r="AH834" s="5" t="s">
        <v>46</v>
      </c>
    </row>
    <row r="835" spans="1:34" s="5" customFormat="1">
      <c r="A835" s="5" t="s">
        <v>225</v>
      </c>
      <c r="B835" s="5" t="s">
        <v>1194</v>
      </c>
      <c r="C835" s="5" t="s">
        <v>1195</v>
      </c>
      <c r="D835" s="5" t="s">
        <v>50</v>
      </c>
      <c r="H835" s="5" t="s">
        <v>1188</v>
      </c>
      <c r="I835" s="5" t="s">
        <v>1189</v>
      </c>
      <c r="J835" s="5" t="s">
        <v>41</v>
      </c>
      <c r="K835" s="5" t="s">
        <v>42</v>
      </c>
      <c r="L835" s="5" t="s">
        <v>75</v>
      </c>
      <c r="M835" s="5" t="s">
        <v>76</v>
      </c>
      <c r="N835" s="11"/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1760155</v>
      </c>
      <c r="AG835" s="5" t="s">
        <v>55</v>
      </c>
      <c r="AH835" s="5" t="s">
        <v>46</v>
      </c>
    </row>
    <row r="836" spans="1:34" s="5" customFormat="1">
      <c r="A836" s="5" t="s">
        <v>225</v>
      </c>
      <c r="B836" s="5" t="s">
        <v>1243</v>
      </c>
      <c r="C836" s="5" t="s">
        <v>1244</v>
      </c>
      <c r="D836" s="5" t="s">
        <v>50</v>
      </c>
      <c r="H836" s="5" t="s">
        <v>1188</v>
      </c>
      <c r="I836" s="5" t="s">
        <v>1236</v>
      </c>
      <c r="J836" s="5" t="s">
        <v>41</v>
      </c>
      <c r="K836" s="5" t="s">
        <v>42</v>
      </c>
      <c r="L836" s="5" t="s">
        <v>75</v>
      </c>
      <c r="M836" s="5" t="s">
        <v>76</v>
      </c>
      <c r="N836" s="11"/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1595031</v>
      </c>
      <c r="AG836" s="5" t="s">
        <v>55</v>
      </c>
      <c r="AH836" s="5" t="s">
        <v>46</v>
      </c>
    </row>
    <row r="837" spans="1:34" s="5" customFormat="1">
      <c r="A837" s="5" t="s">
        <v>47</v>
      </c>
      <c r="B837" s="5" t="s">
        <v>73</v>
      </c>
      <c r="C837" s="5" t="s">
        <v>74</v>
      </c>
      <c r="D837" s="5" t="s">
        <v>50</v>
      </c>
      <c r="H837" s="5" t="s">
        <v>51</v>
      </c>
      <c r="I837" s="5" t="s">
        <v>58</v>
      </c>
      <c r="J837" s="5" t="s">
        <v>41</v>
      </c>
      <c r="K837" s="5" t="s">
        <v>42</v>
      </c>
      <c r="L837" s="5" t="s">
        <v>75</v>
      </c>
      <c r="M837" s="5" t="s">
        <v>76</v>
      </c>
      <c r="N837" s="11"/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2267077</v>
      </c>
      <c r="AG837" s="5" t="s">
        <v>55</v>
      </c>
      <c r="AH837" s="5" t="s">
        <v>46</v>
      </c>
    </row>
    <row r="838" spans="1:34" s="5" customFormat="1">
      <c r="A838" s="5" t="s">
        <v>47</v>
      </c>
      <c r="B838" s="5" t="s">
        <v>288</v>
      </c>
      <c r="C838" s="5" t="s">
        <v>289</v>
      </c>
      <c r="D838" s="5" t="s">
        <v>50</v>
      </c>
      <c r="H838" s="5" t="s">
        <v>220</v>
      </c>
      <c r="I838" s="5" t="s">
        <v>275</v>
      </c>
      <c r="J838" s="5" t="s">
        <v>41</v>
      </c>
      <c r="K838" s="5" t="s">
        <v>42</v>
      </c>
      <c r="L838" s="5" t="s">
        <v>75</v>
      </c>
      <c r="M838" s="5" t="s">
        <v>76</v>
      </c>
      <c r="N838" s="11"/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699235</v>
      </c>
      <c r="AG838" s="5" t="s">
        <v>55</v>
      </c>
      <c r="AH838" s="5" t="s">
        <v>46</v>
      </c>
    </row>
    <row r="839" spans="1:34" s="5" customFormat="1">
      <c r="A839" s="5" t="s">
        <v>47</v>
      </c>
      <c r="B839" s="5" t="s">
        <v>596</v>
      </c>
      <c r="C839" s="5" t="s">
        <v>597</v>
      </c>
      <c r="D839" s="5" t="s">
        <v>50</v>
      </c>
      <c r="H839" s="5" t="s">
        <v>585</v>
      </c>
      <c r="I839" s="5" t="s">
        <v>591</v>
      </c>
      <c r="J839" s="5" t="s">
        <v>41</v>
      </c>
      <c r="K839" s="5" t="s">
        <v>42</v>
      </c>
      <c r="L839" s="5" t="s">
        <v>75</v>
      </c>
      <c r="M839" s="5" t="s">
        <v>76</v>
      </c>
      <c r="N839" s="11"/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1817948</v>
      </c>
      <c r="AG839" s="5" t="s">
        <v>55</v>
      </c>
      <c r="AH839" s="5" t="s">
        <v>46</v>
      </c>
    </row>
    <row r="840" spans="1:34" s="5" customFormat="1">
      <c r="A840" s="5" t="s">
        <v>47</v>
      </c>
      <c r="B840" s="5" t="s">
        <v>717</v>
      </c>
      <c r="C840" s="5" t="s">
        <v>718</v>
      </c>
      <c r="D840" s="5" t="s">
        <v>50</v>
      </c>
      <c r="H840" s="5" t="s">
        <v>704</v>
      </c>
      <c r="I840" s="5" t="s">
        <v>712</v>
      </c>
      <c r="J840" s="5" t="s">
        <v>41</v>
      </c>
      <c r="K840" s="5" t="s">
        <v>42</v>
      </c>
      <c r="L840" s="5" t="s">
        <v>75</v>
      </c>
      <c r="M840" s="5" t="s">
        <v>76</v>
      </c>
      <c r="N840" s="11"/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1915127</v>
      </c>
      <c r="AG840" s="5" t="s">
        <v>55</v>
      </c>
      <c r="AH840" s="5" t="s">
        <v>46</v>
      </c>
    </row>
    <row r="841" spans="1:34" s="5" customFormat="1">
      <c r="A841" s="5" t="s">
        <v>47</v>
      </c>
      <c r="B841" s="5" t="s">
        <v>911</v>
      </c>
      <c r="C841" s="5" t="s">
        <v>912</v>
      </c>
      <c r="D841" s="5" t="s">
        <v>50</v>
      </c>
      <c r="H841" s="5" t="s">
        <v>903</v>
      </c>
      <c r="I841" s="5" t="s">
        <v>904</v>
      </c>
      <c r="J841" s="5" t="s">
        <v>41</v>
      </c>
      <c r="K841" s="5" t="s">
        <v>42</v>
      </c>
      <c r="L841" s="5" t="s">
        <v>75</v>
      </c>
      <c r="M841" s="5" t="s">
        <v>76</v>
      </c>
      <c r="N841" s="11"/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1552324</v>
      </c>
      <c r="AG841" s="5" t="s">
        <v>55</v>
      </c>
      <c r="AH841" s="5" t="s">
        <v>46</v>
      </c>
    </row>
    <row r="842" spans="1:34" s="5" customFormat="1">
      <c r="A842" s="5" t="s">
        <v>47</v>
      </c>
      <c r="B842" s="5" t="s">
        <v>1132</v>
      </c>
      <c r="C842" s="5" t="s">
        <v>1133</v>
      </c>
      <c r="D842" s="5" t="s">
        <v>50</v>
      </c>
      <c r="H842" s="5" t="s">
        <v>1123</v>
      </c>
      <c r="I842" s="5" t="s">
        <v>1127</v>
      </c>
      <c r="J842" s="5" t="s">
        <v>41</v>
      </c>
      <c r="K842" s="5" t="s">
        <v>42</v>
      </c>
      <c r="L842" s="5" t="s">
        <v>75</v>
      </c>
      <c r="M842" s="5" t="s">
        <v>76</v>
      </c>
      <c r="N842" s="11"/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2490132</v>
      </c>
      <c r="AG842" s="5" t="s">
        <v>55</v>
      </c>
      <c r="AH842" s="5" t="s">
        <v>46</v>
      </c>
    </row>
    <row r="843" spans="1:34" s="5" customFormat="1">
      <c r="A843" s="5" t="s">
        <v>47</v>
      </c>
      <c r="B843" s="5" t="s">
        <v>1296</v>
      </c>
      <c r="C843" s="5" t="s">
        <v>1297</v>
      </c>
      <c r="D843" s="5" t="s">
        <v>50</v>
      </c>
      <c r="H843" s="5" t="s">
        <v>1095</v>
      </c>
      <c r="I843" s="5" t="s">
        <v>1293</v>
      </c>
      <c r="J843" s="5" t="s">
        <v>41</v>
      </c>
      <c r="K843" s="5" t="s">
        <v>42</v>
      </c>
      <c r="L843" s="5" t="s">
        <v>75</v>
      </c>
      <c r="M843" s="5" t="s">
        <v>76</v>
      </c>
      <c r="N843" s="11"/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711750</v>
      </c>
      <c r="AG843" s="5" t="s">
        <v>55</v>
      </c>
      <c r="AH843" s="5" t="s">
        <v>46</v>
      </c>
    </row>
    <row r="844" spans="1:34" s="5" customFormat="1">
      <c r="A844" s="5" t="s">
        <v>47</v>
      </c>
      <c r="B844" s="5" t="s">
        <v>1421</v>
      </c>
      <c r="C844" s="5" t="s">
        <v>1422</v>
      </c>
      <c r="D844" s="5" t="s">
        <v>50</v>
      </c>
      <c r="H844" s="5" t="s">
        <v>1413</v>
      </c>
      <c r="I844" s="5" t="s">
        <v>1423</v>
      </c>
      <c r="J844" s="5" t="s">
        <v>41</v>
      </c>
      <c r="K844" s="5" t="s">
        <v>42</v>
      </c>
      <c r="L844" s="5" t="s">
        <v>75</v>
      </c>
      <c r="M844" s="5" t="s">
        <v>76</v>
      </c>
      <c r="N844" s="11"/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711750</v>
      </c>
      <c r="AG844" s="5" t="s">
        <v>55</v>
      </c>
      <c r="AH844" s="5" t="s">
        <v>46</v>
      </c>
    </row>
    <row r="845" spans="1:34" s="5" customFormat="1">
      <c r="A845" s="5" t="s">
        <v>47</v>
      </c>
      <c r="B845" s="5" t="s">
        <v>1483</v>
      </c>
      <c r="C845" s="5" t="s">
        <v>1484</v>
      </c>
      <c r="D845" s="5" t="s">
        <v>50</v>
      </c>
      <c r="H845" s="5" t="s">
        <v>687</v>
      </c>
      <c r="I845" s="5" t="s">
        <v>1472</v>
      </c>
      <c r="J845" s="5" t="s">
        <v>41</v>
      </c>
      <c r="K845" s="5" t="s">
        <v>42</v>
      </c>
      <c r="L845" s="5" t="s">
        <v>75</v>
      </c>
      <c r="M845" s="5" t="s">
        <v>76</v>
      </c>
      <c r="N845" s="11"/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1309620</v>
      </c>
      <c r="AG845" s="5" t="s">
        <v>55</v>
      </c>
      <c r="AH845" s="5" t="s">
        <v>46</v>
      </c>
    </row>
    <row r="846" spans="1:34" s="5" customFormat="1">
      <c r="A846" s="5" t="s">
        <v>47</v>
      </c>
      <c r="B846" s="5" t="s">
        <v>1658</v>
      </c>
      <c r="C846" s="5" t="s">
        <v>1659</v>
      </c>
      <c r="D846" s="5" t="s">
        <v>50</v>
      </c>
      <c r="H846" s="5" t="s">
        <v>1378</v>
      </c>
      <c r="I846" s="5" t="s">
        <v>1657</v>
      </c>
      <c r="J846" s="5" t="s">
        <v>41</v>
      </c>
      <c r="K846" s="5" t="s">
        <v>42</v>
      </c>
      <c r="L846" s="5" t="s">
        <v>75</v>
      </c>
      <c r="M846" s="5" t="s">
        <v>76</v>
      </c>
      <c r="N846" s="11"/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2297322</v>
      </c>
      <c r="AG846" s="5" t="s">
        <v>55</v>
      </c>
      <c r="AH846" s="5" t="s">
        <v>46</v>
      </c>
    </row>
    <row r="847" spans="1:34" s="5" customFormat="1">
      <c r="A847" s="5" t="s">
        <v>47</v>
      </c>
      <c r="B847" s="5" t="s">
        <v>1770</v>
      </c>
      <c r="C847" s="5" t="s">
        <v>1771</v>
      </c>
      <c r="D847" s="5" t="s">
        <v>50</v>
      </c>
      <c r="H847" s="5" t="s">
        <v>1762</v>
      </c>
      <c r="I847" s="5" t="s">
        <v>1763</v>
      </c>
      <c r="J847" s="5" t="s">
        <v>41</v>
      </c>
      <c r="K847" s="5" t="s">
        <v>42</v>
      </c>
      <c r="L847" s="5" t="s">
        <v>75</v>
      </c>
      <c r="M847" s="5" t="s">
        <v>76</v>
      </c>
      <c r="N847" s="11"/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2163495</v>
      </c>
      <c r="AG847" s="5" t="s">
        <v>55</v>
      </c>
      <c r="AH847" s="5" t="s">
        <v>46</v>
      </c>
    </row>
    <row r="848" spans="1:34" s="5" customFormat="1">
      <c r="A848" s="5" t="s">
        <v>225</v>
      </c>
      <c r="B848" s="5" t="s">
        <v>271</v>
      </c>
      <c r="C848" s="5" t="s">
        <v>272</v>
      </c>
      <c r="D848" s="5" t="s">
        <v>50</v>
      </c>
      <c r="H848" s="5" t="s">
        <v>220</v>
      </c>
      <c r="I848" s="5" t="s">
        <v>256</v>
      </c>
      <c r="J848" s="5" t="s">
        <v>41</v>
      </c>
      <c r="K848" s="5" t="s">
        <v>42</v>
      </c>
      <c r="L848" s="5" t="s">
        <v>124</v>
      </c>
      <c r="M848" s="5" t="s">
        <v>125</v>
      </c>
      <c r="N848" s="11"/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3763524</v>
      </c>
      <c r="AG848" s="5" t="s">
        <v>55</v>
      </c>
      <c r="AH848" s="5" t="s">
        <v>46</v>
      </c>
    </row>
    <row r="849" spans="1:34" s="5" customFormat="1">
      <c r="A849" s="5" t="s">
        <v>225</v>
      </c>
      <c r="B849" s="5" t="s">
        <v>1218</v>
      </c>
      <c r="C849" s="5" t="s">
        <v>1219</v>
      </c>
      <c r="D849" s="5" t="s">
        <v>50</v>
      </c>
      <c r="H849" s="5" t="s">
        <v>1188</v>
      </c>
      <c r="I849" s="5" t="s">
        <v>1215</v>
      </c>
      <c r="J849" s="5" t="s">
        <v>41</v>
      </c>
      <c r="K849" s="5" t="s">
        <v>42</v>
      </c>
      <c r="L849" s="5" t="s">
        <v>124</v>
      </c>
      <c r="M849" s="5" t="s">
        <v>125</v>
      </c>
      <c r="N849" s="11"/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3570082</v>
      </c>
      <c r="AG849" s="5" t="s">
        <v>55</v>
      </c>
      <c r="AH849" s="5" t="s">
        <v>46</v>
      </c>
    </row>
    <row r="850" spans="1:34" s="5" customFormat="1">
      <c r="A850" s="5" t="s">
        <v>225</v>
      </c>
      <c r="B850" s="5" t="s">
        <v>1262</v>
      </c>
      <c r="C850" s="5" t="s">
        <v>1263</v>
      </c>
      <c r="D850" s="5" t="s">
        <v>50</v>
      </c>
      <c r="H850" s="5" t="s">
        <v>1188</v>
      </c>
      <c r="I850" s="5" t="s">
        <v>1255</v>
      </c>
      <c r="J850" s="5" t="s">
        <v>41</v>
      </c>
      <c r="K850" s="5" t="s">
        <v>42</v>
      </c>
      <c r="L850" s="5" t="s">
        <v>124</v>
      </c>
      <c r="M850" s="5" t="s">
        <v>125</v>
      </c>
      <c r="N850" s="11"/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3570082</v>
      </c>
      <c r="AG850" s="5" t="s">
        <v>55</v>
      </c>
      <c r="AH850" s="5" t="s">
        <v>46</v>
      </c>
    </row>
    <row r="851" spans="1:34" s="5" customFormat="1">
      <c r="A851" s="5" t="s">
        <v>47</v>
      </c>
      <c r="B851" s="5" t="s">
        <v>122</v>
      </c>
      <c r="C851" s="5" t="s">
        <v>123</v>
      </c>
      <c r="D851" s="5" t="s">
        <v>50</v>
      </c>
      <c r="H851" s="5" t="s">
        <v>51</v>
      </c>
      <c r="I851" s="5" t="s">
        <v>95</v>
      </c>
      <c r="J851" s="5" t="s">
        <v>41</v>
      </c>
      <c r="K851" s="5" t="s">
        <v>42</v>
      </c>
      <c r="L851" s="5" t="s">
        <v>124</v>
      </c>
      <c r="M851" s="5" t="s">
        <v>125</v>
      </c>
      <c r="N851" s="11"/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3763524</v>
      </c>
      <c r="AG851" s="5" t="s">
        <v>55</v>
      </c>
      <c r="AH851" s="5" t="s">
        <v>46</v>
      </c>
    </row>
    <row r="852" spans="1:34" s="5" customFormat="1">
      <c r="A852" s="5" t="s">
        <v>47</v>
      </c>
      <c r="B852" s="5" t="s">
        <v>315</v>
      </c>
      <c r="C852" s="5" t="s">
        <v>316</v>
      </c>
      <c r="D852" s="5" t="s">
        <v>50</v>
      </c>
      <c r="H852" s="5" t="s">
        <v>220</v>
      </c>
      <c r="I852" s="5" t="s">
        <v>292</v>
      </c>
      <c r="J852" s="5" t="s">
        <v>41</v>
      </c>
      <c r="K852" s="5" t="s">
        <v>42</v>
      </c>
      <c r="L852" s="5" t="s">
        <v>124</v>
      </c>
      <c r="M852" s="5" t="s">
        <v>125</v>
      </c>
      <c r="N852" s="11"/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1971432</v>
      </c>
      <c r="AG852" s="5" t="s">
        <v>55</v>
      </c>
      <c r="AH852" s="5" t="s">
        <v>46</v>
      </c>
    </row>
    <row r="853" spans="1:34" s="5" customFormat="1">
      <c r="A853" s="5" t="s">
        <v>47</v>
      </c>
      <c r="B853" s="5" t="s">
        <v>614</v>
      </c>
      <c r="C853" s="5" t="s">
        <v>615</v>
      </c>
      <c r="D853" s="5" t="s">
        <v>50</v>
      </c>
      <c r="H853" s="5" t="s">
        <v>585</v>
      </c>
      <c r="I853" s="5" t="s">
        <v>591</v>
      </c>
      <c r="J853" s="5" t="s">
        <v>41</v>
      </c>
      <c r="K853" s="5" t="s">
        <v>42</v>
      </c>
      <c r="L853" s="5" t="s">
        <v>124</v>
      </c>
      <c r="M853" s="5" t="s">
        <v>125</v>
      </c>
      <c r="N853" s="11"/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7443984</v>
      </c>
      <c r="AG853" s="5" t="s">
        <v>55</v>
      </c>
      <c r="AH853" s="5" t="s">
        <v>46</v>
      </c>
    </row>
    <row r="854" spans="1:34" s="5" customFormat="1">
      <c r="A854" s="5" t="s">
        <v>47</v>
      </c>
      <c r="B854" s="5" t="s">
        <v>743</v>
      </c>
      <c r="C854" s="5" t="s">
        <v>744</v>
      </c>
      <c r="D854" s="5" t="s">
        <v>50</v>
      </c>
      <c r="H854" s="5" t="s">
        <v>704</v>
      </c>
      <c r="I854" s="5" t="s">
        <v>734</v>
      </c>
      <c r="J854" s="5" t="s">
        <v>41</v>
      </c>
      <c r="K854" s="5" t="s">
        <v>42</v>
      </c>
      <c r="L854" s="5" t="s">
        <v>124</v>
      </c>
      <c r="M854" s="5" t="s">
        <v>125</v>
      </c>
      <c r="N854" s="11"/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3763524</v>
      </c>
      <c r="AG854" s="5" t="s">
        <v>55</v>
      </c>
      <c r="AH854" s="5" t="s">
        <v>46</v>
      </c>
    </row>
    <row r="855" spans="1:34" s="5" customFormat="1">
      <c r="A855" s="5" t="s">
        <v>47</v>
      </c>
      <c r="B855" s="5" t="s">
        <v>937</v>
      </c>
      <c r="C855" s="5" t="s">
        <v>938</v>
      </c>
      <c r="D855" s="5" t="s">
        <v>50</v>
      </c>
      <c r="H855" s="5" t="s">
        <v>903</v>
      </c>
      <c r="I855" s="5" t="s">
        <v>930</v>
      </c>
      <c r="J855" s="5" t="s">
        <v>41</v>
      </c>
      <c r="K855" s="5" t="s">
        <v>42</v>
      </c>
      <c r="L855" s="5" t="s">
        <v>124</v>
      </c>
      <c r="M855" s="5" t="s">
        <v>125</v>
      </c>
      <c r="N855" s="11"/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3570082</v>
      </c>
      <c r="AG855" s="5" t="s">
        <v>55</v>
      </c>
      <c r="AH855" s="5" t="s">
        <v>46</v>
      </c>
    </row>
    <row r="856" spans="1:34" s="5" customFormat="1">
      <c r="A856" s="5" t="s">
        <v>47</v>
      </c>
      <c r="B856" s="5" t="s">
        <v>1158</v>
      </c>
      <c r="C856" s="5" t="s">
        <v>1159</v>
      </c>
      <c r="D856" s="5" t="s">
        <v>50</v>
      </c>
      <c r="H856" s="5" t="s">
        <v>1123</v>
      </c>
      <c r="I856" s="5" t="s">
        <v>1151</v>
      </c>
      <c r="J856" s="5" t="s">
        <v>41</v>
      </c>
      <c r="K856" s="5" t="s">
        <v>42</v>
      </c>
      <c r="L856" s="5" t="s">
        <v>124</v>
      </c>
      <c r="M856" s="5" t="s">
        <v>125</v>
      </c>
      <c r="N856" s="11"/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5770332</v>
      </c>
      <c r="AG856" s="5" t="s">
        <v>55</v>
      </c>
      <c r="AH856" s="5" t="s">
        <v>46</v>
      </c>
    </row>
    <row r="857" spans="1:34" s="5" customFormat="1">
      <c r="A857" s="5" t="s">
        <v>47</v>
      </c>
      <c r="B857" s="5" t="s">
        <v>1319</v>
      </c>
      <c r="C857" s="5" t="s">
        <v>1320</v>
      </c>
      <c r="D857" s="5" t="s">
        <v>50</v>
      </c>
      <c r="H857" s="5" t="s">
        <v>1095</v>
      </c>
      <c r="I857" s="5" t="s">
        <v>1312</v>
      </c>
      <c r="J857" s="5" t="s">
        <v>41</v>
      </c>
      <c r="K857" s="5" t="s">
        <v>42</v>
      </c>
      <c r="L857" s="5" t="s">
        <v>124</v>
      </c>
      <c r="M857" s="5" t="s">
        <v>125</v>
      </c>
      <c r="N857" s="11"/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1974711</v>
      </c>
      <c r="AG857" s="5" t="s">
        <v>55</v>
      </c>
      <c r="AH857" s="5" t="s">
        <v>46</v>
      </c>
    </row>
    <row r="858" spans="1:34" s="5" customFormat="1">
      <c r="A858" s="5" t="s">
        <v>47</v>
      </c>
      <c r="B858" s="5" t="s">
        <v>1444</v>
      </c>
      <c r="C858" s="5" t="s">
        <v>1445</v>
      </c>
      <c r="D858" s="5" t="s">
        <v>50</v>
      </c>
      <c r="H858" s="5" t="s">
        <v>1413</v>
      </c>
      <c r="I858" s="5" t="s">
        <v>1441</v>
      </c>
      <c r="J858" s="5" t="s">
        <v>41</v>
      </c>
      <c r="K858" s="5" t="s">
        <v>42</v>
      </c>
      <c r="L858" s="5" t="s">
        <v>124</v>
      </c>
      <c r="M858" s="5" t="s">
        <v>125</v>
      </c>
      <c r="N858" s="11"/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1974711</v>
      </c>
      <c r="AG858" s="5" t="s">
        <v>55</v>
      </c>
      <c r="AH858" s="5" t="s">
        <v>46</v>
      </c>
    </row>
    <row r="859" spans="1:34" s="5" customFormat="1">
      <c r="A859" s="5" t="s">
        <v>47</v>
      </c>
      <c r="B859" s="5" t="s">
        <v>1507</v>
      </c>
      <c r="C859" s="5" t="s">
        <v>1508</v>
      </c>
      <c r="D859" s="5" t="s">
        <v>50</v>
      </c>
      <c r="H859" s="5" t="s">
        <v>687</v>
      </c>
      <c r="I859" s="5" t="s">
        <v>1509</v>
      </c>
      <c r="J859" s="5" t="s">
        <v>41</v>
      </c>
      <c r="K859" s="5" t="s">
        <v>42</v>
      </c>
      <c r="L859" s="5" t="s">
        <v>124</v>
      </c>
      <c r="M859" s="5" t="s">
        <v>125</v>
      </c>
      <c r="N859" s="11"/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3570082</v>
      </c>
      <c r="AG859" s="5" t="s">
        <v>55</v>
      </c>
      <c r="AH859" s="5" t="s">
        <v>46</v>
      </c>
    </row>
    <row r="860" spans="1:34" s="5" customFormat="1">
      <c r="A860" s="5" t="s">
        <v>47</v>
      </c>
      <c r="B860" s="5" t="s">
        <v>1666</v>
      </c>
      <c r="C860" s="5" t="s">
        <v>1667</v>
      </c>
      <c r="D860" s="5" t="s">
        <v>50</v>
      </c>
      <c r="H860" s="5" t="s">
        <v>1378</v>
      </c>
      <c r="I860" s="5" t="s">
        <v>1657</v>
      </c>
      <c r="J860" s="5" t="s">
        <v>41</v>
      </c>
      <c r="K860" s="5" t="s">
        <v>42</v>
      </c>
      <c r="L860" s="5" t="s">
        <v>124</v>
      </c>
      <c r="M860" s="5" t="s">
        <v>125</v>
      </c>
      <c r="N860" s="11"/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11404395</v>
      </c>
      <c r="AG860" s="5" t="s">
        <v>55</v>
      </c>
      <c r="AH860" s="5" t="s">
        <v>46</v>
      </c>
    </row>
    <row r="861" spans="1:34" s="5" customFormat="1">
      <c r="A861" s="5" t="s">
        <v>47</v>
      </c>
      <c r="B861" s="5" t="s">
        <v>1790</v>
      </c>
      <c r="C861" s="5" t="s">
        <v>1791</v>
      </c>
      <c r="D861" s="5" t="s">
        <v>50</v>
      </c>
      <c r="H861" s="5" t="s">
        <v>1762</v>
      </c>
      <c r="I861" s="5" t="s">
        <v>1787</v>
      </c>
      <c r="J861" s="5" t="s">
        <v>41</v>
      </c>
      <c r="K861" s="5" t="s">
        <v>42</v>
      </c>
      <c r="L861" s="5" t="s">
        <v>124</v>
      </c>
      <c r="M861" s="5" t="s">
        <v>125</v>
      </c>
      <c r="N861" s="11"/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5570332</v>
      </c>
      <c r="AG861" s="5" t="s">
        <v>55</v>
      </c>
      <c r="AH861" s="5" t="s">
        <v>46</v>
      </c>
    </row>
    <row r="862" spans="1:34" s="5" customFormat="1">
      <c r="A862" s="5" t="s">
        <v>225</v>
      </c>
      <c r="B862" s="5" t="s">
        <v>263</v>
      </c>
      <c r="C862" s="5" t="s">
        <v>264</v>
      </c>
      <c r="D862" s="5" t="s">
        <v>50</v>
      </c>
      <c r="H862" s="5" t="s">
        <v>220</v>
      </c>
      <c r="I862" s="5" t="s">
        <v>256</v>
      </c>
      <c r="J862" s="5" t="s">
        <v>41</v>
      </c>
      <c r="K862" s="5" t="s">
        <v>42</v>
      </c>
      <c r="L862" s="5" t="s">
        <v>137</v>
      </c>
      <c r="M862" s="5" t="s">
        <v>138</v>
      </c>
      <c r="N862" s="11"/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3969502</v>
      </c>
      <c r="AG862" s="5" t="s">
        <v>55</v>
      </c>
      <c r="AH862" s="5" t="s">
        <v>46</v>
      </c>
    </row>
    <row r="863" spans="1:34" s="5" customFormat="1">
      <c r="A863" s="5" t="s">
        <v>225</v>
      </c>
      <c r="B863" s="5" t="s">
        <v>1226</v>
      </c>
      <c r="C863" s="5" t="s">
        <v>1227</v>
      </c>
      <c r="D863" s="5" t="s">
        <v>50</v>
      </c>
      <c r="H863" s="5" t="s">
        <v>1188</v>
      </c>
      <c r="I863" s="5" t="s">
        <v>1215</v>
      </c>
      <c r="J863" s="5" t="s">
        <v>41</v>
      </c>
      <c r="K863" s="5" t="s">
        <v>42</v>
      </c>
      <c r="L863" s="5" t="s">
        <v>137</v>
      </c>
      <c r="M863" s="5" t="s">
        <v>138</v>
      </c>
      <c r="N863" s="11"/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3774888</v>
      </c>
      <c r="AG863" s="5" t="s">
        <v>55</v>
      </c>
      <c r="AH863" s="5" t="s">
        <v>46</v>
      </c>
    </row>
    <row r="864" spans="1:34" s="5" customFormat="1">
      <c r="A864" s="5" t="s">
        <v>225</v>
      </c>
      <c r="B864" s="5" t="s">
        <v>1268</v>
      </c>
      <c r="C864" s="5" t="s">
        <v>1269</v>
      </c>
      <c r="D864" s="5" t="s">
        <v>50</v>
      </c>
      <c r="H864" s="5" t="s">
        <v>1188</v>
      </c>
      <c r="I864" s="5" t="s">
        <v>1255</v>
      </c>
      <c r="J864" s="5" t="s">
        <v>41</v>
      </c>
      <c r="K864" s="5" t="s">
        <v>42</v>
      </c>
      <c r="L864" s="5" t="s">
        <v>137</v>
      </c>
      <c r="M864" s="5" t="s">
        <v>138</v>
      </c>
      <c r="N864" s="11"/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3774888</v>
      </c>
      <c r="AG864" s="5" t="s">
        <v>55</v>
      </c>
      <c r="AH864" s="5" t="s">
        <v>46</v>
      </c>
    </row>
    <row r="865" spans="1:34" s="5" customFormat="1">
      <c r="A865" s="5" t="s">
        <v>47</v>
      </c>
      <c r="B865" s="5" t="s">
        <v>135</v>
      </c>
      <c r="C865" s="5" t="s">
        <v>136</v>
      </c>
      <c r="D865" s="5" t="s">
        <v>50</v>
      </c>
      <c r="H865" s="5" t="s">
        <v>51</v>
      </c>
      <c r="I865" s="5" t="s">
        <v>128</v>
      </c>
      <c r="J865" s="5" t="s">
        <v>41</v>
      </c>
      <c r="K865" s="5" t="s">
        <v>42</v>
      </c>
      <c r="L865" s="5" t="s">
        <v>137</v>
      </c>
      <c r="M865" s="5" t="s">
        <v>138</v>
      </c>
      <c r="N865" s="11"/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3969502</v>
      </c>
      <c r="AG865" s="5" t="s">
        <v>55</v>
      </c>
      <c r="AH865" s="5" t="s">
        <v>46</v>
      </c>
    </row>
    <row r="866" spans="1:34" s="5" customFormat="1">
      <c r="A866" s="5" t="s">
        <v>47</v>
      </c>
      <c r="B866" s="5" t="s">
        <v>311</v>
      </c>
      <c r="C866" s="5" t="s">
        <v>312</v>
      </c>
      <c r="D866" s="5" t="s">
        <v>50</v>
      </c>
      <c r="H866" s="5" t="s">
        <v>220</v>
      </c>
      <c r="I866" s="5" t="s">
        <v>292</v>
      </c>
      <c r="J866" s="5" t="s">
        <v>41</v>
      </c>
      <c r="K866" s="5" t="s">
        <v>42</v>
      </c>
      <c r="L866" s="5" t="s">
        <v>137</v>
      </c>
      <c r="M866" s="5" t="s">
        <v>138</v>
      </c>
      <c r="N866" s="11"/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1976561</v>
      </c>
      <c r="AG866" s="5" t="s">
        <v>55</v>
      </c>
      <c r="AH866" s="5" t="s">
        <v>46</v>
      </c>
    </row>
    <row r="867" spans="1:34" s="5" customFormat="1">
      <c r="A867" s="5" t="s">
        <v>47</v>
      </c>
      <c r="B867" s="5" t="s">
        <v>631</v>
      </c>
      <c r="C867" s="5" t="s">
        <v>632</v>
      </c>
      <c r="D867" s="5" t="s">
        <v>50</v>
      </c>
      <c r="H867" s="5" t="s">
        <v>585</v>
      </c>
      <c r="I867" s="5" t="s">
        <v>620</v>
      </c>
      <c r="J867" s="5" t="s">
        <v>41</v>
      </c>
      <c r="K867" s="5" t="s">
        <v>42</v>
      </c>
      <c r="L867" s="5" t="s">
        <v>137</v>
      </c>
      <c r="M867" s="5" t="s">
        <v>138</v>
      </c>
      <c r="N867" s="11"/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7809982</v>
      </c>
      <c r="AG867" s="5" t="s">
        <v>55</v>
      </c>
      <c r="AH867" s="5" t="s">
        <v>46</v>
      </c>
    </row>
    <row r="868" spans="1:34" s="5" customFormat="1">
      <c r="A868" s="5" t="s">
        <v>47</v>
      </c>
      <c r="B868" s="5" t="s">
        <v>752</v>
      </c>
      <c r="C868" s="5" t="s">
        <v>753</v>
      </c>
      <c r="D868" s="5" t="s">
        <v>50</v>
      </c>
      <c r="H868" s="5" t="s">
        <v>704</v>
      </c>
      <c r="I868" s="5" t="s">
        <v>747</v>
      </c>
      <c r="J868" s="5" t="s">
        <v>41</v>
      </c>
      <c r="K868" s="5" t="s">
        <v>42</v>
      </c>
      <c r="L868" s="5" t="s">
        <v>137</v>
      </c>
      <c r="M868" s="5" t="s">
        <v>138</v>
      </c>
      <c r="N868" s="11"/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3769502</v>
      </c>
      <c r="AG868" s="5" t="s">
        <v>55</v>
      </c>
      <c r="AH868" s="5" t="s">
        <v>46</v>
      </c>
    </row>
    <row r="869" spans="1:34" s="5" customFormat="1">
      <c r="A869" s="5" t="s">
        <v>47</v>
      </c>
      <c r="B869" s="5" t="s">
        <v>946</v>
      </c>
      <c r="C869" s="5" t="s">
        <v>947</v>
      </c>
      <c r="D869" s="5" t="s">
        <v>50</v>
      </c>
      <c r="H869" s="5" t="s">
        <v>903</v>
      </c>
      <c r="I869" s="5" t="s">
        <v>943</v>
      </c>
      <c r="J869" s="5" t="s">
        <v>41</v>
      </c>
      <c r="K869" s="5" t="s">
        <v>42</v>
      </c>
      <c r="L869" s="5" t="s">
        <v>137</v>
      </c>
      <c r="M869" s="5" t="s">
        <v>138</v>
      </c>
      <c r="N869" s="11"/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3774888</v>
      </c>
      <c r="AG869" s="5" t="s">
        <v>55</v>
      </c>
      <c r="AH869" s="5" t="s">
        <v>46</v>
      </c>
    </row>
    <row r="870" spans="1:34" s="5" customFormat="1">
      <c r="A870" s="5" t="s">
        <v>47</v>
      </c>
      <c r="B870" s="5" t="s">
        <v>1162</v>
      </c>
      <c r="C870" s="5" t="s">
        <v>1163</v>
      </c>
      <c r="D870" s="5" t="s">
        <v>50</v>
      </c>
      <c r="H870" s="5" t="s">
        <v>1123</v>
      </c>
      <c r="I870" s="5" t="s">
        <v>1164</v>
      </c>
      <c r="J870" s="5" t="s">
        <v>41</v>
      </c>
      <c r="K870" s="5" t="s">
        <v>42</v>
      </c>
      <c r="L870" s="5" t="s">
        <v>137</v>
      </c>
      <c r="M870" s="5" t="s">
        <v>138</v>
      </c>
      <c r="N870" s="11"/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5975138</v>
      </c>
      <c r="AG870" s="5" t="s">
        <v>55</v>
      </c>
      <c r="AH870" s="5" t="s">
        <v>46</v>
      </c>
    </row>
    <row r="871" spans="1:34" s="5" customFormat="1">
      <c r="A871" s="5" t="s">
        <v>47</v>
      </c>
      <c r="B871" s="5" t="s">
        <v>1321</v>
      </c>
      <c r="C871" s="5" t="s">
        <v>1322</v>
      </c>
      <c r="D871" s="5" t="s">
        <v>50</v>
      </c>
      <c r="H871" s="5" t="s">
        <v>1095</v>
      </c>
      <c r="I871" s="5" t="s">
        <v>1323</v>
      </c>
      <c r="J871" s="5" t="s">
        <v>41</v>
      </c>
      <c r="K871" s="5" t="s">
        <v>42</v>
      </c>
      <c r="L871" s="5" t="s">
        <v>137</v>
      </c>
      <c r="M871" s="5" t="s">
        <v>138</v>
      </c>
      <c r="N871" s="11"/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1979254</v>
      </c>
      <c r="AG871" s="5" t="s">
        <v>55</v>
      </c>
      <c r="AH871" s="5" t="s">
        <v>46</v>
      </c>
    </row>
    <row r="872" spans="1:34" s="5" customFormat="1">
      <c r="A872" s="5" t="s">
        <v>47</v>
      </c>
      <c r="B872" s="5" t="s">
        <v>1455</v>
      </c>
      <c r="C872" s="5" t="s">
        <v>1456</v>
      </c>
      <c r="D872" s="5" t="s">
        <v>50</v>
      </c>
      <c r="H872" s="5" t="s">
        <v>1413</v>
      </c>
      <c r="I872" s="5" t="s">
        <v>1457</v>
      </c>
      <c r="J872" s="5" t="s">
        <v>41</v>
      </c>
      <c r="K872" s="5" t="s">
        <v>42</v>
      </c>
      <c r="L872" s="5" t="s">
        <v>137</v>
      </c>
      <c r="M872" s="5" t="s">
        <v>138</v>
      </c>
      <c r="N872" s="11"/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1979254</v>
      </c>
      <c r="AG872" s="5" t="s">
        <v>55</v>
      </c>
      <c r="AH872" s="5" t="s">
        <v>46</v>
      </c>
    </row>
    <row r="873" spans="1:34" s="5" customFormat="1">
      <c r="A873" s="5" t="s">
        <v>47</v>
      </c>
      <c r="B873" s="5" t="s">
        <v>1510</v>
      </c>
      <c r="C873" s="5" t="s">
        <v>1511</v>
      </c>
      <c r="D873" s="5" t="s">
        <v>50</v>
      </c>
      <c r="H873" s="5" t="s">
        <v>687</v>
      </c>
      <c r="I873" s="5" t="s">
        <v>1509</v>
      </c>
      <c r="J873" s="5" t="s">
        <v>41</v>
      </c>
      <c r="K873" s="5" t="s">
        <v>42</v>
      </c>
      <c r="L873" s="5" t="s">
        <v>137</v>
      </c>
      <c r="M873" s="5" t="s">
        <v>138</v>
      </c>
      <c r="N873" s="11"/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3774888</v>
      </c>
      <c r="AG873" s="5" t="s">
        <v>55</v>
      </c>
      <c r="AH873" s="5" t="s">
        <v>46</v>
      </c>
    </row>
    <row r="874" spans="1:34" s="5" customFormat="1">
      <c r="A874" s="5" t="s">
        <v>47</v>
      </c>
      <c r="B874" s="5" t="s">
        <v>1679</v>
      </c>
      <c r="C874" s="5" t="s">
        <v>1680</v>
      </c>
      <c r="D874" s="5" t="s">
        <v>50</v>
      </c>
      <c r="H874" s="5" t="s">
        <v>1378</v>
      </c>
      <c r="I874" s="5" t="s">
        <v>1678</v>
      </c>
      <c r="J874" s="5" t="s">
        <v>41</v>
      </c>
      <c r="K874" s="5" t="s">
        <v>42</v>
      </c>
      <c r="L874" s="5" t="s">
        <v>137</v>
      </c>
      <c r="M874" s="5" t="s">
        <v>138</v>
      </c>
      <c r="N874" s="11"/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11609201</v>
      </c>
      <c r="AG874" s="5" t="s">
        <v>55</v>
      </c>
      <c r="AH874" s="5" t="s">
        <v>46</v>
      </c>
    </row>
    <row r="875" spans="1:34" s="5" customFormat="1">
      <c r="A875" s="5" t="s">
        <v>47</v>
      </c>
      <c r="B875" s="5" t="s">
        <v>1803</v>
      </c>
      <c r="C875" s="5" t="s">
        <v>1804</v>
      </c>
      <c r="D875" s="5" t="s">
        <v>50</v>
      </c>
      <c r="H875" s="5" t="s">
        <v>1762</v>
      </c>
      <c r="I875" s="5" t="s">
        <v>1800</v>
      </c>
      <c r="J875" s="5" t="s">
        <v>41</v>
      </c>
      <c r="K875" s="5" t="s">
        <v>42</v>
      </c>
      <c r="L875" s="5" t="s">
        <v>137</v>
      </c>
      <c r="M875" s="5" t="s">
        <v>138</v>
      </c>
      <c r="N875" s="11"/>
      <c r="P875" s="11">
        <v>0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5615118</v>
      </c>
      <c r="AG875" s="5" t="s">
        <v>55</v>
      </c>
      <c r="AH875" s="5" t="s">
        <v>46</v>
      </c>
    </row>
    <row r="876" spans="1:34" s="5" customFormat="1">
      <c r="A876" s="5" t="s">
        <v>225</v>
      </c>
      <c r="B876" s="5" t="s">
        <v>259</v>
      </c>
      <c r="C876" s="5" t="s">
        <v>260</v>
      </c>
      <c r="D876" s="5" t="s">
        <v>50</v>
      </c>
      <c r="H876" s="5" t="s">
        <v>220</v>
      </c>
      <c r="I876" s="5" t="s">
        <v>256</v>
      </c>
      <c r="J876" s="5" t="s">
        <v>41</v>
      </c>
      <c r="K876" s="5" t="s">
        <v>42</v>
      </c>
      <c r="L876" s="5" t="s">
        <v>112</v>
      </c>
      <c r="M876" s="5" t="s">
        <v>113</v>
      </c>
      <c r="N876" s="11"/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1509620</v>
      </c>
      <c r="AG876" s="5" t="s">
        <v>55</v>
      </c>
      <c r="AH876" s="5" t="s">
        <v>46</v>
      </c>
    </row>
    <row r="877" spans="1:34" s="5" customFormat="1">
      <c r="A877" s="5" t="s">
        <v>225</v>
      </c>
      <c r="B877" s="5" t="s">
        <v>1216</v>
      </c>
      <c r="C877" s="5" t="s">
        <v>1217</v>
      </c>
      <c r="D877" s="5" t="s">
        <v>50</v>
      </c>
      <c r="H877" s="5" t="s">
        <v>1188</v>
      </c>
      <c r="I877" s="5" t="s">
        <v>1215</v>
      </c>
      <c r="J877" s="5" t="s">
        <v>41</v>
      </c>
      <c r="K877" s="5" t="s">
        <v>42</v>
      </c>
      <c r="L877" s="5" t="s">
        <v>112</v>
      </c>
      <c r="M877" s="5" t="s">
        <v>113</v>
      </c>
      <c r="N877" s="11"/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1309620</v>
      </c>
      <c r="AG877" s="5" t="s">
        <v>55</v>
      </c>
      <c r="AH877" s="5" t="s">
        <v>46</v>
      </c>
    </row>
    <row r="878" spans="1:34" s="5" customFormat="1">
      <c r="A878" s="5" t="s">
        <v>225</v>
      </c>
      <c r="B878" s="5" t="s">
        <v>1253</v>
      </c>
      <c r="C878" s="5" t="s">
        <v>1254</v>
      </c>
      <c r="D878" s="5" t="s">
        <v>50</v>
      </c>
      <c r="H878" s="5" t="s">
        <v>1188</v>
      </c>
      <c r="I878" s="5" t="s">
        <v>1255</v>
      </c>
      <c r="J878" s="5" t="s">
        <v>41</v>
      </c>
      <c r="K878" s="5" t="s">
        <v>42</v>
      </c>
      <c r="L878" s="5" t="s">
        <v>112</v>
      </c>
      <c r="M878" s="5" t="s">
        <v>113</v>
      </c>
      <c r="N878" s="11"/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1309620</v>
      </c>
      <c r="AG878" s="5" t="s">
        <v>55</v>
      </c>
      <c r="AH878" s="5" t="s">
        <v>46</v>
      </c>
    </row>
    <row r="879" spans="1:34" s="5" customFormat="1">
      <c r="A879" s="5" t="s">
        <v>47</v>
      </c>
      <c r="B879" s="5" t="s">
        <v>110</v>
      </c>
      <c r="C879" s="5" t="s">
        <v>111</v>
      </c>
      <c r="D879" s="5" t="s">
        <v>50</v>
      </c>
      <c r="H879" s="5" t="s">
        <v>51</v>
      </c>
      <c r="I879" s="5" t="s">
        <v>95</v>
      </c>
      <c r="J879" s="5" t="s">
        <v>41</v>
      </c>
      <c r="K879" s="5" t="s">
        <v>42</v>
      </c>
      <c r="L879" s="5" t="s">
        <v>112</v>
      </c>
      <c r="M879" s="5" t="s">
        <v>113</v>
      </c>
      <c r="N879" s="11"/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1567793</v>
      </c>
      <c r="AG879" s="5" t="s">
        <v>55</v>
      </c>
      <c r="AH879" s="5" t="s">
        <v>46</v>
      </c>
    </row>
    <row r="880" spans="1:34" s="5" customFormat="1">
      <c r="A880" s="5" t="s">
        <v>47</v>
      </c>
      <c r="B880" s="5" t="s">
        <v>290</v>
      </c>
      <c r="C880" s="5" t="s">
        <v>291</v>
      </c>
      <c r="D880" s="5" t="s">
        <v>50</v>
      </c>
      <c r="H880" s="5" t="s">
        <v>220</v>
      </c>
      <c r="I880" s="5" t="s">
        <v>292</v>
      </c>
      <c r="J880" s="5" t="s">
        <v>41</v>
      </c>
      <c r="K880" s="5" t="s">
        <v>42</v>
      </c>
      <c r="L880" s="5" t="s">
        <v>112</v>
      </c>
      <c r="M880" s="5" t="s">
        <v>113</v>
      </c>
      <c r="N880" s="11"/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711750</v>
      </c>
      <c r="AG880" s="5" t="s">
        <v>55</v>
      </c>
      <c r="AH880" s="5" t="s">
        <v>46</v>
      </c>
    </row>
    <row r="881" spans="1:34" s="5" customFormat="1">
      <c r="A881" s="5" t="s">
        <v>47</v>
      </c>
      <c r="B881" s="5" t="s">
        <v>625</v>
      </c>
      <c r="C881" s="5" t="s">
        <v>626</v>
      </c>
      <c r="D881" s="5" t="s">
        <v>50</v>
      </c>
      <c r="H881" s="5" t="s">
        <v>585</v>
      </c>
      <c r="I881" s="5" t="s">
        <v>620</v>
      </c>
      <c r="J881" s="5" t="s">
        <v>41</v>
      </c>
      <c r="K881" s="5" t="s">
        <v>42</v>
      </c>
      <c r="L881" s="5" t="s">
        <v>112</v>
      </c>
      <c r="M881" s="5" t="s">
        <v>113</v>
      </c>
      <c r="N881" s="11"/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1558434</v>
      </c>
      <c r="AG881" s="5" t="s">
        <v>55</v>
      </c>
      <c r="AH881" s="5" t="s">
        <v>46</v>
      </c>
    </row>
    <row r="882" spans="1:34" s="5" customFormat="1">
      <c r="A882" s="5" t="s">
        <v>47</v>
      </c>
      <c r="B882" s="5" t="s">
        <v>739</v>
      </c>
      <c r="C882" s="5" t="s">
        <v>740</v>
      </c>
      <c r="D882" s="5" t="s">
        <v>50</v>
      </c>
      <c r="H882" s="5" t="s">
        <v>704</v>
      </c>
      <c r="I882" s="5" t="s">
        <v>734</v>
      </c>
      <c r="J882" s="5" t="s">
        <v>41</v>
      </c>
      <c r="K882" s="5" t="s">
        <v>42</v>
      </c>
      <c r="L882" s="5" t="s">
        <v>112</v>
      </c>
      <c r="M882" s="5" t="s">
        <v>113</v>
      </c>
      <c r="N882" s="11"/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1653976</v>
      </c>
      <c r="AG882" s="5" t="s">
        <v>55</v>
      </c>
      <c r="AH882" s="5" t="s">
        <v>46</v>
      </c>
    </row>
    <row r="883" spans="1:34" s="5" customFormat="1">
      <c r="A883" s="5" t="s">
        <v>47</v>
      </c>
      <c r="B883" s="5" t="s">
        <v>935</v>
      </c>
      <c r="C883" s="5" t="s">
        <v>936</v>
      </c>
      <c r="D883" s="5" t="s">
        <v>50</v>
      </c>
      <c r="H883" s="5" t="s">
        <v>903</v>
      </c>
      <c r="I883" s="5" t="s">
        <v>930</v>
      </c>
      <c r="J883" s="5" t="s">
        <v>41</v>
      </c>
      <c r="K883" s="5" t="s">
        <v>42</v>
      </c>
      <c r="L883" s="5" t="s">
        <v>112</v>
      </c>
      <c r="M883" s="5" t="s">
        <v>113</v>
      </c>
      <c r="N883" s="11"/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1552324</v>
      </c>
      <c r="AG883" s="5" t="s">
        <v>55</v>
      </c>
      <c r="AH883" s="5" t="s">
        <v>46</v>
      </c>
    </row>
    <row r="884" spans="1:34" s="5" customFormat="1">
      <c r="A884" s="5" t="s">
        <v>47</v>
      </c>
      <c r="B884" s="5" t="s">
        <v>1149</v>
      </c>
      <c r="C884" s="5" t="s">
        <v>1150</v>
      </c>
      <c r="D884" s="5" t="s">
        <v>50</v>
      </c>
      <c r="H884" s="5" t="s">
        <v>1123</v>
      </c>
      <c r="I884" s="5" t="s">
        <v>1151</v>
      </c>
      <c r="J884" s="5" t="s">
        <v>41</v>
      </c>
      <c r="K884" s="5" t="s">
        <v>42</v>
      </c>
      <c r="L884" s="5" t="s">
        <v>112</v>
      </c>
      <c r="M884" s="5" t="s">
        <v>113</v>
      </c>
      <c r="N884" s="11"/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2416149</v>
      </c>
      <c r="AG884" s="5" t="s">
        <v>55</v>
      </c>
      <c r="AH884" s="5" t="s">
        <v>46</v>
      </c>
    </row>
    <row r="885" spans="1:34" s="5" customFormat="1">
      <c r="A885" s="5" t="s">
        <v>47</v>
      </c>
      <c r="B885" s="5" t="s">
        <v>1310</v>
      </c>
      <c r="C885" s="5" t="s">
        <v>1311</v>
      </c>
      <c r="D885" s="5" t="s">
        <v>50</v>
      </c>
      <c r="H885" s="5" t="s">
        <v>1095</v>
      </c>
      <c r="I885" s="5" t="s">
        <v>1312</v>
      </c>
      <c r="J885" s="5" t="s">
        <v>41</v>
      </c>
      <c r="K885" s="5" t="s">
        <v>42</v>
      </c>
      <c r="L885" s="5" t="s">
        <v>112</v>
      </c>
      <c r="M885" s="5" t="s">
        <v>113</v>
      </c>
      <c r="N885" s="11"/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711750</v>
      </c>
      <c r="AG885" s="5" t="s">
        <v>55</v>
      </c>
      <c r="AH885" s="5" t="s">
        <v>46</v>
      </c>
    </row>
    <row r="886" spans="1:34" s="5" customFormat="1">
      <c r="A886" s="5" t="s">
        <v>47</v>
      </c>
      <c r="B886" s="5" t="s">
        <v>1442</v>
      </c>
      <c r="C886" s="5" t="s">
        <v>1443</v>
      </c>
      <c r="D886" s="5" t="s">
        <v>50</v>
      </c>
      <c r="H886" s="5" t="s">
        <v>1413</v>
      </c>
      <c r="I886" s="5" t="s">
        <v>1441</v>
      </c>
      <c r="J886" s="5" t="s">
        <v>41</v>
      </c>
      <c r="K886" s="5" t="s">
        <v>42</v>
      </c>
      <c r="L886" s="5" t="s">
        <v>112</v>
      </c>
      <c r="M886" s="5" t="s">
        <v>113</v>
      </c>
      <c r="N886" s="11"/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711750</v>
      </c>
      <c r="AG886" s="5" t="s">
        <v>55</v>
      </c>
      <c r="AH886" s="5" t="s">
        <v>46</v>
      </c>
    </row>
    <row r="887" spans="1:34" s="5" customFormat="1">
      <c r="A887" s="5" t="s">
        <v>47</v>
      </c>
      <c r="B887" s="5" t="s">
        <v>1495</v>
      </c>
      <c r="C887" s="5" t="s">
        <v>1496</v>
      </c>
      <c r="D887" s="5" t="s">
        <v>50</v>
      </c>
      <c r="H887" s="5" t="s">
        <v>687</v>
      </c>
      <c r="I887" s="5" t="s">
        <v>1472</v>
      </c>
      <c r="J887" s="5" t="s">
        <v>41</v>
      </c>
      <c r="K887" s="5" t="s">
        <v>42</v>
      </c>
      <c r="L887" s="5" t="s">
        <v>112</v>
      </c>
      <c r="M887" s="5" t="s">
        <v>113</v>
      </c>
      <c r="N887" s="11"/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1509620</v>
      </c>
      <c r="AG887" s="5" t="s">
        <v>55</v>
      </c>
      <c r="AH887" s="5" t="s">
        <v>46</v>
      </c>
    </row>
    <row r="888" spans="1:34" s="5" customFormat="1">
      <c r="A888" s="5" t="s">
        <v>47</v>
      </c>
      <c r="B888" s="5" t="s">
        <v>1668</v>
      </c>
      <c r="C888" s="5" t="s">
        <v>1669</v>
      </c>
      <c r="D888" s="5" t="s">
        <v>50</v>
      </c>
      <c r="H888" s="5" t="s">
        <v>1378</v>
      </c>
      <c r="I888" s="5" t="s">
        <v>1657</v>
      </c>
      <c r="J888" s="5" t="s">
        <v>41</v>
      </c>
      <c r="K888" s="5" t="s">
        <v>42</v>
      </c>
      <c r="L888" s="5" t="s">
        <v>112</v>
      </c>
      <c r="M888" s="5" t="s">
        <v>113</v>
      </c>
      <c r="N888" s="11"/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1532460</v>
      </c>
      <c r="AG888" s="5" t="s">
        <v>55</v>
      </c>
      <c r="AH888" s="5" t="s">
        <v>46</v>
      </c>
    </row>
    <row r="889" spans="1:34" s="5" customFormat="1">
      <c r="A889" s="5" t="s">
        <v>47</v>
      </c>
      <c r="B889" s="5" t="s">
        <v>1794</v>
      </c>
      <c r="C889" s="5" t="s">
        <v>1795</v>
      </c>
      <c r="D889" s="5" t="s">
        <v>50</v>
      </c>
      <c r="H889" s="5" t="s">
        <v>1762</v>
      </c>
      <c r="I889" s="5" t="s">
        <v>1787</v>
      </c>
      <c r="J889" s="5" t="s">
        <v>41</v>
      </c>
      <c r="K889" s="5" t="s">
        <v>42</v>
      </c>
      <c r="L889" s="5" t="s">
        <v>112</v>
      </c>
      <c r="M889" s="5" t="s">
        <v>113</v>
      </c>
      <c r="N889" s="11"/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2261367</v>
      </c>
      <c r="AG889" s="5" t="s">
        <v>55</v>
      </c>
      <c r="AH889" s="5" t="s">
        <v>46</v>
      </c>
    </row>
    <row r="890" spans="1:34" s="5" customFormat="1">
      <c r="A890" s="5" t="s">
        <v>47</v>
      </c>
      <c r="B890" s="5" t="s">
        <v>1477</v>
      </c>
      <c r="C890" s="5" t="s">
        <v>1478</v>
      </c>
      <c r="D890" s="5" t="s">
        <v>50</v>
      </c>
      <c r="H890" s="5" t="s">
        <v>687</v>
      </c>
      <c r="I890" s="5" t="s">
        <v>1472</v>
      </c>
      <c r="J890" s="5" t="s">
        <v>41</v>
      </c>
      <c r="K890" s="5" t="s">
        <v>42</v>
      </c>
      <c r="L890" s="5" t="s">
        <v>1479</v>
      </c>
      <c r="M890" s="5" t="s">
        <v>1480</v>
      </c>
      <c r="N890" s="11"/>
      <c r="P890" s="11">
        <v>0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1">
        <v>2165522</v>
      </c>
      <c r="AG890" s="5" t="s">
        <v>55</v>
      </c>
      <c r="AH890" s="5" t="s">
        <v>46</v>
      </c>
    </row>
    <row r="891" spans="1:34" s="5" customFormat="1">
      <c r="A891" s="5" t="s">
        <v>47</v>
      </c>
      <c r="B891" s="5" t="s">
        <v>1653</v>
      </c>
      <c r="C891" s="5" t="s">
        <v>1654</v>
      </c>
      <c r="D891" s="5" t="s">
        <v>50</v>
      </c>
      <c r="H891" s="5" t="s">
        <v>1378</v>
      </c>
      <c r="I891" s="5" t="s">
        <v>1642</v>
      </c>
      <c r="J891" s="5" t="s">
        <v>41</v>
      </c>
      <c r="K891" s="5" t="s">
        <v>42</v>
      </c>
      <c r="L891" s="5" t="s">
        <v>1479</v>
      </c>
      <c r="M891" s="5" t="s">
        <v>1480</v>
      </c>
      <c r="N891" s="11"/>
      <c r="P891" s="11">
        <v>0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5043968</v>
      </c>
      <c r="AG891" s="5" t="s">
        <v>55</v>
      </c>
      <c r="AH891" s="5" t="s">
        <v>46</v>
      </c>
    </row>
    <row r="892" spans="1:34" s="5" customFormat="1">
      <c r="A892" s="5" t="s">
        <v>47</v>
      </c>
      <c r="B892" s="5" t="s">
        <v>1760</v>
      </c>
      <c r="C892" s="5" t="s">
        <v>1761</v>
      </c>
      <c r="D892" s="5" t="s">
        <v>50</v>
      </c>
      <c r="H892" s="5" t="s">
        <v>1762</v>
      </c>
      <c r="I892" s="5" t="s">
        <v>1763</v>
      </c>
      <c r="J892" s="5" t="s">
        <v>41</v>
      </c>
      <c r="K892" s="5" t="s">
        <v>42</v>
      </c>
      <c r="L892" s="5" t="s">
        <v>1479</v>
      </c>
      <c r="M892" s="5" t="s">
        <v>1480</v>
      </c>
      <c r="N892" s="11"/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2852988</v>
      </c>
      <c r="AG892" s="5" t="s">
        <v>55</v>
      </c>
      <c r="AH892" s="5" t="s">
        <v>46</v>
      </c>
    </row>
    <row r="893" spans="1:34" s="5" customFormat="1">
      <c r="A893" s="5" t="s">
        <v>225</v>
      </c>
      <c r="B893" s="5" t="s">
        <v>257</v>
      </c>
      <c r="C893" s="5" t="s">
        <v>258</v>
      </c>
      <c r="D893" s="5" t="s">
        <v>50</v>
      </c>
      <c r="H893" s="5" t="s">
        <v>220</v>
      </c>
      <c r="I893" s="5" t="s">
        <v>256</v>
      </c>
      <c r="J893" s="5" t="s">
        <v>41</v>
      </c>
      <c r="K893" s="5" t="s">
        <v>42</v>
      </c>
      <c r="L893" s="5" t="s">
        <v>79</v>
      </c>
      <c r="M893" s="5" t="s">
        <v>80</v>
      </c>
      <c r="N893" s="11"/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2045998</v>
      </c>
      <c r="AG893" s="5" t="s">
        <v>55</v>
      </c>
      <c r="AH893" s="5" t="s">
        <v>46</v>
      </c>
    </row>
    <row r="894" spans="1:34" s="5" customFormat="1">
      <c r="A894" s="5" t="s">
        <v>225</v>
      </c>
      <c r="B894" s="5" t="s">
        <v>1196</v>
      </c>
      <c r="C894" s="5" t="s">
        <v>1197</v>
      </c>
      <c r="D894" s="5" t="s">
        <v>50</v>
      </c>
      <c r="H894" s="5" t="s">
        <v>1188</v>
      </c>
      <c r="I894" s="5" t="s">
        <v>1189</v>
      </c>
      <c r="J894" s="5" t="s">
        <v>41</v>
      </c>
      <c r="K894" s="5" t="s">
        <v>42</v>
      </c>
      <c r="L894" s="5" t="s">
        <v>79</v>
      </c>
      <c r="M894" s="5" t="s">
        <v>80</v>
      </c>
      <c r="N894" s="11"/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1801271</v>
      </c>
      <c r="AG894" s="5" t="s">
        <v>55</v>
      </c>
      <c r="AH894" s="5" t="s">
        <v>46</v>
      </c>
    </row>
    <row r="895" spans="1:34" s="5" customFormat="1">
      <c r="A895" s="5" t="s">
        <v>225</v>
      </c>
      <c r="B895" s="5" t="s">
        <v>1239</v>
      </c>
      <c r="C895" s="5" t="s">
        <v>1240</v>
      </c>
      <c r="D895" s="5" t="s">
        <v>50</v>
      </c>
      <c r="H895" s="5" t="s">
        <v>1188</v>
      </c>
      <c r="I895" s="5" t="s">
        <v>1236</v>
      </c>
      <c r="J895" s="5" t="s">
        <v>41</v>
      </c>
      <c r="K895" s="5" t="s">
        <v>42</v>
      </c>
      <c r="L895" s="5" t="s">
        <v>79</v>
      </c>
      <c r="M895" s="5" t="s">
        <v>80</v>
      </c>
      <c r="N895" s="11"/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1793780</v>
      </c>
      <c r="AG895" s="5" t="s">
        <v>55</v>
      </c>
      <c r="AH895" s="5" t="s">
        <v>46</v>
      </c>
    </row>
    <row r="896" spans="1:34" s="5" customFormat="1">
      <c r="A896" s="5" t="s">
        <v>47</v>
      </c>
      <c r="B896" s="5" t="s">
        <v>77</v>
      </c>
      <c r="C896" s="5" t="s">
        <v>78</v>
      </c>
      <c r="D896" s="5" t="s">
        <v>50</v>
      </c>
      <c r="H896" s="5" t="s">
        <v>51</v>
      </c>
      <c r="I896" s="5" t="s">
        <v>58</v>
      </c>
      <c r="J896" s="5" t="s">
        <v>41</v>
      </c>
      <c r="K896" s="5" t="s">
        <v>42</v>
      </c>
      <c r="L896" s="5" t="s">
        <v>79</v>
      </c>
      <c r="M896" s="5" t="s">
        <v>80</v>
      </c>
      <c r="N896" s="11"/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1892998</v>
      </c>
      <c r="AG896" s="5" t="s">
        <v>55</v>
      </c>
      <c r="AH896" s="5" t="s">
        <v>46</v>
      </c>
    </row>
    <row r="897" spans="1:34" s="5" customFormat="1">
      <c r="A897" s="5" t="s">
        <v>47</v>
      </c>
      <c r="B897" s="5" t="s">
        <v>280</v>
      </c>
      <c r="C897" s="5" t="s">
        <v>281</v>
      </c>
      <c r="D897" s="5" t="s">
        <v>50</v>
      </c>
      <c r="H897" s="5" t="s">
        <v>220</v>
      </c>
      <c r="I897" s="5" t="s">
        <v>275</v>
      </c>
      <c r="J897" s="5" t="s">
        <v>41</v>
      </c>
      <c r="K897" s="5" t="s">
        <v>42</v>
      </c>
      <c r="L897" s="5" t="s">
        <v>79</v>
      </c>
      <c r="M897" s="5" t="s">
        <v>80</v>
      </c>
      <c r="N897" s="11"/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1086620</v>
      </c>
      <c r="AG897" s="5" t="s">
        <v>55</v>
      </c>
      <c r="AH897" s="5" t="s">
        <v>46</v>
      </c>
    </row>
    <row r="898" spans="1:34" s="5" customFormat="1">
      <c r="A898" s="5" t="s">
        <v>47</v>
      </c>
      <c r="B898" s="5" t="s">
        <v>598</v>
      </c>
      <c r="C898" s="5" t="s">
        <v>599</v>
      </c>
      <c r="D898" s="5" t="s">
        <v>50</v>
      </c>
      <c r="H898" s="5" t="s">
        <v>585</v>
      </c>
      <c r="I898" s="5" t="s">
        <v>591</v>
      </c>
      <c r="J898" s="5" t="s">
        <v>41</v>
      </c>
      <c r="K898" s="5" t="s">
        <v>42</v>
      </c>
      <c r="L898" s="5" t="s">
        <v>79</v>
      </c>
      <c r="M898" s="5" t="s">
        <v>80</v>
      </c>
      <c r="N898" s="11"/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1892998</v>
      </c>
      <c r="AG898" s="5" t="s">
        <v>55</v>
      </c>
      <c r="AH898" s="5" t="s">
        <v>46</v>
      </c>
    </row>
    <row r="899" spans="1:34" s="5" customFormat="1">
      <c r="A899" s="5" t="s">
        <v>47</v>
      </c>
      <c r="B899" s="5" t="s">
        <v>710</v>
      </c>
      <c r="C899" s="5" t="s">
        <v>711</v>
      </c>
      <c r="D899" s="5" t="s">
        <v>50</v>
      </c>
      <c r="H899" s="5" t="s">
        <v>704</v>
      </c>
      <c r="I899" s="5" t="s">
        <v>712</v>
      </c>
      <c r="J899" s="5" t="s">
        <v>41</v>
      </c>
      <c r="K899" s="5" t="s">
        <v>42</v>
      </c>
      <c r="L899" s="5" t="s">
        <v>79</v>
      </c>
      <c r="M899" s="5" t="s">
        <v>80</v>
      </c>
      <c r="N899" s="11"/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0</v>
      </c>
      <c r="AE899" s="11">
        <v>0</v>
      </c>
      <c r="AF899" s="11">
        <v>1892998</v>
      </c>
      <c r="AG899" s="5" t="s">
        <v>55</v>
      </c>
      <c r="AH899" s="5" t="s">
        <v>46</v>
      </c>
    </row>
    <row r="900" spans="1:34" s="5" customFormat="1">
      <c r="A900" s="5" t="s">
        <v>47</v>
      </c>
      <c r="B900" s="5" t="s">
        <v>901</v>
      </c>
      <c r="C900" s="5" t="s">
        <v>902</v>
      </c>
      <c r="D900" s="5" t="s">
        <v>50</v>
      </c>
      <c r="H900" s="5" t="s">
        <v>903</v>
      </c>
      <c r="I900" s="5" t="s">
        <v>904</v>
      </c>
      <c r="J900" s="5" t="s">
        <v>41</v>
      </c>
      <c r="K900" s="5" t="s">
        <v>42</v>
      </c>
      <c r="L900" s="5" t="s">
        <v>79</v>
      </c>
      <c r="M900" s="5" t="s">
        <v>80</v>
      </c>
      <c r="N900" s="11"/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1801280</v>
      </c>
      <c r="AG900" s="5" t="s">
        <v>55</v>
      </c>
      <c r="AH900" s="5" t="s">
        <v>46</v>
      </c>
    </row>
    <row r="901" spans="1:34" s="5" customFormat="1">
      <c r="A901" s="5" t="s">
        <v>47</v>
      </c>
      <c r="B901" s="5" t="s">
        <v>1136</v>
      </c>
      <c r="C901" s="5" t="s">
        <v>1137</v>
      </c>
      <c r="D901" s="5" t="s">
        <v>50</v>
      </c>
      <c r="H901" s="5" t="s">
        <v>1123</v>
      </c>
      <c r="I901" s="5" t="s">
        <v>1138</v>
      </c>
      <c r="J901" s="5" t="s">
        <v>41</v>
      </c>
      <c r="K901" s="5" t="s">
        <v>42</v>
      </c>
      <c r="L901" s="5" t="s">
        <v>79</v>
      </c>
      <c r="M901" s="5" t="s">
        <v>80</v>
      </c>
      <c r="N901" s="11"/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2843158</v>
      </c>
      <c r="AG901" s="5" t="s">
        <v>55</v>
      </c>
      <c r="AH901" s="5" t="s">
        <v>46</v>
      </c>
    </row>
    <row r="902" spans="1:34" s="5" customFormat="1">
      <c r="A902" s="5" t="s">
        <v>47</v>
      </c>
      <c r="B902" s="5" t="s">
        <v>1298</v>
      </c>
      <c r="C902" s="5" t="s">
        <v>1299</v>
      </c>
      <c r="D902" s="5" t="s">
        <v>50</v>
      </c>
      <c r="H902" s="5" t="s">
        <v>1095</v>
      </c>
      <c r="I902" s="5" t="s">
        <v>1293</v>
      </c>
      <c r="J902" s="5" t="s">
        <v>41</v>
      </c>
      <c r="K902" s="5" t="s">
        <v>42</v>
      </c>
      <c r="L902" s="5" t="s">
        <v>79</v>
      </c>
      <c r="M902" s="5" t="s">
        <v>80</v>
      </c>
      <c r="N902" s="11"/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884011</v>
      </c>
      <c r="AG902" s="5" t="s">
        <v>55</v>
      </c>
      <c r="AH902" s="5" t="s">
        <v>46</v>
      </c>
    </row>
    <row r="903" spans="1:34" s="5" customFormat="1">
      <c r="A903" s="5" t="s">
        <v>47</v>
      </c>
      <c r="B903" s="5" t="s">
        <v>1417</v>
      </c>
      <c r="C903" s="5" t="s">
        <v>1418</v>
      </c>
      <c r="D903" s="5" t="s">
        <v>50</v>
      </c>
      <c r="H903" s="5" t="s">
        <v>1413</v>
      </c>
      <c r="I903" s="5" t="s">
        <v>1414</v>
      </c>
      <c r="J903" s="5" t="s">
        <v>41</v>
      </c>
      <c r="K903" s="5" t="s">
        <v>42</v>
      </c>
      <c r="L903" s="5" t="s">
        <v>79</v>
      </c>
      <c r="M903" s="5" t="s">
        <v>80</v>
      </c>
      <c r="N903" s="11"/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891511</v>
      </c>
      <c r="AG903" s="5" t="s">
        <v>55</v>
      </c>
      <c r="AH903" s="5" t="s">
        <v>46</v>
      </c>
    </row>
    <row r="904" spans="1:34" s="5" customFormat="1">
      <c r="A904" s="5" t="s">
        <v>47</v>
      </c>
      <c r="B904" s="5" t="s">
        <v>1475</v>
      </c>
      <c r="C904" s="5" t="s">
        <v>1476</v>
      </c>
      <c r="D904" s="5" t="s">
        <v>50</v>
      </c>
      <c r="H904" s="5" t="s">
        <v>687</v>
      </c>
      <c r="I904" s="5" t="s">
        <v>1472</v>
      </c>
      <c r="J904" s="5" t="s">
        <v>41</v>
      </c>
      <c r="K904" s="5" t="s">
        <v>42</v>
      </c>
      <c r="L904" s="5" t="s">
        <v>79</v>
      </c>
      <c r="M904" s="5" t="s">
        <v>80</v>
      </c>
      <c r="N904" s="11"/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1801271</v>
      </c>
      <c r="AG904" s="5" t="s">
        <v>55</v>
      </c>
      <c r="AH904" s="5" t="s">
        <v>46</v>
      </c>
    </row>
    <row r="905" spans="1:34" s="5" customFormat="1">
      <c r="A905" s="5" t="s">
        <v>47</v>
      </c>
      <c r="B905" s="5" t="s">
        <v>1645</v>
      </c>
      <c r="C905" s="5" t="s">
        <v>1646</v>
      </c>
      <c r="D905" s="5" t="s">
        <v>50</v>
      </c>
      <c r="H905" s="5" t="s">
        <v>1378</v>
      </c>
      <c r="I905" s="5" t="s">
        <v>1642</v>
      </c>
      <c r="J905" s="5" t="s">
        <v>41</v>
      </c>
      <c r="K905" s="5" t="s">
        <v>42</v>
      </c>
      <c r="L905" s="5" t="s">
        <v>79</v>
      </c>
      <c r="M905" s="5" t="s">
        <v>80</v>
      </c>
      <c r="N905" s="11"/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5423444</v>
      </c>
      <c r="AG905" s="5" t="s">
        <v>55</v>
      </c>
      <c r="AH905" s="5" t="s">
        <v>46</v>
      </c>
    </row>
    <row r="906" spans="1:34" s="5" customFormat="1">
      <c r="A906" s="5" t="s">
        <v>47</v>
      </c>
      <c r="B906" s="5" t="s">
        <v>1768</v>
      </c>
      <c r="C906" s="5" t="s">
        <v>1769</v>
      </c>
      <c r="D906" s="5" t="s">
        <v>50</v>
      </c>
      <c r="H906" s="5" t="s">
        <v>1762</v>
      </c>
      <c r="I906" s="5" t="s">
        <v>1763</v>
      </c>
      <c r="J906" s="5" t="s">
        <v>41</v>
      </c>
      <c r="K906" s="5" t="s">
        <v>42</v>
      </c>
      <c r="L906" s="5" t="s">
        <v>79</v>
      </c>
      <c r="M906" s="5" t="s">
        <v>80</v>
      </c>
      <c r="N906" s="11"/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2535190</v>
      </c>
      <c r="AG906" s="5" t="s">
        <v>55</v>
      </c>
      <c r="AH906" s="5" t="s">
        <v>46</v>
      </c>
    </row>
    <row r="907" spans="1:34" s="5" customFormat="1">
      <c r="A907" s="5" t="s">
        <v>47</v>
      </c>
      <c r="B907" s="5" t="s">
        <v>735</v>
      </c>
      <c r="C907" s="5" t="s">
        <v>736</v>
      </c>
      <c r="D907" s="5" t="s">
        <v>50</v>
      </c>
      <c r="H907" s="5" t="s">
        <v>704</v>
      </c>
      <c r="I907" s="5" t="s">
        <v>734</v>
      </c>
      <c r="J907" s="5" t="s">
        <v>41</v>
      </c>
      <c r="K907" s="5" t="s">
        <v>42</v>
      </c>
      <c r="L907" s="5" t="s">
        <v>737</v>
      </c>
      <c r="M907" s="5" t="s">
        <v>738</v>
      </c>
      <c r="N907" s="11"/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903709</v>
      </c>
      <c r="AG907" s="5" t="s">
        <v>55</v>
      </c>
      <c r="AH907" s="5" t="s">
        <v>46</v>
      </c>
    </row>
    <row r="908" spans="1:34" s="5" customFormat="1">
      <c r="A908" s="5" t="s">
        <v>47</v>
      </c>
      <c r="B908" s="5" t="s">
        <v>928</v>
      </c>
      <c r="C908" s="5" t="s">
        <v>929</v>
      </c>
      <c r="D908" s="5" t="s">
        <v>50</v>
      </c>
      <c r="H908" s="5" t="s">
        <v>903</v>
      </c>
      <c r="I908" s="5" t="s">
        <v>930</v>
      </c>
      <c r="J908" s="5" t="s">
        <v>41</v>
      </c>
      <c r="K908" s="5" t="s">
        <v>42</v>
      </c>
      <c r="L908" s="5" t="s">
        <v>737</v>
      </c>
      <c r="M908" s="5" t="s">
        <v>738</v>
      </c>
      <c r="N908" s="11"/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1509620</v>
      </c>
      <c r="AG908" s="5" t="s">
        <v>55</v>
      </c>
      <c r="AH908" s="5" t="s">
        <v>46</v>
      </c>
    </row>
    <row r="909" spans="1:34" s="5" customFormat="1">
      <c r="A909" s="5" t="s">
        <v>47</v>
      </c>
      <c r="B909" s="5" t="s">
        <v>1139</v>
      </c>
      <c r="C909" s="5" t="s">
        <v>1140</v>
      </c>
      <c r="D909" s="5" t="s">
        <v>50</v>
      </c>
      <c r="H909" s="5" t="s">
        <v>1123</v>
      </c>
      <c r="I909" s="5" t="s">
        <v>1138</v>
      </c>
      <c r="J909" s="5" t="s">
        <v>41</v>
      </c>
      <c r="K909" s="5" t="s">
        <v>42</v>
      </c>
      <c r="L909" s="5" t="s">
        <v>737</v>
      </c>
      <c r="M909" s="5" t="s">
        <v>738</v>
      </c>
      <c r="N909" s="11"/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1206269</v>
      </c>
      <c r="AG909" s="5" t="s">
        <v>55</v>
      </c>
      <c r="AH909" s="5" t="s">
        <v>46</v>
      </c>
    </row>
    <row r="910" spans="1:34" s="5" customFormat="1">
      <c r="A910" s="5" t="s">
        <v>225</v>
      </c>
      <c r="B910" s="5" t="s">
        <v>248</v>
      </c>
      <c r="C910" s="5" t="s">
        <v>249</v>
      </c>
      <c r="D910" s="5" t="s">
        <v>50</v>
      </c>
      <c r="H910" s="5" t="s">
        <v>220</v>
      </c>
      <c r="I910" s="5" t="s">
        <v>231</v>
      </c>
      <c r="J910" s="5" t="s">
        <v>41</v>
      </c>
      <c r="K910" s="5" t="s">
        <v>42</v>
      </c>
      <c r="L910" s="5" t="s">
        <v>104</v>
      </c>
      <c r="M910" s="5" t="s">
        <v>105</v>
      </c>
      <c r="N910" s="11"/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1538600</v>
      </c>
      <c r="AG910" s="5" t="s">
        <v>55</v>
      </c>
      <c r="AH910" s="5" t="s">
        <v>46</v>
      </c>
    </row>
    <row r="911" spans="1:34" s="5" customFormat="1">
      <c r="A911" s="5" t="s">
        <v>47</v>
      </c>
      <c r="B911" s="5" t="s">
        <v>102</v>
      </c>
      <c r="C911" s="5" t="s">
        <v>103</v>
      </c>
      <c r="D911" s="5" t="s">
        <v>50</v>
      </c>
      <c r="H911" s="5" t="s">
        <v>51</v>
      </c>
      <c r="I911" s="5" t="s">
        <v>95</v>
      </c>
      <c r="J911" s="5" t="s">
        <v>41</v>
      </c>
      <c r="K911" s="5" t="s">
        <v>42</v>
      </c>
      <c r="L911" s="5" t="s">
        <v>104</v>
      </c>
      <c r="M911" s="5" t="s">
        <v>105</v>
      </c>
      <c r="N911" s="11"/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1121864</v>
      </c>
      <c r="AG911" s="5" t="s">
        <v>55</v>
      </c>
      <c r="AH911" s="5" t="s">
        <v>46</v>
      </c>
    </row>
    <row r="912" spans="1:34" s="5" customFormat="1">
      <c r="A912" s="5" t="s">
        <v>47</v>
      </c>
      <c r="B912" s="5" t="s">
        <v>295</v>
      </c>
      <c r="C912" s="5" t="s">
        <v>296</v>
      </c>
      <c r="D912" s="5" t="s">
        <v>50</v>
      </c>
      <c r="H912" s="5" t="s">
        <v>220</v>
      </c>
      <c r="I912" s="5" t="s">
        <v>292</v>
      </c>
      <c r="J912" s="5" t="s">
        <v>41</v>
      </c>
      <c r="K912" s="5" t="s">
        <v>42</v>
      </c>
      <c r="L912" s="5" t="s">
        <v>104</v>
      </c>
      <c r="M912" s="5" t="s">
        <v>105</v>
      </c>
      <c r="N912" s="11"/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734458</v>
      </c>
      <c r="AG912" s="5" t="s">
        <v>55</v>
      </c>
      <c r="AH912" s="5" t="s">
        <v>46</v>
      </c>
    </row>
    <row r="913" spans="1:34" s="5" customFormat="1">
      <c r="A913" s="5" t="s">
        <v>47</v>
      </c>
      <c r="B913" s="5" t="s">
        <v>608</v>
      </c>
      <c r="C913" s="5" t="s">
        <v>609</v>
      </c>
      <c r="D913" s="5" t="s">
        <v>50</v>
      </c>
      <c r="H913" s="5" t="s">
        <v>585</v>
      </c>
      <c r="I913" s="5" t="s">
        <v>591</v>
      </c>
      <c r="J913" s="5" t="s">
        <v>41</v>
      </c>
      <c r="K913" s="5" t="s">
        <v>42</v>
      </c>
      <c r="L913" s="5" t="s">
        <v>104</v>
      </c>
      <c r="M913" s="5" t="s">
        <v>105</v>
      </c>
      <c r="N913" s="11"/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1634583</v>
      </c>
      <c r="AG913" s="5" t="s">
        <v>55</v>
      </c>
      <c r="AH913" s="5" t="s">
        <v>46</v>
      </c>
    </row>
    <row r="914" spans="1:34" s="5" customFormat="1">
      <c r="A914" s="5" t="s">
        <v>47</v>
      </c>
      <c r="B914" s="5" t="s">
        <v>730</v>
      </c>
      <c r="C914" s="5" t="s">
        <v>731</v>
      </c>
      <c r="D914" s="5" t="s">
        <v>50</v>
      </c>
      <c r="H914" s="5" t="s">
        <v>704</v>
      </c>
      <c r="I914" s="5" t="s">
        <v>725</v>
      </c>
      <c r="J914" s="5" t="s">
        <v>41</v>
      </c>
      <c r="K914" s="5" t="s">
        <v>42</v>
      </c>
      <c r="L914" s="5" t="s">
        <v>104</v>
      </c>
      <c r="M914" s="5" t="s">
        <v>105</v>
      </c>
      <c r="N914" s="11"/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1813820</v>
      </c>
      <c r="AG914" s="5" t="s">
        <v>55</v>
      </c>
      <c r="AH914" s="5" t="s">
        <v>46</v>
      </c>
    </row>
    <row r="915" spans="1:34" s="5" customFormat="1">
      <c r="A915" s="5" t="s">
        <v>47</v>
      </c>
      <c r="B915" s="5" t="s">
        <v>924</v>
      </c>
      <c r="C915" s="5" t="s">
        <v>925</v>
      </c>
      <c r="D915" s="5" t="s">
        <v>50</v>
      </c>
      <c r="H915" s="5" t="s">
        <v>903</v>
      </c>
      <c r="I915" s="5" t="s">
        <v>919</v>
      </c>
      <c r="J915" s="5" t="s">
        <v>41</v>
      </c>
      <c r="K915" s="5" t="s">
        <v>42</v>
      </c>
      <c r="L915" s="5" t="s">
        <v>104</v>
      </c>
      <c r="M915" s="5" t="s">
        <v>105</v>
      </c>
      <c r="N915" s="11"/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863798</v>
      </c>
      <c r="AG915" s="5" t="s">
        <v>55</v>
      </c>
      <c r="AH915" s="5" t="s">
        <v>46</v>
      </c>
    </row>
    <row r="916" spans="1:34" s="5" customFormat="1">
      <c r="A916" s="5" t="s">
        <v>47</v>
      </c>
      <c r="B916" s="5" t="s">
        <v>1785</v>
      </c>
      <c r="C916" s="5" t="s">
        <v>1786</v>
      </c>
      <c r="D916" s="5" t="s">
        <v>50</v>
      </c>
      <c r="H916" s="5" t="s">
        <v>1762</v>
      </c>
      <c r="I916" s="5" t="s">
        <v>1787</v>
      </c>
      <c r="J916" s="5" t="s">
        <v>41</v>
      </c>
      <c r="K916" s="5" t="s">
        <v>42</v>
      </c>
      <c r="L916" s="5" t="s">
        <v>104</v>
      </c>
      <c r="M916" s="5" t="s">
        <v>105</v>
      </c>
      <c r="N916" s="11"/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1200000</v>
      </c>
      <c r="AG916" s="5" t="s">
        <v>55</v>
      </c>
      <c r="AH916" s="5" t="s">
        <v>46</v>
      </c>
    </row>
    <row r="917" spans="1:34" s="5" customFormat="1">
      <c r="A917" s="5" t="s">
        <v>225</v>
      </c>
      <c r="B917" s="5" t="s">
        <v>232</v>
      </c>
      <c r="C917" s="5" t="s">
        <v>233</v>
      </c>
      <c r="D917" s="5" t="s">
        <v>50</v>
      </c>
      <c r="H917" s="5" t="s">
        <v>220</v>
      </c>
      <c r="I917" s="5" t="s">
        <v>231</v>
      </c>
      <c r="J917" s="5" t="s">
        <v>41</v>
      </c>
      <c r="K917" s="5" t="s">
        <v>42</v>
      </c>
      <c r="L917" s="5" t="s">
        <v>53</v>
      </c>
      <c r="M917" s="5" t="s">
        <v>54</v>
      </c>
      <c r="N917" s="11"/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1459558</v>
      </c>
      <c r="AG917" s="5" t="s">
        <v>55</v>
      </c>
      <c r="AH917" s="5" t="s">
        <v>46</v>
      </c>
    </row>
    <row r="918" spans="1:34" s="5" customFormat="1">
      <c r="A918" s="5" t="s">
        <v>225</v>
      </c>
      <c r="B918" s="5" t="s">
        <v>1186</v>
      </c>
      <c r="C918" s="5" t="s">
        <v>1187</v>
      </c>
      <c r="D918" s="5" t="s">
        <v>50</v>
      </c>
      <c r="H918" s="5" t="s">
        <v>1188</v>
      </c>
      <c r="I918" s="5" t="s">
        <v>1189</v>
      </c>
      <c r="J918" s="5" t="s">
        <v>41</v>
      </c>
      <c r="K918" s="5" t="s">
        <v>42</v>
      </c>
      <c r="L918" s="5" t="s">
        <v>53</v>
      </c>
      <c r="M918" s="5" t="s">
        <v>54</v>
      </c>
      <c r="N918" s="11"/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1509620</v>
      </c>
      <c r="AG918" s="5" t="s">
        <v>55</v>
      </c>
      <c r="AH918" s="5" t="s">
        <v>46</v>
      </c>
    </row>
    <row r="919" spans="1:34" s="5" customFormat="1">
      <c r="A919" s="5" t="s">
        <v>225</v>
      </c>
      <c r="B919" s="5" t="s">
        <v>1231</v>
      </c>
      <c r="C919" s="5" t="s">
        <v>1232</v>
      </c>
      <c r="D919" s="5" t="s">
        <v>50</v>
      </c>
      <c r="H919" s="5" t="s">
        <v>1188</v>
      </c>
      <c r="I919" s="5" t="s">
        <v>1233</v>
      </c>
      <c r="J919" s="5" t="s">
        <v>41</v>
      </c>
      <c r="K919" s="5" t="s">
        <v>42</v>
      </c>
      <c r="L919" s="5" t="s">
        <v>53</v>
      </c>
      <c r="M919" s="5" t="s">
        <v>54</v>
      </c>
      <c r="N919" s="11"/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1509620</v>
      </c>
      <c r="AG919" s="5" t="s">
        <v>55</v>
      </c>
      <c r="AH919" s="5" t="s">
        <v>46</v>
      </c>
    </row>
    <row r="920" spans="1:34" s="5" customFormat="1">
      <c r="A920" s="5" t="s">
        <v>47</v>
      </c>
      <c r="B920" s="5" t="s">
        <v>48</v>
      </c>
      <c r="C920" s="5" t="s">
        <v>49</v>
      </c>
      <c r="D920" s="5" t="s">
        <v>50</v>
      </c>
      <c r="H920" s="5" t="s">
        <v>51</v>
      </c>
      <c r="I920" s="5" t="s">
        <v>52</v>
      </c>
      <c r="J920" s="5" t="s">
        <v>41</v>
      </c>
      <c r="K920" s="5" t="s">
        <v>42</v>
      </c>
      <c r="L920" s="5" t="s">
        <v>53</v>
      </c>
      <c r="M920" s="5" t="s">
        <v>54</v>
      </c>
      <c r="N920" s="11"/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1459558</v>
      </c>
      <c r="AG920" s="5" t="s">
        <v>55</v>
      </c>
      <c r="AH920" s="5" t="s">
        <v>46</v>
      </c>
    </row>
    <row r="921" spans="1:34" s="5" customFormat="1">
      <c r="A921" s="5" t="s">
        <v>47</v>
      </c>
      <c r="B921" s="5" t="s">
        <v>273</v>
      </c>
      <c r="C921" s="5" t="s">
        <v>274</v>
      </c>
      <c r="D921" s="5" t="s">
        <v>50</v>
      </c>
      <c r="H921" s="5" t="s">
        <v>220</v>
      </c>
      <c r="I921" s="5" t="s">
        <v>275</v>
      </c>
      <c r="J921" s="5" t="s">
        <v>41</v>
      </c>
      <c r="K921" s="5" t="s">
        <v>42</v>
      </c>
      <c r="L921" s="5" t="s">
        <v>53</v>
      </c>
      <c r="M921" s="5" t="s">
        <v>54</v>
      </c>
      <c r="N921" s="11"/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686719</v>
      </c>
      <c r="AG921" s="5" t="s">
        <v>55</v>
      </c>
      <c r="AH921" s="5" t="s">
        <v>46</v>
      </c>
    </row>
    <row r="922" spans="1:34" s="5" customFormat="1">
      <c r="A922" s="5" t="s">
        <v>47</v>
      </c>
      <c r="B922" s="5" t="s">
        <v>587</v>
      </c>
      <c r="C922" s="5" t="s">
        <v>588</v>
      </c>
      <c r="D922" s="5" t="s">
        <v>50</v>
      </c>
      <c r="H922" s="5" t="s">
        <v>585</v>
      </c>
      <c r="I922" s="5" t="s">
        <v>586</v>
      </c>
      <c r="J922" s="5" t="s">
        <v>41</v>
      </c>
      <c r="K922" s="5" t="s">
        <v>42</v>
      </c>
      <c r="L922" s="5" t="s">
        <v>53</v>
      </c>
      <c r="M922" s="5" t="s">
        <v>54</v>
      </c>
      <c r="N922" s="11"/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1508372</v>
      </c>
      <c r="AG922" s="5" t="s">
        <v>55</v>
      </c>
      <c r="AH922" s="5" t="s">
        <v>46</v>
      </c>
    </row>
    <row r="923" spans="1:34" s="5" customFormat="1">
      <c r="A923" s="5" t="s">
        <v>47</v>
      </c>
      <c r="B923" s="5" t="s">
        <v>702</v>
      </c>
      <c r="C923" s="5" t="s">
        <v>703</v>
      </c>
      <c r="D923" s="5" t="s">
        <v>50</v>
      </c>
      <c r="H923" s="5" t="s">
        <v>704</v>
      </c>
      <c r="I923" s="5" t="s">
        <v>705</v>
      </c>
      <c r="J923" s="5" t="s">
        <v>41</v>
      </c>
      <c r="K923" s="5" t="s">
        <v>42</v>
      </c>
      <c r="L923" s="5" t="s">
        <v>53</v>
      </c>
      <c r="M923" s="5" t="s">
        <v>54</v>
      </c>
      <c r="N923" s="11"/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1794909</v>
      </c>
      <c r="AG923" s="5" t="s">
        <v>55</v>
      </c>
      <c r="AH923" s="5" t="s">
        <v>46</v>
      </c>
    </row>
    <row r="924" spans="1:34" s="5" customFormat="1">
      <c r="A924" s="5" t="s">
        <v>47</v>
      </c>
      <c r="B924" s="5" t="s">
        <v>915</v>
      </c>
      <c r="C924" s="5" t="s">
        <v>916</v>
      </c>
      <c r="D924" s="5" t="s">
        <v>50</v>
      </c>
      <c r="H924" s="5" t="s">
        <v>903</v>
      </c>
      <c r="I924" s="5" t="s">
        <v>904</v>
      </c>
      <c r="J924" s="5" t="s">
        <v>41</v>
      </c>
      <c r="K924" s="5" t="s">
        <v>42</v>
      </c>
      <c r="L924" s="5" t="s">
        <v>53</v>
      </c>
      <c r="M924" s="5" t="s">
        <v>54</v>
      </c>
      <c r="N924" s="11"/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1509620</v>
      </c>
      <c r="AG924" s="5" t="s">
        <v>55</v>
      </c>
      <c r="AH924" s="5" t="s">
        <v>46</v>
      </c>
    </row>
    <row r="925" spans="1:34" s="5" customFormat="1">
      <c r="A925" s="5" t="s">
        <v>47</v>
      </c>
      <c r="B925" s="5" t="s">
        <v>1121</v>
      </c>
      <c r="C925" s="5" t="s">
        <v>1122</v>
      </c>
      <c r="D925" s="5" t="s">
        <v>50</v>
      </c>
      <c r="H925" s="5" t="s">
        <v>1123</v>
      </c>
      <c r="I925" s="5" t="s">
        <v>1124</v>
      </c>
      <c r="J925" s="5" t="s">
        <v>41</v>
      </c>
      <c r="K925" s="5" t="s">
        <v>42</v>
      </c>
      <c r="L925" s="5" t="s">
        <v>53</v>
      </c>
      <c r="M925" s="5" t="s">
        <v>54</v>
      </c>
      <c r="N925" s="11"/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2338462</v>
      </c>
      <c r="AG925" s="5" t="s">
        <v>55</v>
      </c>
      <c r="AH925" s="5" t="s">
        <v>46</v>
      </c>
    </row>
    <row r="926" spans="1:34" s="5" customFormat="1">
      <c r="A926" s="5" t="s">
        <v>47</v>
      </c>
      <c r="B926" s="5" t="s">
        <v>1288</v>
      </c>
      <c r="C926" s="5" t="s">
        <v>1289</v>
      </c>
      <c r="D926" s="5" t="s">
        <v>50</v>
      </c>
      <c r="H926" s="5" t="s">
        <v>1095</v>
      </c>
      <c r="I926" s="5" t="s">
        <v>1290</v>
      </c>
      <c r="J926" s="5" t="s">
        <v>41</v>
      </c>
      <c r="K926" s="5" t="s">
        <v>42</v>
      </c>
      <c r="L926" s="5" t="s">
        <v>53</v>
      </c>
      <c r="M926" s="5" t="s">
        <v>54</v>
      </c>
      <c r="N926" s="11"/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711750</v>
      </c>
      <c r="AG926" s="5" t="s">
        <v>55</v>
      </c>
      <c r="AH926" s="5" t="s">
        <v>46</v>
      </c>
    </row>
    <row r="927" spans="1:34" s="5" customFormat="1">
      <c r="A927" s="5" t="s">
        <v>47</v>
      </c>
      <c r="B927" s="5" t="s">
        <v>1411</v>
      </c>
      <c r="C927" s="5" t="s">
        <v>1412</v>
      </c>
      <c r="D927" s="5" t="s">
        <v>50</v>
      </c>
      <c r="H927" s="5" t="s">
        <v>1413</v>
      </c>
      <c r="I927" s="5" t="s">
        <v>1414</v>
      </c>
      <c r="J927" s="5" t="s">
        <v>41</v>
      </c>
      <c r="K927" s="5" t="s">
        <v>42</v>
      </c>
      <c r="L927" s="5" t="s">
        <v>53</v>
      </c>
      <c r="M927" s="5" t="s">
        <v>54</v>
      </c>
      <c r="N927" s="11"/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711750</v>
      </c>
      <c r="AG927" s="5" t="s">
        <v>55</v>
      </c>
      <c r="AH927" s="5" t="s">
        <v>46</v>
      </c>
    </row>
    <row r="928" spans="1:34" s="5" customFormat="1">
      <c r="A928" s="5" t="s">
        <v>47</v>
      </c>
      <c r="B928" s="5" t="s">
        <v>1470</v>
      </c>
      <c r="C928" s="5" t="s">
        <v>1471</v>
      </c>
      <c r="D928" s="5" t="s">
        <v>50</v>
      </c>
      <c r="H928" s="5" t="s">
        <v>687</v>
      </c>
      <c r="I928" s="5" t="s">
        <v>1472</v>
      </c>
      <c r="J928" s="5" t="s">
        <v>41</v>
      </c>
      <c r="K928" s="5" t="s">
        <v>42</v>
      </c>
      <c r="L928" s="5" t="s">
        <v>53</v>
      </c>
      <c r="M928" s="5" t="s">
        <v>54</v>
      </c>
      <c r="N928" s="11"/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1509620</v>
      </c>
      <c r="AG928" s="5" t="s">
        <v>55</v>
      </c>
      <c r="AH928" s="5" t="s">
        <v>46</v>
      </c>
    </row>
    <row r="929" spans="1:34" s="5" customFormat="1">
      <c r="A929" s="5" t="s">
        <v>47</v>
      </c>
      <c r="B929" s="5" t="s">
        <v>1643</v>
      </c>
      <c r="C929" s="5" t="s">
        <v>1644</v>
      </c>
      <c r="D929" s="5" t="s">
        <v>50</v>
      </c>
      <c r="H929" s="5" t="s">
        <v>1378</v>
      </c>
      <c r="I929" s="5" t="s">
        <v>1642</v>
      </c>
      <c r="J929" s="5" t="s">
        <v>41</v>
      </c>
      <c r="K929" s="5" t="s">
        <v>42</v>
      </c>
      <c r="L929" s="5" t="s">
        <v>53</v>
      </c>
      <c r="M929" s="5" t="s">
        <v>54</v>
      </c>
      <c r="N929" s="11"/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0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1309620</v>
      </c>
      <c r="AG929" s="5" t="s">
        <v>55</v>
      </c>
      <c r="AH929" s="5" t="s">
        <v>46</v>
      </c>
    </row>
    <row r="930" spans="1:34" s="5" customFormat="1">
      <c r="A930" s="5" t="s">
        <v>225</v>
      </c>
      <c r="B930" s="5" t="s">
        <v>261</v>
      </c>
      <c r="C930" s="5" t="s">
        <v>262</v>
      </c>
      <c r="D930" s="5" t="s">
        <v>50</v>
      </c>
      <c r="H930" s="5" t="s">
        <v>220</v>
      </c>
      <c r="I930" s="5" t="s">
        <v>256</v>
      </c>
      <c r="J930" s="5" t="s">
        <v>41</v>
      </c>
      <c r="K930" s="5" t="s">
        <v>42</v>
      </c>
      <c r="L930" s="5" t="s">
        <v>108</v>
      </c>
      <c r="M930" s="5" t="s">
        <v>109</v>
      </c>
      <c r="N930" s="11"/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1478054</v>
      </c>
      <c r="AG930" s="5" t="s">
        <v>55</v>
      </c>
      <c r="AH930" s="5" t="s">
        <v>46</v>
      </c>
    </row>
    <row r="931" spans="1:34" s="5" customFormat="1">
      <c r="A931" s="5" t="s">
        <v>225</v>
      </c>
      <c r="B931" s="5" t="s">
        <v>1213</v>
      </c>
      <c r="C931" s="5" t="s">
        <v>1214</v>
      </c>
      <c r="D931" s="5" t="s">
        <v>50</v>
      </c>
      <c r="H931" s="5" t="s">
        <v>1188</v>
      </c>
      <c r="I931" s="5" t="s">
        <v>1215</v>
      </c>
      <c r="J931" s="5" t="s">
        <v>41</v>
      </c>
      <c r="K931" s="5" t="s">
        <v>42</v>
      </c>
      <c r="L931" s="5" t="s">
        <v>108</v>
      </c>
      <c r="M931" s="5" t="s">
        <v>109</v>
      </c>
      <c r="N931" s="11"/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1479584</v>
      </c>
      <c r="AG931" s="5" t="s">
        <v>55</v>
      </c>
      <c r="AH931" s="5" t="s">
        <v>46</v>
      </c>
    </row>
    <row r="932" spans="1:34" s="5" customFormat="1">
      <c r="A932" s="5" t="s">
        <v>225</v>
      </c>
      <c r="B932" s="5" t="s">
        <v>1256</v>
      </c>
      <c r="C932" s="5" t="s">
        <v>1257</v>
      </c>
      <c r="D932" s="5" t="s">
        <v>50</v>
      </c>
      <c r="H932" s="5" t="s">
        <v>1188</v>
      </c>
      <c r="I932" s="5" t="s">
        <v>1255</v>
      </c>
      <c r="J932" s="5" t="s">
        <v>41</v>
      </c>
      <c r="K932" s="5" t="s">
        <v>42</v>
      </c>
      <c r="L932" s="5" t="s">
        <v>108</v>
      </c>
      <c r="M932" s="5" t="s">
        <v>109</v>
      </c>
      <c r="N932" s="11"/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1479584</v>
      </c>
      <c r="AG932" s="5" t="s">
        <v>55</v>
      </c>
      <c r="AH932" s="5" t="s">
        <v>46</v>
      </c>
    </row>
    <row r="933" spans="1:34" s="5" customFormat="1">
      <c r="A933" s="5" t="s">
        <v>47</v>
      </c>
      <c r="B933" s="5" t="s">
        <v>106</v>
      </c>
      <c r="C933" s="5" t="s">
        <v>107</v>
      </c>
      <c r="D933" s="5" t="s">
        <v>50</v>
      </c>
      <c r="H933" s="5" t="s">
        <v>51</v>
      </c>
      <c r="I933" s="5" t="s">
        <v>95</v>
      </c>
      <c r="J933" s="5" t="s">
        <v>41</v>
      </c>
      <c r="K933" s="5" t="s">
        <v>42</v>
      </c>
      <c r="L933" s="5" t="s">
        <v>108</v>
      </c>
      <c r="M933" s="5" t="s">
        <v>109</v>
      </c>
      <c r="N933" s="11"/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1589669</v>
      </c>
      <c r="AG933" s="5" t="s">
        <v>55</v>
      </c>
      <c r="AH933" s="5" t="s">
        <v>46</v>
      </c>
    </row>
    <row r="934" spans="1:34" s="5" customFormat="1">
      <c r="A934" s="5" t="s">
        <v>47</v>
      </c>
      <c r="B934" s="5" t="s">
        <v>305</v>
      </c>
      <c r="C934" s="5" t="s">
        <v>306</v>
      </c>
      <c r="D934" s="5" t="s">
        <v>50</v>
      </c>
      <c r="H934" s="5" t="s">
        <v>220</v>
      </c>
      <c r="I934" s="5" t="s">
        <v>292</v>
      </c>
      <c r="J934" s="5" t="s">
        <v>41</v>
      </c>
      <c r="K934" s="5" t="s">
        <v>42</v>
      </c>
      <c r="L934" s="5" t="s">
        <v>108</v>
      </c>
      <c r="M934" s="5" t="s">
        <v>109</v>
      </c>
      <c r="N934" s="11"/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695967</v>
      </c>
      <c r="AG934" s="5" t="s">
        <v>55</v>
      </c>
      <c r="AH934" s="5" t="s">
        <v>46</v>
      </c>
    </row>
    <row r="935" spans="1:34" s="5" customFormat="1">
      <c r="A935" s="5" t="s">
        <v>47</v>
      </c>
      <c r="B935" s="5" t="s">
        <v>621</v>
      </c>
      <c r="C935" s="5" t="s">
        <v>622</v>
      </c>
      <c r="D935" s="5" t="s">
        <v>50</v>
      </c>
      <c r="H935" s="5" t="s">
        <v>585</v>
      </c>
      <c r="I935" s="5" t="s">
        <v>620</v>
      </c>
      <c r="J935" s="5" t="s">
        <v>41</v>
      </c>
      <c r="K935" s="5" t="s">
        <v>42</v>
      </c>
      <c r="L935" s="5" t="s">
        <v>108</v>
      </c>
      <c r="M935" s="5" t="s">
        <v>109</v>
      </c>
      <c r="N935" s="11"/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1478054</v>
      </c>
      <c r="AG935" s="5" t="s">
        <v>55</v>
      </c>
      <c r="AH935" s="5" t="s">
        <v>46</v>
      </c>
    </row>
    <row r="936" spans="1:34" s="5" customFormat="1">
      <c r="A936" s="5" t="s">
        <v>47</v>
      </c>
      <c r="B936" s="5" t="s">
        <v>732</v>
      </c>
      <c r="C936" s="5" t="s">
        <v>733</v>
      </c>
      <c r="D936" s="5" t="s">
        <v>50</v>
      </c>
      <c r="H936" s="5" t="s">
        <v>704</v>
      </c>
      <c r="I936" s="5" t="s">
        <v>734</v>
      </c>
      <c r="J936" s="5" t="s">
        <v>41</v>
      </c>
      <c r="K936" s="5" t="s">
        <v>42</v>
      </c>
      <c r="L936" s="5" t="s">
        <v>108</v>
      </c>
      <c r="M936" s="5" t="s">
        <v>109</v>
      </c>
      <c r="N936" s="11"/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1384721</v>
      </c>
      <c r="AG936" s="5" t="s">
        <v>55</v>
      </c>
      <c r="AH936" s="5" t="s">
        <v>46</v>
      </c>
    </row>
    <row r="937" spans="1:34" s="5" customFormat="1">
      <c r="A937" s="5" t="s">
        <v>47</v>
      </c>
      <c r="B937" s="5" t="s">
        <v>933</v>
      </c>
      <c r="C937" s="5" t="s">
        <v>934</v>
      </c>
      <c r="D937" s="5" t="s">
        <v>50</v>
      </c>
      <c r="H937" s="5" t="s">
        <v>903</v>
      </c>
      <c r="I937" s="5" t="s">
        <v>930</v>
      </c>
      <c r="J937" s="5" t="s">
        <v>41</v>
      </c>
      <c r="K937" s="5" t="s">
        <v>42</v>
      </c>
      <c r="L937" s="5" t="s">
        <v>108</v>
      </c>
      <c r="M937" s="5" t="s">
        <v>109</v>
      </c>
      <c r="N937" s="11"/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1479584</v>
      </c>
      <c r="AG937" s="5" t="s">
        <v>55</v>
      </c>
      <c r="AH937" s="5" t="s">
        <v>46</v>
      </c>
    </row>
    <row r="938" spans="1:34" s="5" customFormat="1">
      <c r="A938" s="5" t="s">
        <v>47</v>
      </c>
      <c r="B938" s="5" t="s">
        <v>1154</v>
      </c>
      <c r="C938" s="5" t="s">
        <v>1155</v>
      </c>
      <c r="D938" s="5" t="s">
        <v>50</v>
      </c>
      <c r="H938" s="5" t="s">
        <v>1123</v>
      </c>
      <c r="I938" s="5" t="s">
        <v>1151</v>
      </c>
      <c r="J938" s="5" t="s">
        <v>41</v>
      </c>
      <c r="K938" s="5" t="s">
        <v>42</v>
      </c>
      <c r="L938" s="5" t="s">
        <v>108</v>
      </c>
      <c r="M938" s="5" t="s">
        <v>109</v>
      </c>
      <c r="N938" s="11"/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2286188</v>
      </c>
      <c r="AG938" s="5" t="s">
        <v>55</v>
      </c>
      <c r="AH938" s="5" t="s">
        <v>46</v>
      </c>
    </row>
    <row r="939" spans="1:34" s="5" customFormat="1">
      <c r="A939" s="5" t="s">
        <v>47</v>
      </c>
      <c r="B939" s="5" t="s">
        <v>1285</v>
      </c>
      <c r="C939" s="5" t="s">
        <v>1286</v>
      </c>
      <c r="D939" s="5" t="s">
        <v>50</v>
      </c>
      <c r="H939" s="5" t="s">
        <v>1095</v>
      </c>
      <c r="I939" s="5" t="s">
        <v>1287</v>
      </c>
      <c r="J939" s="5" t="s">
        <v>41</v>
      </c>
      <c r="K939" s="5" t="s">
        <v>42</v>
      </c>
      <c r="L939" s="5" t="s">
        <v>108</v>
      </c>
      <c r="M939" s="5" t="s">
        <v>109</v>
      </c>
      <c r="N939" s="11"/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696732</v>
      </c>
      <c r="AG939" s="5" t="s">
        <v>55</v>
      </c>
      <c r="AH939" s="5" t="s">
        <v>46</v>
      </c>
    </row>
    <row r="940" spans="1:34" s="5" customFormat="1">
      <c r="A940" s="5" t="s">
        <v>47</v>
      </c>
      <c r="B940" s="5" t="s">
        <v>1437</v>
      </c>
      <c r="C940" s="5" t="s">
        <v>1438</v>
      </c>
      <c r="D940" s="5" t="s">
        <v>50</v>
      </c>
      <c r="H940" s="5" t="s">
        <v>1413</v>
      </c>
      <c r="I940" s="5" t="s">
        <v>1434</v>
      </c>
      <c r="J940" s="5" t="s">
        <v>41</v>
      </c>
      <c r="K940" s="5" t="s">
        <v>42</v>
      </c>
      <c r="L940" s="5" t="s">
        <v>108</v>
      </c>
      <c r="M940" s="5" t="s">
        <v>109</v>
      </c>
      <c r="N940" s="11"/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696732</v>
      </c>
      <c r="AG940" s="5" t="s">
        <v>55</v>
      </c>
      <c r="AH940" s="5" t="s">
        <v>46</v>
      </c>
    </row>
    <row r="941" spans="1:34" s="5" customFormat="1">
      <c r="A941" s="5" t="s">
        <v>47</v>
      </c>
      <c r="B941" s="5" t="s">
        <v>1497</v>
      </c>
      <c r="C941" s="5" t="s">
        <v>1498</v>
      </c>
      <c r="D941" s="5" t="s">
        <v>50</v>
      </c>
      <c r="H941" s="5" t="s">
        <v>687</v>
      </c>
      <c r="I941" s="5" t="s">
        <v>1472</v>
      </c>
      <c r="J941" s="5" t="s">
        <v>41</v>
      </c>
      <c r="K941" s="5" t="s">
        <v>42</v>
      </c>
      <c r="L941" s="5" t="s">
        <v>108</v>
      </c>
      <c r="M941" s="5" t="s">
        <v>109</v>
      </c>
      <c r="N941" s="11"/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1479584</v>
      </c>
      <c r="AG941" s="5" t="s">
        <v>55</v>
      </c>
      <c r="AH941" s="5" t="s">
        <v>46</v>
      </c>
    </row>
    <row r="942" spans="1:34" s="5" customFormat="1">
      <c r="A942" s="5" t="s">
        <v>47</v>
      </c>
      <c r="B942" s="5" t="s">
        <v>1670</v>
      </c>
      <c r="C942" s="5" t="s">
        <v>1671</v>
      </c>
      <c r="D942" s="5" t="s">
        <v>50</v>
      </c>
      <c r="H942" s="5" t="s">
        <v>1378</v>
      </c>
      <c r="I942" s="5" t="s">
        <v>1657</v>
      </c>
      <c r="J942" s="5" t="s">
        <v>41</v>
      </c>
      <c r="K942" s="5" t="s">
        <v>42</v>
      </c>
      <c r="L942" s="5" t="s">
        <v>108</v>
      </c>
      <c r="M942" s="5" t="s">
        <v>109</v>
      </c>
      <c r="N942" s="11"/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4282298</v>
      </c>
      <c r="AG942" s="5" t="s">
        <v>55</v>
      </c>
      <c r="AH942" s="5" t="s">
        <v>46</v>
      </c>
    </row>
    <row r="943" spans="1:34" s="5" customFormat="1">
      <c r="A943" s="5" t="s">
        <v>47</v>
      </c>
      <c r="B943" s="5" t="s">
        <v>1792</v>
      </c>
      <c r="C943" s="5" t="s">
        <v>1793</v>
      </c>
      <c r="D943" s="5" t="s">
        <v>50</v>
      </c>
      <c r="H943" s="5" t="s">
        <v>1762</v>
      </c>
      <c r="I943" s="5" t="s">
        <v>1787</v>
      </c>
      <c r="J943" s="5" t="s">
        <v>41</v>
      </c>
      <c r="K943" s="5" t="s">
        <v>42</v>
      </c>
      <c r="L943" s="5" t="s">
        <v>108</v>
      </c>
      <c r="M943" s="5" t="s">
        <v>109</v>
      </c>
      <c r="N943" s="11"/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2373484</v>
      </c>
      <c r="AG943" s="5" t="s">
        <v>55</v>
      </c>
      <c r="AH943" s="5" t="s">
        <v>46</v>
      </c>
    </row>
    <row r="944" spans="1:34" s="5" customFormat="1">
      <c r="A944" s="5" t="s">
        <v>225</v>
      </c>
      <c r="B944" s="5" t="s">
        <v>236</v>
      </c>
      <c r="C944" s="5" t="s">
        <v>237</v>
      </c>
      <c r="D944" s="5" t="s">
        <v>50</v>
      </c>
      <c r="H944" s="5" t="s">
        <v>220</v>
      </c>
      <c r="I944" s="5" t="s">
        <v>231</v>
      </c>
      <c r="J944" s="5" t="s">
        <v>41</v>
      </c>
      <c r="K944" s="5" t="s">
        <v>42</v>
      </c>
      <c r="L944" s="5" t="s">
        <v>116</v>
      </c>
      <c r="M944" s="5" t="s">
        <v>117</v>
      </c>
      <c r="N944" s="11"/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2589358</v>
      </c>
      <c r="AG944" s="5" t="s">
        <v>55</v>
      </c>
      <c r="AH944" s="5" t="s">
        <v>46</v>
      </c>
    </row>
    <row r="945" spans="1:34" s="5" customFormat="1">
      <c r="A945" s="5" t="s">
        <v>225</v>
      </c>
      <c r="B945" s="5" t="s">
        <v>1211</v>
      </c>
      <c r="C945" s="5" t="s">
        <v>1212</v>
      </c>
      <c r="D945" s="5" t="s">
        <v>50</v>
      </c>
      <c r="H945" s="5" t="s">
        <v>1188</v>
      </c>
      <c r="I945" s="5" t="s">
        <v>1200</v>
      </c>
      <c r="J945" s="5" t="s">
        <v>41</v>
      </c>
      <c r="K945" s="5" t="s">
        <v>42</v>
      </c>
      <c r="L945" s="5" t="s">
        <v>116</v>
      </c>
      <c r="M945" s="5" t="s">
        <v>117</v>
      </c>
      <c r="N945" s="11"/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2792754</v>
      </c>
      <c r="AG945" s="5" t="s">
        <v>55</v>
      </c>
      <c r="AH945" s="5" t="s">
        <v>46</v>
      </c>
    </row>
    <row r="946" spans="1:34" s="5" customFormat="1">
      <c r="A946" s="5" t="s">
        <v>225</v>
      </c>
      <c r="B946" s="5" t="s">
        <v>1260</v>
      </c>
      <c r="C946" s="5" t="s">
        <v>1261</v>
      </c>
      <c r="D946" s="5" t="s">
        <v>50</v>
      </c>
      <c r="H946" s="5" t="s">
        <v>1188</v>
      </c>
      <c r="I946" s="5" t="s">
        <v>1255</v>
      </c>
      <c r="J946" s="5" t="s">
        <v>41</v>
      </c>
      <c r="K946" s="5" t="s">
        <v>42</v>
      </c>
      <c r="L946" s="5" t="s">
        <v>116</v>
      </c>
      <c r="M946" s="5" t="s">
        <v>117</v>
      </c>
      <c r="N946" s="11"/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2792754</v>
      </c>
      <c r="AG946" s="5" t="s">
        <v>55</v>
      </c>
      <c r="AH946" s="5" t="s">
        <v>46</v>
      </c>
    </row>
    <row r="947" spans="1:34" s="5" customFormat="1">
      <c r="A947" s="5" t="s">
        <v>47</v>
      </c>
      <c r="B947" s="5" t="s">
        <v>114</v>
      </c>
      <c r="C947" s="5" t="s">
        <v>115</v>
      </c>
      <c r="D947" s="5" t="s">
        <v>50</v>
      </c>
      <c r="H947" s="5" t="s">
        <v>51</v>
      </c>
      <c r="I947" s="5" t="s">
        <v>95</v>
      </c>
      <c r="J947" s="5" t="s">
        <v>41</v>
      </c>
      <c r="K947" s="5" t="s">
        <v>42</v>
      </c>
      <c r="L947" s="5" t="s">
        <v>116</v>
      </c>
      <c r="M947" s="5" t="s">
        <v>117</v>
      </c>
      <c r="N947" s="11"/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4012858</v>
      </c>
      <c r="AG947" s="5" t="s">
        <v>55</v>
      </c>
      <c r="AH947" s="5" t="s">
        <v>46</v>
      </c>
    </row>
    <row r="948" spans="1:34" s="5" customFormat="1">
      <c r="A948" s="5" t="s">
        <v>47</v>
      </c>
      <c r="B948" s="5" t="s">
        <v>313</v>
      </c>
      <c r="C948" s="5" t="s">
        <v>314</v>
      </c>
      <c r="D948" s="5" t="s">
        <v>50</v>
      </c>
      <c r="H948" s="5" t="s">
        <v>220</v>
      </c>
      <c r="I948" s="5" t="s">
        <v>292</v>
      </c>
      <c r="J948" s="5" t="s">
        <v>41</v>
      </c>
      <c r="K948" s="5" t="s">
        <v>42</v>
      </c>
      <c r="L948" s="5" t="s">
        <v>116</v>
      </c>
      <c r="M948" s="5" t="s">
        <v>117</v>
      </c>
      <c r="N948" s="11"/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1308559</v>
      </c>
      <c r="AG948" s="5" t="s">
        <v>55</v>
      </c>
      <c r="AH948" s="5" t="s">
        <v>46</v>
      </c>
    </row>
    <row r="949" spans="1:34" s="5" customFormat="1">
      <c r="A949" s="5" t="s">
        <v>47</v>
      </c>
      <c r="B949" s="5" t="s">
        <v>618</v>
      </c>
      <c r="C949" s="5" t="s">
        <v>619</v>
      </c>
      <c r="D949" s="5" t="s">
        <v>50</v>
      </c>
      <c r="H949" s="5" t="s">
        <v>585</v>
      </c>
      <c r="I949" s="5" t="s">
        <v>620</v>
      </c>
      <c r="J949" s="5" t="s">
        <v>41</v>
      </c>
      <c r="K949" s="5" t="s">
        <v>42</v>
      </c>
      <c r="L949" s="5" t="s">
        <v>116</v>
      </c>
      <c r="M949" s="5" t="s">
        <v>117</v>
      </c>
      <c r="N949" s="11"/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2789358</v>
      </c>
      <c r="AG949" s="5" t="s">
        <v>55</v>
      </c>
      <c r="AH949" s="5" t="s">
        <v>46</v>
      </c>
    </row>
    <row r="950" spans="1:34" s="5" customFormat="1">
      <c r="A950" s="5" t="s">
        <v>47</v>
      </c>
      <c r="B950" s="5" t="s">
        <v>741</v>
      </c>
      <c r="C950" s="5" t="s">
        <v>742</v>
      </c>
      <c r="D950" s="5" t="s">
        <v>50</v>
      </c>
      <c r="H950" s="5" t="s">
        <v>704</v>
      </c>
      <c r="I950" s="5" t="s">
        <v>734</v>
      </c>
      <c r="J950" s="5" t="s">
        <v>41</v>
      </c>
      <c r="K950" s="5" t="s">
        <v>42</v>
      </c>
      <c r="L950" s="5" t="s">
        <v>116</v>
      </c>
      <c r="M950" s="5" t="s">
        <v>117</v>
      </c>
      <c r="N950" s="11"/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2789358</v>
      </c>
      <c r="AG950" s="5" t="s">
        <v>55</v>
      </c>
      <c r="AH950" s="5" t="s">
        <v>46</v>
      </c>
    </row>
    <row r="951" spans="1:34" s="5" customFormat="1">
      <c r="A951" s="5" t="s">
        <v>47</v>
      </c>
      <c r="B951" s="5" t="s">
        <v>939</v>
      </c>
      <c r="C951" s="5" t="s">
        <v>940</v>
      </c>
      <c r="D951" s="5" t="s">
        <v>50</v>
      </c>
      <c r="H951" s="5" t="s">
        <v>903</v>
      </c>
      <c r="I951" s="5" t="s">
        <v>930</v>
      </c>
      <c r="J951" s="5" t="s">
        <v>41</v>
      </c>
      <c r="K951" s="5" t="s">
        <v>42</v>
      </c>
      <c r="L951" s="5" t="s">
        <v>116</v>
      </c>
      <c r="M951" s="5" t="s">
        <v>117</v>
      </c>
      <c r="N951" s="11"/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2792754</v>
      </c>
      <c r="AG951" s="5" t="s">
        <v>55</v>
      </c>
      <c r="AH951" s="5" t="s">
        <v>46</v>
      </c>
    </row>
    <row r="952" spans="1:34" s="5" customFormat="1">
      <c r="A952" s="5" t="s">
        <v>47</v>
      </c>
      <c r="B952" s="5" t="s">
        <v>1156</v>
      </c>
      <c r="C952" s="5" t="s">
        <v>1157</v>
      </c>
      <c r="D952" s="5" t="s">
        <v>50</v>
      </c>
      <c r="H952" s="5" t="s">
        <v>1123</v>
      </c>
      <c r="I952" s="5" t="s">
        <v>1151</v>
      </c>
      <c r="J952" s="5" t="s">
        <v>41</v>
      </c>
      <c r="K952" s="5" t="s">
        <v>42</v>
      </c>
      <c r="L952" s="5" t="s">
        <v>116</v>
      </c>
      <c r="M952" s="5" t="s">
        <v>117</v>
      </c>
      <c r="N952" s="11"/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4296699</v>
      </c>
      <c r="AG952" s="5" t="s">
        <v>55</v>
      </c>
      <c r="AH952" s="5" t="s">
        <v>46</v>
      </c>
    </row>
    <row r="953" spans="1:34" s="5" customFormat="1">
      <c r="A953" s="5" t="s">
        <v>47</v>
      </c>
      <c r="B953" s="5" t="s">
        <v>1313</v>
      </c>
      <c r="C953" s="5" t="s">
        <v>1314</v>
      </c>
      <c r="D953" s="5" t="s">
        <v>50</v>
      </c>
      <c r="H953" s="5" t="s">
        <v>1095</v>
      </c>
      <c r="I953" s="5" t="s">
        <v>1312</v>
      </c>
      <c r="J953" s="5" t="s">
        <v>41</v>
      </c>
      <c r="K953" s="5" t="s">
        <v>42</v>
      </c>
      <c r="L953" s="5" t="s">
        <v>116</v>
      </c>
      <c r="M953" s="5" t="s">
        <v>117</v>
      </c>
      <c r="N953" s="11"/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1410257</v>
      </c>
      <c r="AG953" s="5" t="s">
        <v>55</v>
      </c>
      <c r="AH953" s="5" t="s">
        <v>46</v>
      </c>
    </row>
    <row r="954" spans="1:34" s="5" customFormat="1">
      <c r="A954" s="5" t="s">
        <v>47</v>
      </c>
      <c r="B954" s="5" t="s">
        <v>1439</v>
      </c>
      <c r="C954" s="5" t="s">
        <v>1440</v>
      </c>
      <c r="D954" s="5" t="s">
        <v>50</v>
      </c>
      <c r="H954" s="5" t="s">
        <v>1413</v>
      </c>
      <c r="I954" s="5" t="s">
        <v>1441</v>
      </c>
      <c r="J954" s="5" t="s">
        <v>41</v>
      </c>
      <c r="K954" s="5" t="s">
        <v>42</v>
      </c>
      <c r="L954" s="5" t="s">
        <v>116</v>
      </c>
      <c r="M954" s="5" t="s">
        <v>117</v>
      </c>
      <c r="N954" s="11"/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1410257</v>
      </c>
      <c r="AG954" s="5" t="s">
        <v>55</v>
      </c>
      <c r="AH954" s="5" t="s">
        <v>46</v>
      </c>
    </row>
    <row r="955" spans="1:34" s="5" customFormat="1">
      <c r="A955" s="5" t="s">
        <v>47</v>
      </c>
      <c r="B955" s="5" t="s">
        <v>1493</v>
      </c>
      <c r="C955" s="5" t="s">
        <v>1494</v>
      </c>
      <c r="D955" s="5" t="s">
        <v>50</v>
      </c>
      <c r="H955" s="5" t="s">
        <v>687</v>
      </c>
      <c r="I955" s="5" t="s">
        <v>1472</v>
      </c>
      <c r="J955" s="5" t="s">
        <v>41</v>
      </c>
      <c r="K955" s="5" t="s">
        <v>42</v>
      </c>
      <c r="L955" s="5" t="s">
        <v>116</v>
      </c>
      <c r="M955" s="5" t="s">
        <v>117</v>
      </c>
      <c r="N955" s="11"/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2792754</v>
      </c>
      <c r="AG955" s="5" t="s">
        <v>55</v>
      </c>
      <c r="AH955" s="5" t="s">
        <v>46</v>
      </c>
    </row>
    <row r="956" spans="1:34" s="5" customFormat="1">
      <c r="A956" s="5" t="s">
        <v>47</v>
      </c>
      <c r="B956" s="5" t="s">
        <v>1672</v>
      </c>
      <c r="C956" s="5" t="s">
        <v>1673</v>
      </c>
      <c r="D956" s="5" t="s">
        <v>50</v>
      </c>
      <c r="H956" s="5" t="s">
        <v>1378</v>
      </c>
      <c r="I956" s="5" t="s">
        <v>1657</v>
      </c>
      <c r="J956" s="5" t="s">
        <v>41</v>
      </c>
      <c r="K956" s="5" t="s">
        <v>42</v>
      </c>
      <c r="L956" s="5" t="s">
        <v>116</v>
      </c>
      <c r="M956" s="5" t="s">
        <v>117</v>
      </c>
      <c r="N956" s="11"/>
      <c r="P956" s="11">
        <v>0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7903054</v>
      </c>
      <c r="AG956" s="5" t="s">
        <v>55</v>
      </c>
      <c r="AH956" s="5" t="s">
        <v>46</v>
      </c>
    </row>
    <row r="957" spans="1:34" s="5" customFormat="1">
      <c r="A957" s="5" t="s">
        <v>47</v>
      </c>
      <c r="B957" s="5" t="s">
        <v>1796</v>
      </c>
      <c r="C957" s="5" t="s">
        <v>1797</v>
      </c>
      <c r="D957" s="5" t="s">
        <v>50</v>
      </c>
      <c r="H957" s="5" t="s">
        <v>1762</v>
      </c>
      <c r="I957" s="5" t="s">
        <v>1787</v>
      </c>
      <c r="J957" s="5" t="s">
        <v>41</v>
      </c>
      <c r="K957" s="5" t="s">
        <v>42</v>
      </c>
      <c r="L957" s="5" t="s">
        <v>116</v>
      </c>
      <c r="M957" s="5" t="s">
        <v>117</v>
      </c>
      <c r="N957" s="11"/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3618964</v>
      </c>
      <c r="AG957" s="5" t="s">
        <v>55</v>
      </c>
      <c r="AH957" s="5" t="s">
        <v>46</v>
      </c>
    </row>
    <row r="958" spans="1:34" s="5" customFormat="1">
      <c r="A958" s="5" t="s">
        <v>225</v>
      </c>
      <c r="B958" s="5" t="s">
        <v>254</v>
      </c>
      <c r="C958" s="5" t="s">
        <v>255</v>
      </c>
      <c r="D958" s="5" t="s">
        <v>50</v>
      </c>
      <c r="H958" s="5" t="s">
        <v>220</v>
      </c>
      <c r="I958" s="5" t="s">
        <v>256</v>
      </c>
      <c r="J958" s="5" t="s">
        <v>41</v>
      </c>
      <c r="K958" s="5" t="s">
        <v>42</v>
      </c>
      <c r="L958" s="5" t="s">
        <v>91</v>
      </c>
      <c r="M958" s="5" t="s">
        <v>92</v>
      </c>
      <c r="N958" s="11"/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1176286</v>
      </c>
      <c r="AG958" s="5" t="s">
        <v>55</v>
      </c>
      <c r="AH958" s="5" t="s">
        <v>46</v>
      </c>
    </row>
    <row r="959" spans="1:34" s="5" customFormat="1">
      <c r="A959" s="5" t="s">
        <v>225</v>
      </c>
      <c r="B959" s="5" t="s">
        <v>1207</v>
      </c>
      <c r="C959" s="5" t="s">
        <v>1208</v>
      </c>
      <c r="D959" s="5" t="s">
        <v>50</v>
      </c>
      <c r="H959" s="5" t="s">
        <v>1188</v>
      </c>
      <c r="I959" s="5" t="s">
        <v>1200</v>
      </c>
      <c r="J959" s="5" t="s">
        <v>41</v>
      </c>
      <c r="K959" s="5" t="s">
        <v>42</v>
      </c>
      <c r="L959" s="5" t="s">
        <v>91</v>
      </c>
      <c r="M959" s="5" t="s">
        <v>92</v>
      </c>
      <c r="N959" s="11"/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1">
        <v>0</v>
      </c>
      <c r="AE959" s="11">
        <v>0</v>
      </c>
      <c r="AF959" s="11">
        <v>1248500</v>
      </c>
      <c r="AG959" s="5" t="s">
        <v>55</v>
      </c>
      <c r="AH959" s="5" t="s">
        <v>46</v>
      </c>
    </row>
    <row r="960" spans="1:34" s="5" customFormat="1">
      <c r="A960" s="5" t="s">
        <v>225</v>
      </c>
      <c r="B960" s="5" t="s">
        <v>1258</v>
      </c>
      <c r="C960" s="5" t="s">
        <v>1259</v>
      </c>
      <c r="D960" s="5" t="s">
        <v>50</v>
      </c>
      <c r="H960" s="5" t="s">
        <v>1188</v>
      </c>
      <c r="I960" s="5" t="s">
        <v>1255</v>
      </c>
      <c r="J960" s="5" t="s">
        <v>41</v>
      </c>
      <c r="K960" s="5" t="s">
        <v>42</v>
      </c>
      <c r="L960" s="5" t="s">
        <v>91</v>
      </c>
      <c r="M960" s="5" t="s">
        <v>92</v>
      </c>
      <c r="N960" s="11"/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1323500</v>
      </c>
      <c r="AG960" s="5" t="s">
        <v>55</v>
      </c>
      <c r="AH960" s="5" t="s">
        <v>46</v>
      </c>
    </row>
    <row r="961" spans="1:34" s="5" customFormat="1">
      <c r="A961" s="5" t="s">
        <v>47</v>
      </c>
      <c r="B961" s="5" t="s">
        <v>89</v>
      </c>
      <c r="C961" s="5" t="s">
        <v>90</v>
      </c>
      <c r="D961" s="5" t="s">
        <v>50</v>
      </c>
      <c r="H961" s="5" t="s">
        <v>51</v>
      </c>
      <c r="I961" s="5" t="s">
        <v>58</v>
      </c>
      <c r="J961" s="5" t="s">
        <v>41</v>
      </c>
      <c r="K961" s="5" t="s">
        <v>42</v>
      </c>
      <c r="L961" s="5" t="s">
        <v>91</v>
      </c>
      <c r="M961" s="5" t="s">
        <v>92</v>
      </c>
      <c r="N961" s="11"/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1332690</v>
      </c>
      <c r="AG961" s="5" t="s">
        <v>55</v>
      </c>
      <c r="AH961" s="5" t="s">
        <v>46</v>
      </c>
    </row>
    <row r="962" spans="1:34" s="5" customFormat="1">
      <c r="A962" s="5" t="s">
        <v>47</v>
      </c>
      <c r="B962" s="5" t="s">
        <v>299</v>
      </c>
      <c r="C962" s="5" t="s">
        <v>300</v>
      </c>
      <c r="D962" s="5" t="s">
        <v>50</v>
      </c>
      <c r="H962" s="5" t="s">
        <v>220</v>
      </c>
      <c r="I962" s="5" t="s">
        <v>292</v>
      </c>
      <c r="J962" s="5" t="s">
        <v>41</v>
      </c>
      <c r="K962" s="5" t="s">
        <v>42</v>
      </c>
      <c r="L962" s="5" t="s">
        <v>91</v>
      </c>
      <c r="M962" s="5" t="s">
        <v>92</v>
      </c>
      <c r="N962" s="11"/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545083</v>
      </c>
      <c r="AG962" s="5" t="s">
        <v>55</v>
      </c>
      <c r="AH962" s="5" t="s">
        <v>46</v>
      </c>
    </row>
    <row r="963" spans="1:34" s="5" customFormat="1">
      <c r="A963" s="5" t="s">
        <v>47</v>
      </c>
      <c r="B963" s="5" t="s">
        <v>623</v>
      </c>
      <c r="C963" s="5" t="s">
        <v>624</v>
      </c>
      <c r="D963" s="5" t="s">
        <v>50</v>
      </c>
      <c r="H963" s="5" t="s">
        <v>585</v>
      </c>
      <c r="I963" s="5" t="s">
        <v>620</v>
      </c>
      <c r="J963" s="5" t="s">
        <v>41</v>
      </c>
      <c r="K963" s="5" t="s">
        <v>42</v>
      </c>
      <c r="L963" s="5" t="s">
        <v>91</v>
      </c>
      <c r="M963" s="5" t="s">
        <v>92</v>
      </c>
      <c r="N963" s="11"/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1509620</v>
      </c>
      <c r="AG963" s="5" t="s">
        <v>55</v>
      </c>
      <c r="AH963" s="5" t="s">
        <v>46</v>
      </c>
    </row>
    <row r="964" spans="1:34" s="5" customFormat="1">
      <c r="A964" s="5" t="s">
        <v>47</v>
      </c>
      <c r="B964" s="5" t="s">
        <v>726</v>
      </c>
      <c r="C964" s="5" t="s">
        <v>727</v>
      </c>
      <c r="D964" s="5" t="s">
        <v>50</v>
      </c>
      <c r="H964" s="5" t="s">
        <v>704</v>
      </c>
      <c r="I964" s="5" t="s">
        <v>725</v>
      </c>
      <c r="J964" s="5" t="s">
        <v>41</v>
      </c>
      <c r="K964" s="5" t="s">
        <v>42</v>
      </c>
      <c r="L964" s="5" t="s">
        <v>91</v>
      </c>
      <c r="M964" s="5" t="s">
        <v>92</v>
      </c>
      <c r="N964" s="11"/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1550424</v>
      </c>
      <c r="AG964" s="5" t="s">
        <v>55</v>
      </c>
      <c r="AH964" s="5" t="s">
        <v>46</v>
      </c>
    </row>
    <row r="965" spans="1:34" s="5" customFormat="1">
      <c r="A965" s="5" t="s">
        <v>47</v>
      </c>
      <c r="B965" s="5" t="s">
        <v>931</v>
      </c>
      <c r="C965" s="5" t="s">
        <v>932</v>
      </c>
      <c r="D965" s="5" t="s">
        <v>50</v>
      </c>
      <c r="H965" s="5" t="s">
        <v>903</v>
      </c>
      <c r="I965" s="5" t="s">
        <v>930</v>
      </c>
      <c r="J965" s="5" t="s">
        <v>41</v>
      </c>
      <c r="K965" s="5" t="s">
        <v>42</v>
      </c>
      <c r="L965" s="5" t="s">
        <v>91</v>
      </c>
      <c r="M965" s="5" t="s">
        <v>92</v>
      </c>
      <c r="N965" s="11"/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1509620</v>
      </c>
      <c r="AG965" s="5" t="s">
        <v>55</v>
      </c>
      <c r="AH965" s="5" t="s">
        <v>46</v>
      </c>
    </row>
    <row r="966" spans="1:34" s="5" customFormat="1">
      <c r="A966" s="5" t="s">
        <v>47</v>
      </c>
      <c r="B966" s="5" t="s">
        <v>1147</v>
      </c>
      <c r="C966" s="5" t="s">
        <v>1148</v>
      </c>
      <c r="D966" s="5" t="s">
        <v>50</v>
      </c>
      <c r="H966" s="5" t="s">
        <v>1123</v>
      </c>
      <c r="I966" s="5" t="s">
        <v>1138</v>
      </c>
      <c r="J966" s="5" t="s">
        <v>41</v>
      </c>
      <c r="K966" s="5" t="s">
        <v>42</v>
      </c>
      <c r="L966" s="5" t="s">
        <v>91</v>
      </c>
      <c r="M966" s="5" t="s">
        <v>92</v>
      </c>
      <c r="N966" s="11"/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1423500</v>
      </c>
      <c r="AG966" s="5" t="s">
        <v>55</v>
      </c>
      <c r="AH966" s="5" t="s">
        <v>46</v>
      </c>
    </row>
    <row r="967" spans="1:34" s="5" customFormat="1">
      <c r="A967" s="5" t="s">
        <v>47</v>
      </c>
      <c r="B967" s="5" t="s">
        <v>1315</v>
      </c>
      <c r="C967" s="5" t="s">
        <v>1316</v>
      </c>
      <c r="D967" s="5" t="s">
        <v>50</v>
      </c>
      <c r="H967" s="5" t="s">
        <v>1095</v>
      </c>
      <c r="I967" s="5" t="s">
        <v>1312</v>
      </c>
      <c r="J967" s="5" t="s">
        <v>41</v>
      </c>
      <c r="K967" s="5" t="s">
        <v>42</v>
      </c>
      <c r="L967" s="5" t="s">
        <v>91</v>
      </c>
      <c r="M967" s="5" t="s">
        <v>92</v>
      </c>
      <c r="N967" s="11"/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611750</v>
      </c>
      <c r="AG967" s="5" t="s">
        <v>55</v>
      </c>
      <c r="AH967" s="5" t="s">
        <v>46</v>
      </c>
    </row>
    <row r="968" spans="1:34" s="5" customFormat="1">
      <c r="A968" s="5" t="s">
        <v>47</v>
      </c>
      <c r="B968" s="5" t="s">
        <v>1435</v>
      </c>
      <c r="C968" s="5" t="s">
        <v>1436</v>
      </c>
      <c r="D968" s="5" t="s">
        <v>50</v>
      </c>
      <c r="H968" s="5" t="s">
        <v>1413</v>
      </c>
      <c r="I968" s="5" t="s">
        <v>1434</v>
      </c>
      <c r="J968" s="5" t="s">
        <v>41</v>
      </c>
      <c r="K968" s="5" t="s">
        <v>42</v>
      </c>
      <c r="L968" s="5" t="s">
        <v>91</v>
      </c>
      <c r="M968" s="5" t="s">
        <v>92</v>
      </c>
      <c r="N968" s="11"/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711750</v>
      </c>
      <c r="AG968" s="5" t="s">
        <v>55</v>
      </c>
      <c r="AH968" s="5" t="s">
        <v>46</v>
      </c>
    </row>
    <row r="969" spans="1:34" s="5" customFormat="1">
      <c r="A969" s="5" t="s">
        <v>47</v>
      </c>
      <c r="B969" s="5" t="s">
        <v>1487</v>
      </c>
      <c r="C969" s="5" t="s">
        <v>1488</v>
      </c>
      <c r="D969" s="5" t="s">
        <v>50</v>
      </c>
      <c r="H969" s="5" t="s">
        <v>687</v>
      </c>
      <c r="I969" s="5" t="s">
        <v>1472</v>
      </c>
      <c r="J969" s="5" t="s">
        <v>41</v>
      </c>
      <c r="K969" s="5" t="s">
        <v>42</v>
      </c>
      <c r="L969" s="5" t="s">
        <v>91</v>
      </c>
      <c r="M969" s="5" t="s">
        <v>92</v>
      </c>
      <c r="N969" s="11"/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1423500</v>
      </c>
      <c r="AG969" s="5" t="s">
        <v>55</v>
      </c>
      <c r="AH969" s="5" t="s">
        <v>46</v>
      </c>
    </row>
    <row r="970" spans="1:34" s="5" customFormat="1">
      <c r="A970" s="5" t="s">
        <v>47</v>
      </c>
      <c r="B970" s="5" t="s">
        <v>1640</v>
      </c>
      <c r="C970" s="5" t="s">
        <v>1641</v>
      </c>
      <c r="D970" s="5" t="s">
        <v>50</v>
      </c>
      <c r="H970" s="5" t="s">
        <v>1378</v>
      </c>
      <c r="I970" s="5" t="s">
        <v>1642</v>
      </c>
      <c r="J970" s="5" t="s">
        <v>41</v>
      </c>
      <c r="K970" s="5" t="s">
        <v>42</v>
      </c>
      <c r="L970" s="5" t="s">
        <v>91</v>
      </c>
      <c r="M970" s="5" t="s">
        <v>92</v>
      </c>
      <c r="N970" s="11"/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237250</v>
      </c>
      <c r="AG970" s="5" t="s">
        <v>55</v>
      </c>
      <c r="AH970" s="5" t="s">
        <v>46</v>
      </c>
    </row>
    <row r="971" spans="1:34" s="5" customFormat="1">
      <c r="A971" s="5" t="s">
        <v>225</v>
      </c>
      <c r="B971" s="5" t="s">
        <v>267</v>
      </c>
      <c r="C971" s="5" t="s">
        <v>268</v>
      </c>
      <c r="D971" s="5" t="s">
        <v>50</v>
      </c>
      <c r="H971" s="5" t="s">
        <v>220</v>
      </c>
      <c r="I971" s="5" t="s">
        <v>256</v>
      </c>
      <c r="J971" s="5" t="s">
        <v>41</v>
      </c>
      <c r="K971" s="5" t="s">
        <v>42</v>
      </c>
      <c r="L971" s="5" t="s">
        <v>129</v>
      </c>
      <c r="M971" s="5" t="s">
        <v>130</v>
      </c>
      <c r="N971" s="11"/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1628786</v>
      </c>
      <c r="AG971" s="5" t="s">
        <v>55</v>
      </c>
      <c r="AH971" s="5" t="s">
        <v>46</v>
      </c>
    </row>
    <row r="972" spans="1:34" s="5" customFormat="1">
      <c r="A972" s="5" t="s">
        <v>225</v>
      </c>
      <c r="B972" s="5" t="s">
        <v>1222</v>
      </c>
      <c r="C972" s="5" t="s">
        <v>1223</v>
      </c>
      <c r="D972" s="5" t="s">
        <v>50</v>
      </c>
      <c r="H972" s="5" t="s">
        <v>1188</v>
      </c>
      <c r="I972" s="5" t="s">
        <v>1215</v>
      </c>
      <c r="J972" s="5" t="s">
        <v>41</v>
      </c>
      <c r="K972" s="5" t="s">
        <v>42</v>
      </c>
      <c r="L972" s="5" t="s">
        <v>129</v>
      </c>
      <c r="M972" s="5" t="s">
        <v>130</v>
      </c>
      <c r="N972" s="11"/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1702834</v>
      </c>
      <c r="AG972" s="5" t="s">
        <v>55</v>
      </c>
      <c r="AH972" s="5" t="s">
        <v>46</v>
      </c>
    </row>
    <row r="973" spans="1:34" s="5" customFormat="1">
      <c r="A973" s="5" t="s">
        <v>225</v>
      </c>
      <c r="B973" s="5" t="s">
        <v>1270</v>
      </c>
      <c r="C973" s="5" t="s">
        <v>1271</v>
      </c>
      <c r="D973" s="5" t="s">
        <v>50</v>
      </c>
      <c r="H973" s="5" t="s">
        <v>1188</v>
      </c>
      <c r="I973" s="5" t="s">
        <v>1272</v>
      </c>
      <c r="J973" s="5" t="s">
        <v>41</v>
      </c>
      <c r="K973" s="5" t="s">
        <v>42</v>
      </c>
      <c r="L973" s="5" t="s">
        <v>129</v>
      </c>
      <c r="M973" s="5" t="s">
        <v>130</v>
      </c>
      <c r="N973" s="11"/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0</v>
      </c>
      <c r="AE973" s="11">
        <v>0</v>
      </c>
      <c r="AF973" s="11">
        <v>1742355</v>
      </c>
      <c r="AG973" s="5" t="s">
        <v>55</v>
      </c>
      <c r="AH973" s="5" t="s">
        <v>46</v>
      </c>
    </row>
    <row r="974" spans="1:34" s="5" customFormat="1">
      <c r="A974" s="5" t="s">
        <v>47</v>
      </c>
      <c r="B974" s="5" t="s">
        <v>126</v>
      </c>
      <c r="C974" s="5" t="s">
        <v>127</v>
      </c>
      <c r="D974" s="5" t="s">
        <v>50</v>
      </c>
      <c r="H974" s="5" t="s">
        <v>51</v>
      </c>
      <c r="I974" s="5" t="s">
        <v>128</v>
      </c>
      <c r="J974" s="5" t="s">
        <v>41</v>
      </c>
      <c r="K974" s="5" t="s">
        <v>42</v>
      </c>
      <c r="L974" s="5" t="s">
        <v>129</v>
      </c>
      <c r="M974" s="5" t="s">
        <v>130</v>
      </c>
      <c r="N974" s="11"/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1940486</v>
      </c>
      <c r="AG974" s="5" t="s">
        <v>55</v>
      </c>
      <c r="AH974" s="5" t="s">
        <v>46</v>
      </c>
    </row>
    <row r="975" spans="1:34" s="5" customFormat="1">
      <c r="A975" s="5" t="s">
        <v>47</v>
      </c>
      <c r="B975" s="5" t="s">
        <v>293</v>
      </c>
      <c r="C975" s="5" t="s">
        <v>294</v>
      </c>
      <c r="D975" s="5" t="s">
        <v>50</v>
      </c>
      <c r="H975" s="5" t="s">
        <v>220</v>
      </c>
      <c r="I975" s="5" t="s">
        <v>292</v>
      </c>
      <c r="J975" s="5" t="s">
        <v>41</v>
      </c>
      <c r="K975" s="5" t="s">
        <v>42</v>
      </c>
      <c r="L975" s="5" t="s">
        <v>129</v>
      </c>
      <c r="M975" s="5" t="s">
        <v>130</v>
      </c>
      <c r="N975" s="11"/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777627</v>
      </c>
      <c r="AG975" s="5" t="s">
        <v>55</v>
      </c>
      <c r="AH975" s="5" t="s">
        <v>46</v>
      </c>
    </row>
    <row r="976" spans="1:34" s="5" customFormat="1">
      <c r="A976" s="5" t="s">
        <v>47</v>
      </c>
      <c r="B976" s="5" t="s">
        <v>633</v>
      </c>
      <c r="C976" s="5" t="s">
        <v>634</v>
      </c>
      <c r="D976" s="5" t="s">
        <v>50</v>
      </c>
      <c r="H976" s="5" t="s">
        <v>585</v>
      </c>
      <c r="I976" s="5" t="s">
        <v>620</v>
      </c>
      <c r="J976" s="5" t="s">
        <v>41</v>
      </c>
      <c r="K976" s="5" t="s">
        <v>42</v>
      </c>
      <c r="L976" s="5" t="s">
        <v>129</v>
      </c>
      <c r="M976" s="5" t="s">
        <v>130</v>
      </c>
      <c r="N976" s="11"/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0</v>
      </c>
      <c r="AF976" s="11">
        <v>1628786</v>
      </c>
      <c r="AG976" s="5" t="s">
        <v>55</v>
      </c>
      <c r="AH976" s="5" t="s">
        <v>46</v>
      </c>
    </row>
    <row r="977" spans="1:34" s="5" customFormat="1">
      <c r="A977" s="5" t="s">
        <v>47</v>
      </c>
      <c r="B977" s="5" t="s">
        <v>748</v>
      </c>
      <c r="C977" s="5" t="s">
        <v>749</v>
      </c>
      <c r="D977" s="5" t="s">
        <v>50</v>
      </c>
      <c r="H977" s="5" t="s">
        <v>704</v>
      </c>
      <c r="I977" s="5" t="s">
        <v>747</v>
      </c>
      <c r="J977" s="5" t="s">
        <v>41</v>
      </c>
      <c r="K977" s="5" t="s">
        <v>42</v>
      </c>
      <c r="L977" s="5" t="s">
        <v>129</v>
      </c>
      <c r="M977" s="5" t="s">
        <v>130</v>
      </c>
      <c r="N977" s="11"/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1780836</v>
      </c>
      <c r="AG977" s="5" t="s">
        <v>55</v>
      </c>
      <c r="AH977" s="5" t="s">
        <v>46</v>
      </c>
    </row>
    <row r="978" spans="1:34" s="5" customFormat="1">
      <c r="A978" s="5" t="s">
        <v>47</v>
      </c>
      <c r="B978" s="5" t="s">
        <v>950</v>
      </c>
      <c r="C978" s="5" t="s">
        <v>951</v>
      </c>
      <c r="D978" s="5" t="s">
        <v>50</v>
      </c>
      <c r="H978" s="5" t="s">
        <v>903</v>
      </c>
      <c r="I978" s="5" t="s">
        <v>943</v>
      </c>
      <c r="J978" s="5" t="s">
        <v>41</v>
      </c>
      <c r="K978" s="5" t="s">
        <v>42</v>
      </c>
      <c r="L978" s="5" t="s">
        <v>129</v>
      </c>
      <c r="M978" s="5" t="s">
        <v>130</v>
      </c>
      <c r="N978" s="11"/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1950800</v>
      </c>
      <c r="AG978" s="5" t="s">
        <v>55</v>
      </c>
      <c r="AH978" s="5" t="s">
        <v>46</v>
      </c>
    </row>
    <row r="979" spans="1:34" s="5" customFormat="1">
      <c r="A979" s="5" t="s">
        <v>47</v>
      </c>
      <c r="B979" s="5" t="s">
        <v>1152</v>
      </c>
      <c r="C979" s="5" t="s">
        <v>1153</v>
      </c>
      <c r="D979" s="5" t="s">
        <v>50</v>
      </c>
      <c r="H979" s="5" t="s">
        <v>1123</v>
      </c>
      <c r="I979" s="5" t="s">
        <v>1151</v>
      </c>
      <c r="J979" s="5" t="s">
        <v>41</v>
      </c>
      <c r="K979" s="5" t="s">
        <v>42</v>
      </c>
      <c r="L979" s="5" t="s">
        <v>129</v>
      </c>
      <c r="M979" s="5" t="s">
        <v>130</v>
      </c>
      <c r="N979" s="11"/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3105358</v>
      </c>
      <c r="AG979" s="5" t="s">
        <v>55</v>
      </c>
      <c r="AH979" s="5" t="s">
        <v>46</v>
      </c>
    </row>
    <row r="980" spans="1:34" s="5" customFormat="1">
      <c r="A980" s="5" t="s">
        <v>47</v>
      </c>
      <c r="B980" s="5" t="s">
        <v>1326</v>
      </c>
      <c r="C980" s="5" t="s">
        <v>1327</v>
      </c>
      <c r="D980" s="5" t="s">
        <v>50</v>
      </c>
      <c r="H980" s="5" t="s">
        <v>1095</v>
      </c>
      <c r="I980" s="5" t="s">
        <v>1323</v>
      </c>
      <c r="J980" s="5" t="s">
        <v>41</v>
      </c>
      <c r="K980" s="5" t="s">
        <v>42</v>
      </c>
      <c r="L980" s="5" t="s">
        <v>129</v>
      </c>
      <c r="M980" s="5" t="s">
        <v>130</v>
      </c>
      <c r="N980" s="11"/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779082</v>
      </c>
      <c r="AG980" s="5" t="s">
        <v>55</v>
      </c>
      <c r="AH980" s="5" t="s">
        <v>46</v>
      </c>
    </row>
    <row r="981" spans="1:34" s="5" customFormat="1">
      <c r="A981" s="5" t="s">
        <v>47</v>
      </c>
      <c r="B981" s="5" t="s">
        <v>1453</v>
      </c>
      <c r="C981" s="5" t="s">
        <v>1454</v>
      </c>
      <c r="D981" s="5" t="s">
        <v>50</v>
      </c>
      <c r="H981" s="5" t="s">
        <v>1413</v>
      </c>
      <c r="I981" s="5" t="s">
        <v>1450</v>
      </c>
      <c r="J981" s="5" t="s">
        <v>41</v>
      </c>
      <c r="K981" s="5" t="s">
        <v>42</v>
      </c>
      <c r="L981" s="5" t="s">
        <v>129</v>
      </c>
      <c r="M981" s="5" t="s">
        <v>130</v>
      </c>
      <c r="N981" s="11"/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822040</v>
      </c>
      <c r="AG981" s="5" t="s">
        <v>55</v>
      </c>
      <c r="AH981" s="5" t="s">
        <v>46</v>
      </c>
    </row>
    <row r="982" spans="1:34" s="5" customFormat="1">
      <c r="A982" s="5" t="s">
        <v>47</v>
      </c>
      <c r="B982" s="5" t="s">
        <v>1503</v>
      </c>
      <c r="C982" s="5" t="s">
        <v>1504</v>
      </c>
      <c r="D982" s="5" t="s">
        <v>50</v>
      </c>
      <c r="H982" s="5" t="s">
        <v>687</v>
      </c>
      <c r="I982" s="5" t="s">
        <v>1472</v>
      </c>
      <c r="J982" s="5" t="s">
        <v>41</v>
      </c>
      <c r="K982" s="5" t="s">
        <v>42</v>
      </c>
      <c r="L982" s="5" t="s">
        <v>129</v>
      </c>
      <c r="M982" s="5" t="s">
        <v>130</v>
      </c>
      <c r="N982" s="11"/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1631696</v>
      </c>
      <c r="AG982" s="5" t="s">
        <v>55</v>
      </c>
      <c r="AH982" s="5" t="s">
        <v>46</v>
      </c>
    </row>
    <row r="983" spans="1:34" s="5" customFormat="1">
      <c r="A983" s="5" t="s">
        <v>47</v>
      </c>
      <c r="B983" s="5" t="s">
        <v>1683</v>
      </c>
      <c r="C983" s="5" t="s">
        <v>1684</v>
      </c>
      <c r="D983" s="5" t="s">
        <v>50</v>
      </c>
      <c r="H983" s="5" t="s">
        <v>1378</v>
      </c>
      <c r="I983" s="5" t="s">
        <v>1678</v>
      </c>
      <c r="J983" s="5" t="s">
        <v>41</v>
      </c>
      <c r="K983" s="5" t="s">
        <v>42</v>
      </c>
      <c r="L983" s="5" t="s">
        <v>129</v>
      </c>
      <c r="M983" s="5" t="s">
        <v>130</v>
      </c>
      <c r="N983" s="11"/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4783137</v>
      </c>
      <c r="AG983" s="5" t="s">
        <v>55</v>
      </c>
      <c r="AH983" s="5" t="s">
        <v>46</v>
      </c>
    </row>
    <row r="984" spans="1:34" s="5" customFormat="1">
      <c r="A984" s="5" t="s">
        <v>47</v>
      </c>
      <c r="B984" s="5" t="s">
        <v>1807</v>
      </c>
      <c r="C984" s="5" t="s">
        <v>1808</v>
      </c>
      <c r="D984" s="5" t="s">
        <v>50</v>
      </c>
      <c r="H984" s="5" t="s">
        <v>1762</v>
      </c>
      <c r="I984" s="5" t="s">
        <v>1800</v>
      </c>
      <c r="J984" s="5" t="s">
        <v>41</v>
      </c>
      <c r="K984" s="5" t="s">
        <v>42</v>
      </c>
      <c r="L984" s="5" t="s">
        <v>129</v>
      </c>
      <c r="M984" s="5" t="s">
        <v>130</v>
      </c>
      <c r="N984" s="11"/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3124607</v>
      </c>
      <c r="AG984" s="5" t="s">
        <v>55</v>
      </c>
      <c r="AH984" s="5" t="s">
        <v>46</v>
      </c>
    </row>
    <row r="985" spans="1:34" s="5" customFormat="1">
      <c r="A985" s="5" t="s">
        <v>225</v>
      </c>
      <c r="B985" s="5" t="s">
        <v>240</v>
      </c>
      <c r="C985" s="5" t="s">
        <v>241</v>
      </c>
      <c r="D985" s="5" t="s">
        <v>50</v>
      </c>
      <c r="H985" s="5" t="s">
        <v>220</v>
      </c>
      <c r="I985" s="5" t="s">
        <v>231</v>
      </c>
      <c r="J985" s="5" t="s">
        <v>41</v>
      </c>
      <c r="K985" s="5" t="s">
        <v>42</v>
      </c>
      <c r="L985" s="5" t="s">
        <v>120</v>
      </c>
      <c r="M985" s="5" t="s">
        <v>121</v>
      </c>
      <c r="N985" s="11"/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1445263</v>
      </c>
      <c r="AG985" s="5" t="s">
        <v>55</v>
      </c>
      <c r="AH985" s="5" t="s">
        <v>46</v>
      </c>
    </row>
    <row r="986" spans="1:34" s="5" customFormat="1">
      <c r="A986" s="5" t="s">
        <v>225</v>
      </c>
      <c r="B986" s="5" t="s">
        <v>1220</v>
      </c>
      <c r="C986" s="5" t="s">
        <v>1221</v>
      </c>
      <c r="D986" s="5" t="s">
        <v>50</v>
      </c>
      <c r="H986" s="5" t="s">
        <v>1188</v>
      </c>
      <c r="I986" s="5" t="s">
        <v>1215</v>
      </c>
      <c r="J986" s="5" t="s">
        <v>41</v>
      </c>
      <c r="K986" s="5" t="s">
        <v>42</v>
      </c>
      <c r="L986" s="5" t="s">
        <v>120</v>
      </c>
      <c r="M986" s="5" t="s">
        <v>121</v>
      </c>
      <c r="N986" s="11"/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2352607</v>
      </c>
      <c r="AG986" s="5" t="s">
        <v>55</v>
      </c>
      <c r="AH986" s="5" t="s">
        <v>46</v>
      </c>
    </row>
    <row r="987" spans="1:34" s="5" customFormat="1">
      <c r="A987" s="5" t="s">
        <v>225</v>
      </c>
      <c r="B987" s="5" t="s">
        <v>1264</v>
      </c>
      <c r="C987" s="5" t="s">
        <v>1265</v>
      </c>
      <c r="D987" s="5" t="s">
        <v>50</v>
      </c>
      <c r="H987" s="5" t="s">
        <v>1188</v>
      </c>
      <c r="I987" s="5" t="s">
        <v>1255</v>
      </c>
      <c r="J987" s="5" t="s">
        <v>41</v>
      </c>
      <c r="K987" s="5" t="s">
        <v>42</v>
      </c>
      <c r="L987" s="5" t="s">
        <v>120</v>
      </c>
      <c r="M987" s="5" t="s">
        <v>121</v>
      </c>
      <c r="N987" s="11"/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1997416</v>
      </c>
      <c r="AG987" s="5" t="s">
        <v>55</v>
      </c>
      <c r="AH987" s="5" t="s">
        <v>46</v>
      </c>
    </row>
    <row r="988" spans="1:34" s="5" customFormat="1">
      <c r="A988" s="5" t="s">
        <v>47</v>
      </c>
      <c r="B988" s="5" t="s">
        <v>118</v>
      </c>
      <c r="C988" s="5" t="s">
        <v>119</v>
      </c>
      <c r="D988" s="5" t="s">
        <v>50</v>
      </c>
      <c r="H988" s="5" t="s">
        <v>51</v>
      </c>
      <c r="I988" s="5" t="s">
        <v>95</v>
      </c>
      <c r="J988" s="5" t="s">
        <v>41</v>
      </c>
      <c r="K988" s="5" t="s">
        <v>42</v>
      </c>
      <c r="L988" s="5" t="s">
        <v>120</v>
      </c>
      <c r="M988" s="5" t="s">
        <v>121</v>
      </c>
      <c r="N988" s="11"/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1993714</v>
      </c>
      <c r="AG988" s="5" t="s">
        <v>55</v>
      </c>
      <c r="AH988" s="5" t="s">
        <v>46</v>
      </c>
    </row>
    <row r="989" spans="1:34" s="5" customFormat="1">
      <c r="A989" s="5" t="s">
        <v>47</v>
      </c>
      <c r="B989" s="5" t="s">
        <v>309</v>
      </c>
      <c r="C989" s="5" t="s">
        <v>310</v>
      </c>
      <c r="D989" s="5" t="s">
        <v>50</v>
      </c>
      <c r="H989" s="5" t="s">
        <v>220</v>
      </c>
      <c r="I989" s="5" t="s">
        <v>292</v>
      </c>
      <c r="J989" s="5" t="s">
        <v>41</v>
      </c>
      <c r="K989" s="5" t="s">
        <v>42</v>
      </c>
      <c r="L989" s="5" t="s">
        <v>120</v>
      </c>
      <c r="M989" s="5" t="s">
        <v>121</v>
      </c>
      <c r="N989" s="11"/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454612</v>
      </c>
      <c r="AG989" s="5" t="s">
        <v>55</v>
      </c>
      <c r="AH989" s="5" t="s">
        <v>46</v>
      </c>
    </row>
    <row r="990" spans="1:34" s="5" customFormat="1">
      <c r="A990" s="5" t="s">
        <v>47</v>
      </c>
      <c r="B990" s="5" t="s">
        <v>616</v>
      </c>
      <c r="C990" s="5" t="s">
        <v>617</v>
      </c>
      <c r="D990" s="5" t="s">
        <v>50</v>
      </c>
      <c r="H990" s="5" t="s">
        <v>585</v>
      </c>
      <c r="I990" s="5" t="s">
        <v>591</v>
      </c>
      <c r="J990" s="5" t="s">
        <v>41</v>
      </c>
      <c r="K990" s="5" t="s">
        <v>42</v>
      </c>
      <c r="L990" s="5" t="s">
        <v>120</v>
      </c>
      <c r="M990" s="5" t="s">
        <v>121</v>
      </c>
      <c r="N990" s="11"/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2509555</v>
      </c>
      <c r="AG990" s="5" t="s">
        <v>55</v>
      </c>
      <c r="AH990" s="5" t="s">
        <v>46</v>
      </c>
    </row>
    <row r="991" spans="1:34" s="5" customFormat="1">
      <c r="A991" s="5" t="s">
        <v>47</v>
      </c>
      <c r="B991" s="5" t="s">
        <v>745</v>
      </c>
      <c r="C991" s="5" t="s">
        <v>746</v>
      </c>
      <c r="D991" s="5" t="s">
        <v>50</v>
      </c>
      <c r="H991" s="5" t="s">
        <v>704</v>
      </c>
      <c r="I991" s="5" t="s">
        <v>747</v>
      </c>
      <c r="J991" s="5" t="s">
        <v>41</v>
      </c>
      <c r="K991" s="5" t="s">
        <v>42</v>
      </c>
      <c r="L991" s="5" t="s">
        <v>120</v>
      </c>
      <c r="M991" s="5" t="s">
        <v>121</v>
      </c>
      <c r="N991" s="11"/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1993714</v>
      </c>
      <c r="AG991" s="5" t="s">
        <v>55</v>
      </c>
      <c r="AH991" s="5" t="s">
        <v>46</v>
      </c>
    </row>
    <row r="992" spans="1:34" s="5" customFormat="1">
      <c r="A992" s="5" t="s">
        <v>47</v>
      </c>
      <c r="B992" s="5" t="s">
        <v>944</v>
      </c>
      <c r="C992" s="5" t="s">
        <v>945</v>
      </c>
      <c r="D992" s="5" t="s">
        <v>50</v>
      </c>
      <c r="H992" s="5" t="s">
        <v>903</v>
      </c>
      <c r="I992" s="5" t="s">
        <v>943</v>
      </c>
      <c r="J992" s="5" t="s">
        <v>41</v>
      </c>
      <c r="K992" s="5" t="s">
        <v>42</v>
      </c>
      <c r="L992" s="5" t="s">
        <v>120</v>
      </c>
      <c r="M992" s="5" t="s">
        <v>121</v>
      </c>
      <c r="N992" s="11"/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2159875</v>
      </c>
      <c r="AG992" s="5" t="s">
        <v>55</v>
      </c>
      <c r="AH992" s="5" t="s">
        <v>46</v>
      </c>
    </row>
    <row r="993" spans="1:34" s="5" customFormat="1">
      <c r="A993" s="5" t="s">
        <v>47</v>
      </c>
      <c r="B993" s="5" t="s">
        <v>1160</v>
      </c>
      <c r="C993" s="5" t="s">
        <v>1161</v>
      </c>
      <c r="D993" s="5" t="s">
        <v>50</v>
      </c>
      <c r="H993" s="5" t="s">
        <v>1123</v>
      </c>
      <c r="I993" s="5" t="s">
        <v>1151</v>
      </c>
      <c r="J993" s="5" t="s">
        <v>41</v>
      </c>
      <c r="K993" s="5" t="s">
        <v>42</v>
      </c>
      <c r="L993" s="5" t="s">
        <v>120</v>
      </c>
      <c r="M993" s="5" t="s">
        <v>121</v>
      </c>
      <c r="N993" s="11"/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3140296</v>
      </c>
      <c r="AG993" s="5" t="s">
        <v>55</v>
      </c>
      <c r="AH993" s="5" t="s">
        <v>46</v>
      </c>
    </row>
    <row r="994" spans="1:34" s="5" customFormat="1">
      <c r="A994" s="5" t="s">
        <v>47</v>
      </c>
      <c r="B994" s="5" t="s">
        <v>1317</v>
      </c>
      <c r="C994" s="5" t="s">
        <v>1318</v>
      </c>
      <c r="D994" s="5" t="s">
        <v>50</v>
      </c>
      <c r="H994" s="5" t="s">
        <v>1095</v>
      </c>
      <c r="I994" s="5" t="s">
        <v>1312</v>
      </c>
      <c r="J994" s="5" t="s">
        <v>41</v>
      </c>
      <c r="K994" s="5" t="s">
        <v>42</v>
      </c>
      <c r="L994" s="5" t="s">
        <v>120</v>
      </c>
      <c r="M994" s="5" t="s">
        <v>121</v>
      </c>
      <c r="N994" s="11"/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994633</v>
      </c>
      <c r="AG994" s="5" t="s">
        <v>55</v>
      </c>
      <c r="AH994" s="5" t="s">
        <v>46</v>
      </c>
    </row>
    <row r="995" spans="1:34" s="5" customFormat="1">
      <c r="A995" s="5" t="s">
        <v>47</v>
      </c>
      <c r="B995" s="5" t="s">
        <v>1446</v>
      </c>
      <c r="C995" s="5" t="s">
        <v>1447</v>
      </c>
      <c r="D995" s="5" t="s">
        <v>50</v>
      </c>
      <c r="H995" s="5" t="s">
        <v>1413</v>
      </c>
      <c r="I995" s="5" t="s">
        <v>1441</v>
      </c>
      <c r="J995" s="5" t="s">
        <v>41</v>
      </c>
      <c r="K995" s="5" t="s">
        <v>42</v>
      </c>
      <c r="L995" s="5" t="s">
        <v>120</v>
      </c>
      <c r="M995" s="5" t="s">
        <v>121</v>
      </c>
      <c r="N995" s="11"/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994633</v>
      </c>
      <c r="AG995" s="5" t="s">
        <v>55</v>
      </c>
      <c r="AH995" s="5" t="s">
        <v>46</v>
      </c>
    </row>
    <row r="996" spans="1:34" s="5" customFormat="1">
      <c r="A996" s="5" t="s">
        <v>47</v>
      </c>
      <c r="B996" s="5" t="s">
        <v>1501</v>
      </c>
      <c r="C996" s="5" t="s">
        <v>1502</v>
      </c>
      <c r="D996" s="5" t="s">
        <v>50</v>
      </c>
      <c r="H996" s="5" t="s">
        <v>687</v>
      </c>
      <c r="I996" s="5" t="s">
        <v>1472</v>
      </c>
      <c r="J996" s="5" t="s">
        <v>41</v>
      </c>
      <c r="K996" s="5" t="s">
        <v>42</v>
      </c>
      <c r="L996" s="5" t="s">
        <v>120</v>
      </c>
      <c r="M996" s="5" t="s">
        <v>121</v>
      </c>
      <c r="N996" s="11"/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1997416</v>
      </c>
      <c r="AG996" s="5" t="s">
        <v>55</v>
      </c>
      <c r="AH996" s="5" t="s">
        <v>46</v>
      </c>
    </row>
    <row r="997" spans="1:34" s="5" customFormat="1">
      <c r="A997" s="5" t="s">
        <v>47</v>
      </c>
      <c r="B997" s="5" t="s">
        <v>1674</v>
      </c>
      <c r="C997" s="5" t="s">
        <v>1675</v>
      </c>
      <c r="D997" s="5" t="s">
        <v>50</v>
      </c>
      <c r="H997" s="5" t="s">
        <v>1378</v>
      </c>
      <c r="I997" s="5" t="s">
        <v>1657</v>
      </c>
      <c r="J997" s="5" t="s">
        <v>41</v>
      </c>
      <c r="K997" s="5" t="s">
        <v>42</v>
      </c>
      <c r="L997" s="5" t="s">
        <v>120</v>
      </c>
      <c r="M997" s="5" t="s">
        <v>121</v>
      </c>
      <c r="N997" s="11"/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6354873</v>
      </c>
      <c r="AG997" s="5" t="s">
        <v>55</v>
      </c>
      <c r="AH997" s="5" t="s">
        <v>46</v>
      </c>
    </row>
    <row r="998" spans="1:34" s="5" customFormat="1">
      <c r="A998" s="5" t="s">
        <v>47</v>
      </c>
      <c r="B998" s="5" t="s">
        <v>1798</v>
      </c>
      <c r="C998" s="5" t="s">
        <v>1799</v>
      </c>
      <c r="D998" s="5" t="s">
        <v>50</v>
      </c>
      <c r="H998" s="5" t="s">
        <v>1762</v>
      </c>
      <c r="I998" s="5" t="s">
        <v>1800</v>
      </c>
      <c r="J998" s="5" t="s">
        <v>41</v>
      </c>
      <c r="K998" s="5" t="s">
        <v>42</v>
      </c>
      <c r="L998" s="5" t="s">
        <v>120</v>
      </c>
      <c r="M998" s="5" t="s">
        <v>121</v>
      </c>
      <c r="N998" s="11"/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2956838</v>
      </c>
      <c r="AG998" s="5" t="s">
        <v>55</v>
      </c>
      <c r="AH998" s="5" t="s">
        <v>46</v>
      </c>
    </row>
    <row r="999" spans="1:34" s="5" customFormat="1">
      <c r="A999" s="5" t="s">
        <v>225</v>
      </c>
      <c r="B999" s="5" t="s">
        <v>1209</v>
      </c>
      <c r="C999" s="5" t="s">
        <v>1210</v>
      </c>
      <c r="D999" s="5" t="s">
        <v>50</v>
      </c>
      <c r="H999" s="5" t="s">
        <v>1188</v>
      </c>
      <c r="I999" s="5" t="s">
        <v>1200</v>
      </c>
      <c r="J999" s="5" t="s">
        <v>41</v>
      </c>
      <c r="K999" s="5" t="s">
        <v>42</v>
      </c>
      <c r="L999" s="5" t="s">
        <v>612</v>
      </c>
      <c r="M999" s="5" t="s">
        <v>613</v>
      </c>
      <c r="N999" s="11"/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1904956</v>
      </c>
      <c r="AG999" s="5" t="s">
        <v>55</v>
      </c>
      <c r="AH999" s="5" t="s">
        <v>46</v>
      </c>
    </row>
    <row r="1000" spans="1:34" s="5" customFormat="1">
      <c r="A1000" s="5" t="s">
        <v>225</v>
      </c>
      <c r="B1000" s="5" t="s">
        <v>1249</v>
      </c>
      <c r="C1000" s="5" t="s">
        <v>1250</v>
      </c>
      <c r="D1000" s="5" t="s">
        <v>50</v>
      </c>
      <c r="H1000" s="5" t="s">
        <v>1188</v>
      </c>
      <c r="I1000" s="5" t="s">
        <v>1236</v>
      </c>
      <c r="J1000" s="5" t="s">
        <v>41</v>
      </c>
      <c r="K1000" s="5" t="s">
        <v>42</v>
      </c>
      <c r="L1000" s="5" t="s">
        <v>612</v>
      </c>
      <c r="M1000" s="5" t="s">
        <v>613</v>
      </c>
      <c r="N1000" s="11"/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2519957</v>
      </c>
      <c r="AG1000" s="5" t="s">
        <v>55</v>
      </c>
      <c r="AH1000" s="5" t="s">
        <v>46</v>
      </c>
    </row>
    <row r="1001" spans="1:34" s="5" customFormat="1">
      <c r="A1001" s="5" t="s">
        <v>47</v>
      </c>
      <c r="B1001" s="5" t="s">
        <v>610</v>
      </c>
      <c r="C1001" s="5" t="s">
        <v>611</v>
      </c>
      <c r="D1001" s="5" t="s">
        <v>50</v>
      </c>
      <c r="H1001" s="5" t="s">
        <v>585</v>
      </c>
      <c r="I1001" s="5" t="s">
        <v>591</v>
      </c>
      <c r="J1001" s="5" t="s">
        <v>41</v>
      </c>
      <c r="K1001" s="5" t="s">
        <v>42</v>
      </c>
      <c r="L1001" s="5" t="s">
        <v>612</v>
      </c>
      <c r="M1001" s="5" t="s">
        <v>613</v>
      </c>
      <c r="N1001" s="11"/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0</v>
      </c>
      <c r="AE1001" s="11">
        <v>0</v>
      </c>
      <c r="AF1001" s="11">
        <v>1263964</v>
      </c>
      <c r="AG1001" s="5" t="s">
        <v>55</v>
      </c>
      <c r="AH1001" s="5" t="s">
        <v>46</v>
      </c>
    </row>
    <row r="1002" spans="1:34" s="5" customFormat="1">
      <c r="A1002" s="5" t="s">
        <v>47</v>
      </c>
      <c r="B1002" s="5" t="s">
        <v>728</v>
      </c>
      <c r="C1002" s="5" t="s">
        <v>729</v>
      </c>
      <c r="D1002" s="5" t="s">
        <v>50</v>
      </c>
      <c r="H1002" s="5" t="s">
        <v>704</v>
      </c>
      <c r="I1002" s="5" t="s">
        <v>725</v>
      </c>
      <c r="J1002" s="5" t="s">
        <v>41</v>
      </c>
      <c r="K1002" s="5" t="s">
        <v>42</v>
      </c>
      <c r="L1002" s="5" t="s">
        <v>612</v>
      </c>
      <c r="M1002" s="5" t="s">
        <v>613</v>
      </c>
      <c r="N1002" s="11"/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1668628</v>
      </c>
      <c r="AG1002" s="5" t="s">
        <v>55</v>
      </c>
      <c r="AH1002" s="5" t="s">
        <v>46</v>
      </c>
    </row>
    <row r="1003" spans="1:34" s="5" customFormat="1">
      <c r="A1003" s="5" t="s">
        <v>47</v>
      </c>
      <c r="B1003" s="5" t="s">
        <v>926</v>
      </c>
      <c r="C1003" s="5" t="s">
        <v>927</v>
      </c>
      <c r="D1003" s="5" t="s">
        <v>50</v>
      </c>
      <c r="H1003" s="5" t="s">
        <v>903</v>
      </c>
      <c r="I1003" s="5" t="s">
        <v>919</v>
      </c>
      <c r="J1003" s="5" t="s">
        <v>41</v>
      </c>
      <c r="K1003" s="5" t="s">
        <v>42</v>
      </c>
      <c r="L1003" s="5" t="s">
        <v>612</v>
      </c>
      <c r="M1003" s="5" t="s">
        <v>613</v>
      </c>
      <c r="N1003" s="11"/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1866434</v>
      </c>
      <c r="AG1003" s="5" t="s">
        <v>55</v>
      </c>
      <c r="AH1003" s="5" t="s">
        <v>46</v>
      </c>
    </row>
    <row r="1004" spans="1:34" s="5" customFormat="1">
      <c r="A1004" s="5" t="s">
        <v>47</v>
      </c>
      <c r="B1004" s="5" t="s">
        <v>1141</v>
      </c>
      <c r="C1004" s="5" t="s">
        <v>1142</v>
      </c>
      <c r="D1004" s="5" t="s">
        <v>50</v>
      </c>
      <c r="H1004" s="5" t="s">
        <v>1123</v>
      </c>
      <c r="I1004" s="5" t="s">
        <v>1138</v>
      </c>
      <c r="J1004" s="5" t="s">
        <v>41</v>
      </c>
      <c r="K1004" s="5" t="s">
        <v>42</v>
      </c>
      <c r="L1004" s="5" t="s">
        <v>612</v>
      </c>
      <c r="M1004" s="5" t="s">
        <v>613</v>
      </c>
      <c r="N1004" s="11"/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0</v>
      </c>
      <c r="AE1004" s="11">
        <v>0</v>
      </c>
      <c r="AF1004" s="11">
        <v>2825595</v>
      </c>
      <c r="AG1004" s="5" t="s">
        <v>55</v>
      </c>
      <c r="AH1004" s="5" t="s">
        <v>46</v>
      </c>
    </row>
    <row r="1005" spans="1:34" s="5" customFormat="1">
      <c r="A1005" s="5" t="s">
        <v>47</v>
      </c>
      <c r="B1005" s="5" t="s">
        <v>1308</v>
      </c>
      <c r="C1005" s="5" t="s">
        <v>1309</v>
      </c>
      <c r="D1005" s="5" t="s">
        <v>50</v>
      </c>
      <c r="H1005" s="5" t="s">
        <v>1095</v>
      </c>
      <c r="I1005" s="5" t="s">
        <v>1293</v>
      </c>
      <c r="J1005" s="5" t="s">
        <v>41</v>
      </c>
      <c r="K1005" s="5" t="s">
        <v>42</v>
      </c>
      <c r="L1005" s="5" t="s">
        <v>612</v>
      </c>
      <c r="M1005" s="5" t="s">
        <v>613</v>
      </c>
      <c r="N1005" s="11"/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1332478</v>
      </c>
      <c r="AG1005" s="5" t="s">
        <v>55</v>
      </c>
      <c r="AH1005" s="5" t="s">
        <v>46</v>
      </c>
    </row>
    <row r="1006" spans="1:34" s="5" customFormat="1">
      <c r="A1006" s="5" t="s">
        <v>47</v>
      </c>
      <c r="B1006" s="5" t="s">
        <v>1432</v>
      </c>
      <c r="C1006" s="5" t="s">
        <v>1433</v>
      </c>
      <c r="D1006" s="5" t="s">
        <v>50</v>
      </c>
      <c r="H1006" s="5" t="s">
        <v>1413</v>
      </c>
      <c r="I1006" s="5" t="s">
        <v>1434</v>
      </c>
      <c r="J1006" s="5" t="s">
        <v>41</v>
      </c>
      <c r="K1006" s="5" t="s">
        <v>42</v>
      </c>
      <c r="L1006" s="5" t="s">
        <v>612</v>
      </c>
      <c r="M1006" s="5" t="s">
        <v>613</v>
      </c>
      <c r="N1006" s="11"/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732478</v>
      </c>
      <c r="AG1006" s="5" t="s">
        <v>55</v>
      </c>
      <c r="AH1006" s="5" t="s">
        <v>46</v>
      </c>
    </row>
    <row r="1007" spans="1:34" s="5" customFormat="1">
      <c r="A1007" s="5" t="s">
        <v>47</v>
      </c>
      <c r="B1007" s="5" t="s">
        <v>1489</v>
      </c>
      <c r="C1007" s="5" t="s">
        <v>1490</v>
      </c>
      <c r="D1007" s="5" t="s">
        <v>50</v>
      </c>
      <c r="H1007" s="5" t="s">
        <v>687</v>
      </c>
      <c r="I1007" s="5" t="s">
        <v>1472</v>
      </c>
      <c r="J1007" s="5" t="s">
        <v>41</v>
      </c>
      <c r="K1007" s="5" t="s">
        <v>42</v>
      </c>
      <c r="L1007" s="5" t="s">
        <v>612</v>
      </c>
      <c r="M1007" s="5" t="s">
        <v>613</v>
      </c>
      <c r="N1007" s="11"/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1949955</v>
      </c>
      <c r="AG1007" s="5" t="s">
        <v>55</v>
      </c>
      <c r="AH1007" s="5" t="s">
        <v>46</v>
      </c>
    </row>
    <row r="1008" spans="1:34" s="5" customFormat="1">
      <c r="A1008" s="5" t="s">
        <v>47</v>
      </c>
      <c r="B1008" s="5" t="s">
        <v>1664</v>
      </c>
      <c r="C1008" s="5" t="s">
        <v>1665</v>
      </c>
      <c r="D1008" s="5" t="s">
        <v>50</v>
      </c>
      <c r="H1008" s="5" t="s">
        <v>1378</v>
      </c>
      <c r="I1008" s="5" t="s">
        <v>1657</v>
      </c>
      <c r="J1008" s="5" t="s">
        <v>41</v>
      </c>
      <c r="K1008" s="5" t="s">
        <v>42</v>
      </c>
      <c r="L1008" s="5" t="s">
        <v>612</v>
      </c>
      <c r="M1008" s="5" t="s">
        <v>613</v>
      </c>
      <c r="N1008" s="11"/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5569672</v>
      </c>
      <c r="AG1008" s="5" t="s">
        <v>55</v>
      </c>
      <c r="AH1008" s="5" t="s">
        <v>46</v>
      </c>
    </row>
    <row r="1009" spans="1:34" s="5" customFormat="1">
      <c r="A1009" s="5" t="s">
        <v>47</v>
      </c>
      <c r="B1009" s="5" t="s">
        <v>1788</v>
      </c>
      <c r="C1009" s="5" t="s">
        <v>1789</v>
      </c>
      <c r="D1009" s="5" t="s">
        <v>50</v>
      </c>
      <c r="H1009" s="5" t="s">
        <v>1762</v>
      </c>
      <c r="I1009" s="5" t="s">
        <v>1787</v>
      </c>
      <c r="J1009" s="5" t="s">
        <v>41</v>
      </c>
      <c r="K1009" s="5" t="s">
        <v>42</v>
      </c>
      <c r="L1009" s="5" t="s">
        <v>612</v>
      </c>
      <c r="M1009" s="5" t="s">
        <v>613</v>
      </c>
      <c r="N1009" s="11"/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2335879</v>
      </c>
      <c r="AG1009" s="5" t="s">
        <v>55</v>
      </c>
      <c r="AH1009" s="5" t="s">
        <v>46</v>
      </c>
    </row>
    <row r="1010" spans="1:34" s="5" customFormat="1">
      <c r="A1010" s="5" t="s">
        <v>225</v>
      </c>
      <c r="B1010" s="5" t="s">
        <v>265</v>
      </c>
      <c r="C1010" s="5" t="s">
        <v>266</v>
      </c>
      <c r="D1010" s="5" t="s">
        <v>50</v>
      </c>
      <c r="H1010" s="5" t="s">
        <v>220</v>
      </c>
      <c r="I1010" s="5" t="s">
        <v>256</v>
      </c>
      <c r="J1010" s="5" t="s">
        <v>41</v>
      </c>
      <c r="K1010" s="5" t="s">
        <v>42</v>
      </c>
      <c r="L1010" s="5" t="s">
        <v>133</v>
      </c>
      <c r="M1010" s="5" t="s">
        <v>134</v>
      </c>
      <c r="N1010" s="11"/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3939270</v>
      </c>
      <c r="AG1010" s="5" t="s">
        <v>55</v>
      </c>
      <c r="AH1010" s="5" t="s">
        <v>46</v>
      </c>
    </row>
    <row r="1011" spans="1:34" s="5" customFormat="1">
      <c r="A1011" s="5" t="s">
        <v>225</v>
      </c>
      <c r="B1011" s="5" t="s">
        <v>1224</v>
      </c>
      <c r="C1011" s="5" t="s">
        <v>1225</v>
      </c>
      <c r="D1011" s="5" t="s">
        <v>50</v>
      </c>
      <c r="H1011" s="5" t="s">
        <v>1188</v>
      </c>
      <c r="I1011" s="5" t="s">
        <v>1215</v>
      </c>
      <c r="J1011" s="5" t="s">
        <v>41</v>
      </c>
      <c r="K1011" s="5" t="s">
        <v>42</v>
      </c>
      <c r="L1011" s="5" t="s">
        <v>133</v>
      </c>
      <c r="M1011" s="5" t="s">
        <v>134</v>
      </c>
      <c r="N1011" s="11"/>
      <c r="P1011" s="11">
        <v>0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3745774</v>
      </c>
      <c r="AG1011" s="5" t="s">
        <v>55</v>
      </c>
      <c r="AH1011" s="5" t="s">
        <v>46</v>
      </c>
    </row>
    <row r="1012" spans="1:34" s="5" customFormat="1">
      <c r="A1012" s="5" t="s">
        <v>225</v>
      </c>
      <c r="B1012" s="5" t="s">
        <v>1273</v>
      </c>
      <c r="C1012" s="5" t="s">
        <v>1274</v>
      </c>
      <c r="D1012" s="5" t="s">
        <v>50</v>
      </c>
      <c r="H1012" s="5" t="s">
        <v>1188</v>
      </c>
      <c r="I1012" s="5" t="s">
        <v>1272</v>
      </c>
      <c r="J1012" s="5" t="s">
        <v>41</v>
      </c>
      <c r="K1012" s="5" t="s">
        <v>42</v>
      </c>
      <c r="L1012" s="5" t="s">
        <v>133</v>
      </c>
      <c r="M1012" s="5" t="s">
        <v>134</v>
      </c>
      <c r="N1012" s="11"/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3745774</v>
      </c>
      <c r="AG1012" s="5" t="s">
        <v>55</v>
      </c>
      <c r="AH1012" s="5" t="s">
        <v>46</v>
      </c>
    </row>
    <row r="1013" spans="1:34" s="5" customFormat="1">
      <c r="A1013" s="5" t="s">
        <v>47</v>
      </c>
      <c r="B1013" s="5" t="s">
        <v>131</v>
      </c>
      <c r="C1013" s="5" t="s">
        <v>132</v>
      </c>
      <c r="D1013" s="5" t="s">
        <v>50</v>
      </c>
      <c r="H1013" s="5" t="s">
        <v>51</v>
      </c>
      <c r="I1013" s="5" t="s">
        <v>128</v>
      </c>
      <c r="J1013" s="5" t="s">
        <v>41</v>
      </c>
      <c r="K1013" s="5" t="s">
        <v>42</v>
      </c>
      <c r="L1013" s="5" t="s">
        <v>133</v>
      </c>
      <c r="M1013" s="5" t="s">
        <v>134</v>
      </c>
      <c r="N1013" s="11"/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3939270</v>
      </c>
      <c r="AG1013" s="5" t="s">
        <v>55</v>
      </c>
      <c r="AH1013" s="5" t="s">
        <v>46</v>
      </c>
    </row>
    <row r="1014" spans="1:34" s="5" customFormat="1">
      <c r="A1014" s="5" t="s">
        <v>47</v>
      </c>
      <c r="B1014" s="5" t="s">
        <v>307</v>
      </c>
      <c r="C1014" s="5" t="s">
        <v>308</v>
      </c>
      <c r="D1014" s="5" t="s">
        <v>50</v>
      </c>
      <c r="H1014" s="5" t="s">
        <v>220</v>
      </c>
      <c r="I1014" s="5" t="s">
        <v>292</v>
      </c>
      <c r="J1014" s="5" t="s">
        <v>41</v>
      </c>
      <c r="K1014" s="5" t="s">
        <v>42</v>
      </c>
      <c r="L1014" s="5" t="s">
        <v>133</v>
      </c>
      <c r="M1014" s="5" t="s">
        <v>134</v>
      </c>
      <c r="N1014" s="11"/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1971645</v>
      </c>
      <c r="AG1014" s="5" t="s">
        <v>55</v>
      </c>
      <c r="AH1014" s="5" t="s">
        <v>46</v>
      </c>
    </row>
    <row r="1015" spans="1:34" s="5" customFormat="1">
      <c r="A1015" s="5" t="s">
        <v>47</v>
      </c>
      <c r="B1015" s="5" t="s">
        <v>629</v>
      </c>
      <c r="C1015" s="5" t="s">
        <v>630</v>
      </c>
      <c r="D1015" s="5" t="s">
        <v>50</v>
      </c>
      <c r="H1015" s="5" t="s">
        <v>585</v>
      </c>
      <c r="I1015" s="5" t="s">
        <v>620</v>
      </c>
      <c r="J1015" s="5" t="s">
        <v>41</v>
      </c>
      <c r="K1015" s="5" t="s">
        <v>42</v>
      </c>
      <c r="L1015" s="5" t="s">
        <v>133</v>
      </c>
      <c r="M1015" s="5" t="s">
        <v>134</v>
      </c>
      <c r="N1015" s="11"/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7779750</v>
      </c>
      <c r="AG1015" s="5" t="s">
        <v>55</v>
      </c>
      <c r="AH1015" s="5" t="s">
        <v>46</v>
      </c>
    </row>
    <row r="1016" spans="1:34" s="5" customFormat="1">
      <c r="A1016" s="5" t="s">
        <v>47</v>
      </c>
      <c r="B1016" s="5" t="s">
        <v>754</v>
      </c>
      <c r="C1016" s="5" t="s">
        <v>755</v>
      </c>
      <c r="D1016" s="5" t="s">
        <v>50</v>
      </c>
      <c r="H1016" s="5" t="s">
        <v>704</v>
      </c>
      <c r="I1016" s="5" t="s">
        <v>756</v>
      </c>
      <c r="J1016" s="5" t="s">
        <v>41</v>
      </c>
      <c r="K1016" s="5" t="s">
        <v>42</v>
      </c>
      <c r="L1016" s="5" t="s">
        <v>133</v>
      </c>
      <c r="M1016" s="5" t="s">
        <v>134</v>
      </c>
      <c r="N1016" s="11"/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3739270</v>
      </c>
      <c r="AG1016" s="5" t="s">
        <v>55</v>
      </c>
      <c r="AH1016" s="5" t="s">
        <v>46</v>
      </c>
    </row>
    <row r="1017" spans="1:34" s="5" customFormat="1">
      <c r="A1017" s="5" t="s">
        <v>47</v>
      </c>
      <c r="B1017" s="5" t="s">
        <v>948</v>
      </c>
      <c r="C1017" s="5" t="s">
        <v>949</v>
      </c>
      <c r="D1017" s="5" t="s">
        <v>50</v>
      </c>
      <c r="H1017" s="5" t="s">
        <v>903</v>
      </c>
      <c r="I1017" s="5" t="s">
        <v>943</v>
      </c>
      <c r="J1017" s="5" t="s">
        <v>41</v>
      </c>
      <c r="K1017" s="5" t="s">
        <v>42</v>
      </c>
      <c r="L1017" s="5" t="s">
        <v>133</v>
      </c>
      <c r="M1017" s="5" t="s">
        <v>134</v>
      </c>
      <c r="N1017" s="11"/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3745774</v>
      </c>
      <c r="AG1017" s="5" t="s">
        <v>55</v>
      </c>
      <c r="AH1017" s="5" t="s">
        <v>46</v>
      </c>
    </row>
    <row r="1018" spans="1:34" s="5" customFormat="1">
      <c r="A1018" s="5" t="s">
        <v>47</v>
      </c>
      <c r="B1018" s="5" t="s">
        <v>1165</v>
      </c>
      <c r="C1018" s="5" t="s">
        <v>1166</v>
      </c>
      <c r="D1018" s="5" t="s">
        <v>50</v>
      </c>
      <c r="H1018" s="5" t="s">
        <v>1123</v>
      </c>
      <c r="I1018" s="5" t="s">
        <v>1164</v>
      </c>
      <c r="J1018" s="5" t="s">
        <v>41</v>
      </c>
      <c r="K1018" s="5" t="s">
        <v>42</v>
      </c>
      <c r="L1018" s="5" t="s">
        <v>133</v>
      </c>
      <c r="M1018" s="5" t="s">
        <v>134</v>
      </c>
      <c r="N1018" s="11"/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5946024</v>
      </c>
      <c r="AG1018" s="5" t="s">
        <v>55</v>
      </c>
      <c r="AH1018" s="5" t="s">
        <v>46</v>
      </c>
    </row>
    <row r="1019" spans="1:34" s="5" customFormat="1">
      <c r="A1019" s="5" t="s">
        <v>47</v>
      </c>
      <c r="B1019" s="5" t="s">
        <v>1324</v>
      </c>
      <c r="C1019" s="5" t="s">
        <v>1325</v>
      </c>
      <c r="D1019" s="5" t="s">
        <v>50</v>
      </c>
      <c r="H1019" s="5" t="s">
        <v>1095</v>
      </c>
      <c r="I1019" s="5" t="s">
        <v>1323</v>
      </c>
      <c r="J1019" s="5" t="s">
        <v>41</v>
      </c>
      <c r="K1019" s="5" t="s">
        <v>42</v>
      </c>
      <c r="L1019" s="5" t="s">
        <v>133</v>
      </c>
      <c r="M1019" s="5" t="s">
        <v>134</v>
      </c>
      <c r="N1019" s="11"/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1974897</v>
      </c>
      <c r="AG1019" s="5" t="s">
        <v>55</v>
      </c>
      <c r="AH1019" s="5" t="s">
        <v>46</v>
      </c>
    </row>
    <row r="1020" spans="1:34" s="5" customFormat="1">
      <c r="A1020" s="5" t="s">
        <v>47</v>
      </c>
      <c r="B1020" s="5" t="s">
        <v>1451</v>
      </c>
      <c r="C1020" s="5" t="s">
        <v>1452</v>
      </c>
      <c r="D1020" s="5" t="s">
        <v>50</v>
      </c>
      <c r="H1020" s="5" t="s">
        <v>1413</v>
      </c>
      <c r="I1020" s="5" t="s">
        <v>1450</v>
      </c>
      <c r="J1020" s="5" t="s">
        <v>41</v>
      </c>
      <c r="K1020" s="5" t="s">
        <v>42</v>
      </c>
      <c r="L1020" s="5" t="s">
        <v>133</v>
      </c>
      <c r="M1020" s="5" t="s">
        <v>134</v>
      </c>
      <c r="N1020" s="11"/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1974897</v>
      </c>
      <c r="AG1020" s="5" t="s">
        <v>55</v>
      </c>
      <c r="AH1020" s="5" t="s">
        <v>46</v>
      </c>
    </row>
    <row r="1021" spans="1:34" s="5" customFormat="1">
      <c r="A1021" s="5" t="s">
        <v>47</v>
      </c>
      <c r="B1021" s="5" t="s">
        <v>1499</v>
      </c>
      <c r="C1021" s="5" t="s">
        <v>1500</v>
      </c>
      <c r="D1021" s="5" t="s">
        <v>50</v>
      </c>
      <c r="H1021" s="5" t="s">
        <v>687</v>
      </c>
      <c r="I1021" s="5" t="s">
        <v>1472</v>
      </c>
      <c r="J1021" s="5" t="s">
        <v>41</v>
      </c>
      <c r="K1021" s="5" t="s">
        <v>42</v>
      </c>
      <c r="L1021" s="5" t="s">
        <v>133</v>
      </c>
      <c r="M1021" s="5" t="s">
        <v>134</v>
      </c>
      <c r="N1021" s="11"/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3745774</v>
      </c>
      <c r="AG1021" s="5" t="s">
        <v>55</v>
      </c>
      <c r="AH1021" s="5" t="s">
        <v>46</v>
      </c>
    </row>
    <row r="1022" spans="1:34" s="5" customFormat="1">
      <c r="A1022" s="5" t="s">
        <v>47</v>
      </c>
      <c r="B1022" s="5" t="s">
        <v>1681</v>
      </c>
      <c r="C1022" s="5" t="s">
        <v>1682</v>
      </c>
      <c r="D1022" s="5" t="s">
        <v>50</v>
      </c>
      <c r="H1022" s="5" t="s">
        <v>1378</v>
      </c>
      <c r="I1022" s="5" t="s">
        <v>1678</v>
      </c>
      <c r="J1022" s="5" t="s">
        <v>41</v>
      </c>
      <c r="K1022" s="5" t="s">
        <v>42</v>
      </c>
      <c r="L1022" s="5" t="s">
        <v>133</v>
      </c>
      <c r="M1022" s="5" t="s">
        <v>134</v>
      </c>
      <c r="N1022" s="11"/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11580087</v>
      </c>
      <c r="AG1022" s="5" t="s">
        <v>55</v>
      </c>
      <c r="AH1022" s="5" t="s">
        <v>46</v>
      </c>
    </row>
    <row r="1023" spans="1:34" s="5" customFormat="1">
      <c r="A1023" s="5" t="s">
        <v>47</v>
      </c>
      <c r="B1023" s="5" t="s">
        <v>1805</v>
      </c>
      <c r="C1023" s="5" t="s">
        <v>1806</v>
      </c>
      <c r="D1023" s="5" t="s">
        <v>50</v>
      </c>
      <c r="H1023" s="5" t="s">
        <v>1762</v>
      </c>
      <c r="I1023" s="5" t="s">
        <v>1800</v>
      </c>
      <c r="J1023" s="5" t="s">
        <v>41</v>
      </c>
      <c r="K1023" s="5" t="s">
        <v>42</v>
      </c>
      <c r="L1023" s="5" t="s">
        <v>133</v>
      </c>
      <c r="M1023" s="5" t="s">
        <v>134</v>
      </c>
      <c r="N1023" s="11"/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5906044</v>
      </c>
      <c r="AG1023" s="5" t="s">
        <v>55</v>
      </c>
      <c r="AH1023" s="5" t="s">
        <v>46</v>
      </c>
    </row>
    <row r="1024" spans="1:34" s="5" customFormat="1">
      <c r="A1024" s="5" t="s">
        <v>225</v>
      </c>
      <c r="B1024" s="5" t="s">
        <v>226</v>
      </c>
      <c r="C1024" s="5" t="s">
        <v>227</v>
      </c>
      <c r="D1024" s="5" t="s">
        <v>50</v>
      </c>
      <c r="H1024" s="5" t="s">
        <v>220</v>
      </c>
      <c r="I1024" s="5" t="s">
        <v>228</v>
      </c>
      <c r="J1024" s="5" t="s">
        <v>41</v>
      </c>
      <c r="K1024" s="5" t="s">
        <v>42</v>
      </c>
      <c r="L1024" s="5" t="s">
        <v>96</v>
      </c>
      <c r="M1024" s="5" t="s">
        <v>97</v>
      </c>
      <c r="N1024" s="11"/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1569812</v>
      </c>
      <c r="AG1024" s="5" t="s">
        <v>55</v>
      </c>
      <c r="AH1024" s="5" t="s">
        <v>46</v>
      </c>
    </row>
    <row r="1025" spans="1:34" s="5" customFormat="1">
      <c r="A1025" s="5" t="s">
        <v>225</v>
      </c>
      <c r="B1025" s="5" t="s">
        <v>1203</v>
      </c>
      <c r="C1025" s="5" t="s">
        <v>1204</v>
      </c>
      <c r="D1025" s="5" t="s">
        <v>50</v>
      </c>
      <c r="H1025" s="5" t="s">
        <v>1188</v>
      </c>
      <c r="I1025" s="5" t="s">
        <v>1200</v>
      </c>
      <c r="J1025" s="5" t="s">
        <v>41</v>
      </c>
      <c r="K1025" s="5" t="s">
        <v>42</v>
      </c>
      <c r="L1025" s="5" t="s">
        <v>96</v>
      </c>
      <c r="M1025" s="5" t="s">
        <v>97</v>
      </c>
      <c r="N1025" s="11"/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2060786</v>
      </c>
      <c r="AG1025" s="5" t="s">
        <v>55</v>
      </c>
      <c r="AH1025" s="5" t="s">
        <v>46</v>
      </c>
    </row>
    <row r="1026" spans="1:34" s="5" customFormat="1">
      <c r="A1026" s="5" t="s">
        <v>225</v>
      </c>
      <c r="B1026" s="5" t="s">
        <v>1234</v>
      </c>
      <c r="C1026" s="5" t="s">
        <v>1235</v>
      </c>
      <c r="D1026" s="5" t="s">
        <v>50</v>
      </c>
      <c r="H1026" s="5" t="s">
        <v>1188</v>
      </c>
      <c r="I1026" s="5" t="s">
        <v>1236</v>
      </c>
      <c r="J1026" s="5" t="s">
        <v>41</v>
      </c>
      <c r="K1026" s="5" t="s">
        <v>42</v>
      </c>
      <c r="L1026" s="5" t="s">
        <v>96</v>
      </c>
      <c r="M1026" s="5" t="s">
        <v>97</v>
      </c>
      <c r="N1026" s="11"/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0</v>
      </c>
      <c r="AE1026" s="11">
        <v>0</v>
      </c>
      <c r="AF1026" s="11">
        <v>1573450</v>
      </c>
      <c r="AG1026" s="5" t="s">
        <v>55</v>
      </c>
      <c r="AH1026" s="5" t="s">
        <v>46</v>
      </c>
    </row>
    <row r="1027" spans="1:34" s="5" customFormat="1">
      <c r="A1027" s="5" t="s">
        <v>47</v>
      </c>
      <c r="B1027" s="5" t="s">
        <v>93</v>
      </c>
      <c r="C1027" s="5" t="s">
        <v>94</v>
      </c>
      <c r="D1027" s="5" t="s">
        <v>50</v>
      </c>
      <c r="H1027" s="5" t="s">
        <v>51</v>
      </c>
      <c r="I1027" s="5" t="s">
        <v>95</v>
      </c>
      <c r="J1027" s="5" t="s">
        <v>41</v>
      </c>
      <c r="K1027" s="5" t="s">
        <v>42</v>
      </c>
      <c r="L1027" s="5" t="s">
        <v>96</v>
      </c>
      <c r="M1027" s="5" t="s">
        <v>97</v>
      </c>
      <c r="N1027" s="11"/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1689286</v>
      </c>
      <c r="AG1027" s="5" t="s">
        <v>55</v>
      </c>
      <c r="AH1027" s="5" t="s">
        <v>46</v>
      </c>
    </row>
    <row r="1028" spans="1:34" s="5" customFormat="1">
      <c r="A1028" s="5" t="s">
        <v>47</v>
      </c>
      <c r="B1028" s="5" t="s">
        <v>301</v>
      </c>
      <c r="C1028" s="5" t="s">
        <v>302</v>
      </c>
      <c r="D1028" s="5" t="s">
        <v>50</v>
      </c>
      <c r="H1028" s="5" t="s">
        <v>220</v>
      </c>
      <c r="I1028" s="5" t="s">
        <v>292</v>
      </c>
      <c r="J1028" s="5" t="s">
        <v>41</v>
      </c>
      <c r="K1028" s="5" t="s">
        <v>42</v>
      </c>
      <c r="L1028" s="5" t="s">
        <v>96</v>
      </c>
      <c r="M1028" s="5" t="s">
        <v>97</v>
      </c>
      <c r="N1028" s="11"/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745855</v>
      </c>
      <c r="AG1028" s="5" t="s">
        <v>55</v>
      </c>
      <c r="AH1028" s="5" t="s">
        <v>46</v>
      </c>
    </row>
    <row r="1029" spans="1:34" s="5" customFormat="1">
      <c r="A1029" s="5" t="s">
        <v>47</v>
      </c>
      <c r="B1029" s="5" t="s">
        <v>604</v>
      </c>
      <c r="C1029" s="5" t="s">
        <v>605</v>
      </c>
      <c r="D1029" s="5" t="s">
        <v>50</v>
      </c>
      <c r="H1029" s="5" t="s">
        <v>585</v>
      </c>
      <c r="I1029" s="5" t="s">
        <v>591</v>
      </c>
      <c r="J1029" s="5" t="s">
        <v>41</v>
      </c>
      <c r="K1029" s="5" t="s">
        <v>42</v>
      </c>
      <c r="L1029" s="5" t="s">
        <v>96</v>
      </c>
      <c r="M1029" s="5" t="s">
        <v>97</v>
      </c>
      <c r="N1029" s="11"/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1569812</v>
      </c>
      <c r="AG1029" s="5" t="s">
        <v>55</v>
      </c>
      <c r="AH1029" s="5" t="s">
        <v>46</v>
      </c>
    </row>
    <row r="1030" spans="1:34" s="5" customFormat="1">
      <c r="A1030" s="5" t="s">
        <v>47</v>
      </c>
      <c r="B1030" s="5" t="s">
        <v>721</v>
      </c>
      <c r="C1030" s="5" t="s">
        <v>722</v>
      </c>
      <c r="D1030" s="5" t="s">
        <v>50</v>
      </c>
      <c r="H1030" s="5" t="s">
        <v>704</v>
      </c>
      <c r="I1030" s="5" t="s">
        <v>712</v>
      </c>
      <c r="J1030" s="5" t="s">
        <v>41</v>
      </c>
      <c r="K1030" s="5" t="s">
        <v>42</v>
      </c>
      <c r="L1030" s="5" t="s">
        <v>96</v>
      </c>
      <c r="M1030" s="5" t="s">
        <v>97</v>
      </c>
      <c r="N1030" s="11"/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1569812</v>
      </c>
      <c r="AG1030" s="5" t="s">
        <v>55</v>
      </c>
      <c r="AH1030" s="5" t="s">
        <v>46</v>
      </c>
    </row>
    <row r="1031" spans="1:34" s="5" customFormat="1">
      <c r="A1031" s="5" t="s">
        <v>47</v>
      </c>
      <c r="B1031" s="5" t="s">
        <v>917</v>
      </c>
      <c r="C1031" s="5" t="s">
        <v>918</v>
      </c>
      <c r="D1031" s="5" t="s">
        <v>50</v>
      </c>
      <c r="H1031" s="5" t="s">
        <v>903</v>
      </c>
      <c r="I1031" s="5" t="s">
        <v>919</v>
      </c>
      <c r="J1031" s="5" t="s">
        <v>41</v>
      </c>
      <c r="K1031" s="5" t="s">
        <v>42</v>
      </c>
      <c r="L1031" s="5" t="s">
        <v>96</v>
      </c>
      <c r="M1031" s="5" t="s">
        <v>97</v>
      </c>
      <c r="N1031" s="11"/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1642018</v>
      </c>
      <c r="AG1031" s="5" t="s">
        <v>55</v>
      </c>
      <c r="AH1031" s="5" t="s">
        <v>46</v>
      </c>
    </row>
    <row r="1032" spans="1:34" s="5" customFormat="1">
      <c r="A1032" s="5" t="s">
        <v>47</v>
      </c>
      <c r="B1032" s="5" t="s">
        <v>1134</v>
      </c>
      <c r="C1032" s="5" t="s">
        <v>1135</v>
      </c>
      <c r="D1032" s="5" t="s">
        <v>50</v>
      </c>
      <c r="H1032" s="5" t="s">
        <v>1123</v>
      </c>
      <c r="I1032" s="5" t="s">
        <v>1127</v>
      </c>
      <c r="J1032" s="5" t="s">
        <v>41</v>
      </c>
      <c r="K1032" s="5" t="s">
        <v>42</v>
      </c>
      <c r="L1032" s="5" t="s">
        <v>96</v>
      </c>
      <c r="M1032" s="5" t="s">
        <v>97</v>
      </c>
      <c r="N1032" s="11"/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  <c r="AE1032" s="11">
        <v>0</v>
      </c>
      <c r="AF1032" s="11">
        <v>2459956</v>
      </c>
      <c r="AG1032" s="5" t="s">
        <v>55</v>
      </c>
      <c r="AH1032" s="5" t="s">
        <v>46</v>
      </c>
    </row>
    <row r="1033" spans="1:34" s="5" customFormat="1">
      <c r="A1033" s="5" t="s">
        <v>47</v>
      </c>
      <c r="B1033" s="5" t="s">
        <v>1302</v>
      </c>
      <c r="C1033" s="5" t="s">
        <v>1303</v>
      </c>
      <c r="D1033" s="5" t="s">
        <v>50</v>
      </c>
      <c r="H1033" s="5" t="s">
        <v>1095</v>
      </c>
      <c r="I1033" s="5" t="s">
        <v>1293</v>
      </c>
      <c r="J1033" s="5" t="s">
        <v>41</v>
      </c>
      <c r="K1033" s="5" t="s">
        <v>42</v>
      </c>
      <c r="L1033" s="5" t="s">
        <v>96</v>
      </c>
      <c r="M1033" s="5" t="s">
        <v>97</v>
      </c>
      <c r="N1033" s="11"/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747674</v>
      </c>
      <c r="AG1033" s="5" t="s">
        <v>55</v>
      </c>
      <c r="AH1033" s="5" t="s">
        <v>46</v>
      </c>
    </row>
    <row r="1034" spans="1:34" s="5" customFormat="1">
      <c r="A1034" s="5" t="s">
        <v>47</v>
      </c>
      <c r="B1034" s="5" t="s">
        <v>1428</v>
      </c>
      <c r="C1034" s="5" t="s">
        <v>1429</v>
      </c>
      <c r="D1034" s="5" t="s">
        <v>50</v>
      </c>
      <c r="H1034" s="5" t="s">
        <v>1413</v>
      </c>
      <c r="I1034" s="5" t="s">
        <v>1423</v>
      </c>
      <c r="J1034" s="5" t="s">
        <v>41</v>
      </c>
      <c r="K1034" s="5" t="s">
        <v>42</v>
      </c>
      <c r="L1034" s="5" t="s">
        <v>96</v>
      </c>
      <c r="M1034" s="5" t="s">
        <v>97</v>
      </c>
      <c r="N1034" s="11"/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1509533</v>
      </c>
      <c r="AG1034" s="5" t="s">
        <v>55</v>
      </c>
      <c r="AH1034" s="5" t="s">
        <v>46</v>
      </c>
    </row>
    <row r="1035" spans="1:34" s="5" customFormat="1">
      <c r="A1035" s="5" t="s">
        <v>47</v>
      </c>
      <c r="B1035" s="5" t="s">
        <v>1485</v>
      </c>
      <c r="C1035" s="5" t="s">
        <v>1486</v>
      </c>
      <c r="D1035" s="5" t="s">
        <v>50</v>
      </c>
      <c r="H1035" s="5" t="s">
        <v>687</v>
      </c>
      <c r="I1035" s="5" t="s">
        <v>1472</v>
      </c>
      <c r="J1035" s="5" t="s">
        <v>41</v>
      </c>
      <c r="K1035" s="5" t="s">
        <v>42</v>
      </c>
      <c r="L1035" s="5" t="s">
        <v>96</v>
      </c>
      <c r="M1035" s="5" t="s">
        <v>97</v>
      </c>
      <c r="N1035" s="11"/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1573450</v>
      </c>
      <c r="AG1035" s="5" t="s">
        <v>55</v>
      </c>
      <c r="AH1035" s="5" t="s">
        <v>46</v>
      </c>
    </row>
    <row r="1036" spans="1:34" s="5" customFormat="1">
      <c r="A1036" s="5" t="s">
        <v>47</v>
      </c>
      <c r="B1036" s="5" t="s">
        <v>1655</v>
      </c>
      <c r="C1036" s="5" t="s">
        <v>1656</v>
      </c>
      <c r="D1036" s="5" t="s">
        <v>50</v>
      </c>
      <c r="H1036" s="5" t="s">
        <v>1378</v>
      </c>
      <c r="I1036" s="5" t="s">
        <v>1657</v>
      </c>
      <c r="J1036" s="5" t="s">
        <v>41</v>
      </c>
      <c r="K1036" s="5" t="s">
        <v>42</v>
      </c>
      <c r="L1036" s="5" t="s">
        <v>96</v>
      </c>
      <c r="M1036" s="5" t="s">
        <v>97</v>
      </c>
      <c r="N1036" s="11"/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4612238</v>
      </c>
      <c r="AG1036" s="5" t="s">
        <v>55</v>
      </c>
      <c r="AH1036" s="5" t="s">
        <v>46</v>
      </c>
    </row>
    <row r="1037" spans="1:34" s="5" customFormat="1">
      <c r="A1037" s="5" t="s">
        <v>47</v>
      </c>
      <c r="B1037" s="5" t="s">
        <v>1779</v>
      </c>
      <c r="C1037" s="5" t="s">
        <v>1780</v>
      </c>
      <c r="D1037" s="5" t="s">
        <v>50</v>
      </c>
      <c r="H1037" s="5" t="s">
        <v>1762</v>
      </c>
      <c r="I1037" s="5" t="s">
        <v>1774</v>
      </c>
      <c r="J1037" s="5" t="s">
        <v>41</v>
      </c>
      <c r="K1037" s="5" t="s">
        <v>42</v>
      </c>
      <c r="L1037" s="5" t="s">
        <v>96</v>
      </c>
      <c r="M1037" s="5" t="s">
        <v>97</v>
      </c>
      <c r="N1037" s="11"/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2648275</v>
      </c>
      <c r="AG1037" s="5" t="s">
        <v>55</v>
      </c>
      <c r="AH1037" s="5" t="s">
        <v>46</v>
      </c>
    </row>
    <row r="1038" spans="1:34" s="5" customFormat="1">
      <c r="N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</row>
    <row r="1039" spans="1:34" s="5" customFormat="1">
      <c r="N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</row>
  </sheetData>
  <sortState xmlns:xlrd2="http://schemas.microsoft.com/office/spreadsheetml/2017/richdata2" ref="A4:AI185">
    <sortCondition ref="C4:C1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3235-133B-4257-9189-4EDD1082A5A5}">
  <dimension ref="A1:F70"/>
  <sheetViews>
    <sheetView tabSelected="1" workbookViewId="0">
      <selection activeCell="B29" sqref="B29"/>
    </sheetView>
  </sheetViews>
  <sheetFormatPr baseColWidth="10" defaultRowHeight="15"/>
  <cols>
    <col min="2" max="2" width="80.140625" bestFit="1" customWidth="1"/>
    <col min="3" max="3" width="15.140625" style="16" bestFit="1" customWidth="1"/>
    <col min="4" max="4" width="14.140625" style="16" bestFit="1" customWidth="1"/>
    <col min="5" max="5" width="17.5703125" style="16" bestFit="1" customWidth="1"/>
    <col min="6" max="6" width="16.85546875" style="16" bestFit="1" customWidth="1"/>
  </cols>
  <sheetData>
    <row r="1" spans="1:6">
      <c r="A1" s="20" t="s">
        <v>3370</v>
      </c>
      <c r="B1" s="20" t="s">
        <v>3371</v>
      </c>
      <c r="C1" s="21" t="s">
        <v>3374</v>
      </c>
      <c r="D1" s="21" t="s">
        <v>3375</v>
      </c>
      <c r="E1" s="21" t="s">
        <v>3376</v>
      </c>
      <c r="F1" s="21" t="s">
        <v>3377</v>
      </c>
    </row>
    <row r="2" spans="1:6">
      <c r="A2" s="18" t="s">
        <v>2712</v>
      </c>
      <c r="B2" t="s">
        <v>2713</v>
      </c>
      <c r="C2" s="16">
        <v>8016</v>
      </c>
      <c r="D2" s="16">
        <v>1280</v>
      </c>
      <c r="E2" s="16">
        <v>6736</v>
      </c>
      <c r="F2" s="16">
        <v>0</v>
      </c>
    </row>
    <row r="3" spans="1:6">
      <c r="A3" s="18" t="s">
        <v>1920</v>
      </c>
      <c r="B3" t="s">
        <v>1921</v>
      </c>
      <c r="C3" s="16">
        <v>1430000</v>
      </c>
      <c r="D3" s="16">
        <v>0</v>
      </c>
      <c r="E3" s="16">
        <v>0</v>
      </c>
      <c r="F3" s="16">
        <v>1430000</v>
      </c>
    </row>
    <row r="4" spans="1:6">
      <c r="A4" s="18" t="s">
        <v>1941</v>
      </c>
      <c r="B4" t="s">
        <v>1942</v>
      </c>
      <c r="C4" s="16">
        <v>5939000</v>
      </c>
      <c r="D4" s="16">
        <v>0</v>
      </c>
      <c r="E4" s="16">
        <v>0</v>
      </c>
      <c r="F4" s="16">
        <v>5939000</v>
      </c>
    </row>
    <row r="5" spans="1:6">
      <c r="A5" s="18" t="s">
        <v>2483</v>
      </c>
      <c r="B5" t="s">
        <v>2484</v>
      </c>
      <c r="C5" s="16">
        <v>1270000</v>
      </c>
      <c r="D5" s="16">
        <v>0</v>
      </c>
      <c r="E5" s="16">
        <v>0</v>
      </c>
      <c r="F5" s="16">
        <v>1270000</v>
      </c>
    </row>
    <row r="6" spans="1:6">
      <c r="A6" s="18" t="s">
        <v>335</v>
      </c>
      <c r="B6" t="s">
        <v>336</v>
      </c>
      <c r="C6" s="16">
        <v>13250650</v>
      </c>
      <c r="D6" s="16">
        <v>2115650</v>
      </c>
      <c r="E6" s="16">
        <v>11135000</v>
      </c>
      <c r="F6" s="16">
        <v>0</v>
      </c>
    </row>
    <row r="7" spans="1:6">
      <c r="A7" s="18" t="s">
        <v>2857</v>
      </c>
      <c r="B7" t="s">
        <v>2858</v>
      </c>
      <c r="C7" s="16">
        <v>82253</v>
      </c>
      <c r="D7" s="16">
        <v>13133</v>
      </c>
      <c r="E7" s="16">
        <v>69120</v>
      </c>
      <c r="F7" s="16">
        <v>0</v>
      </c>
    </row>
    <row r="8" spans="1:6">
      <c r="A8" s="18" t="s">
        <v>195</v>
      </c>
      <c r="B8" t="s">
        <v>196</v>
      </c>
      <c r="C8" s="16">
        <v>6855652</v>
      </c>
      <c r="D8" s="16">
        <v>1094600</v>
      </c>
      <c r="E8" s="16">
        <v>5761052</v>
      </c>
      <c r="F8" s="16">
        <v>0</v>
      </c>
    </row>
    <row r="9" spans="1:6">
      <c r="A9" s="18" t="s">
        <v>3230</v>
      </c>
      <c r="B9" t="s">
        <v>3231</v>
      </c>
      <c r="C9" s="16">
        <v>65196</v>
      </c>
      <c r="D9" s="16">
        <v>10410</v>
      </c>
      <c r="E9" s="16">
        <v>54786</v>
      </c>
      <c r="F9" s="16">
        <v>0</v>
      </c>
    </row>
    <row r="10" spans="1:6">
      <c r="A10" s="18" t="s">
        <v>3106</v>
      </c>
      <c r="B10" t="s">
        <v>3107</v>
      </c>
      <c r="C10" s="16">
        <v>171300</v>
      </c>
      <c r="D10" s="16">
        <v>27350</v>
      </c>
      <c r="E10" s="16">
        <v>143950</v>
      </c>
      <c r="F10" s="16">
        <v>0</v>
      </c>
    </row>
    <row r="11" spans="1:6">
      <c r="A11" s="18" t="s">
        <v>1838</v>
      </c>
      <c r="B11" t="s">
        <v>1839</v>
      </c>
      <c r="C11" s="16">
        <v>5442757</v>
      </c>
      <c r="D11" s="16">
        <v>859919</v>
      </c>
      <c r="E11" s="16">
        <v>4525887</v>
      </c>
      <c r="F11" s="16">
        <v>56951</v>
      </c>
    </row>
    <row r="12" spans="1:6">
      <c r="A12" s="18" t="s">
        <v>382</v>
      </c>
      <c r="B12" t="s">
        <v>383</v>
      </c>
      <c r="C12" s="16">
        <v>5349050</v>
      </c>
      <c r="D12" s="16">
        <v>854050</v>
      </c>
      <c r="E12" s="16">
        <v>4495000</v>
      </c>
      <c r="F12" s="16">
        <v>0</v>
      </c>
    </row>
    <row r="13" spans="1:6">
      <c r="A13" s="18" t="s">
        <v>2508</v>
      </c>
      <c r="B13" t="s">
        <v>2509</v>
      </c>
      <c r="C13" s="16">
        <v>27000</v>
      </c>
      <c r="D13" s="16">
        <v>4311</v>
      </c>
      <c r="E13" s="16">
        <v>22689</v>
      </c>
      <c r="F13" s="16">
        <v>0</v>
      </c>
    </row>
    <row r="14" spans="1:6">
      <c r="A14" s="18" t="s">
        <v>1929</v>
      </c>
      <c r="B14" t="s">
        <v>1930</v>
      </c>
      <c r="C14" s="16">
        <v>2899900</v>
      </c>
      <c r="D14" s="16">
        <v>0</v>
      </c>
      <c r="E14" s="16">
        <v>0</v>
      </c>
      <c r="F14" s="16">
        <v>2899900</v>
      </c>
    </row>
    <row r="15" spans="1:6">
      <c r="A15" s="18" t="s">
        <v>365</v>
      </c>
      <c r="B15" t="s">
        <v>366</v>
      </c>
      <c r="C15" s="16">
        <v>0</v>
      </c>
      <c r="D15" s="16">
        <v>0</v>
      </c>
      <c r="E15" s="16">
        <v>0</v>
      </c>
      <c r="F15" s="16">
        <v>0</v>
      </c>
    </row>
    <row r="16" spans="1:6">
      <c r="A16" s="18" t="s">
        <v>2791</v>
      </c>
      <c r="B16" t="s">
        <v>2792</v>
      </c>
      <c r="C16" s="16">
        <v>9482327</v>
      </c>
      <c r="D16" s="16">
        <v>0</v>
      </c>
      <c r="E16" s="16">
        <v>0</v>
      </c>
      <c r="F16" s="16">
        <v>9482327</v>
      </c>
    </row>
    <row r="17" spans="1:6">
      <c r="A17" s="18" t="s">
        <v>2874</v>
      </c>
      <c r="B17" t="s">
        <v>2875</v>
      </c>
      <c r="C17" s="16">
        <v>37900</v>
      </c>
      <c r="D17" s="16">
        <v>6051</v>
      </c>
      <c r="E17" s="16">
        <v>31849</v>
      </c>
      <c r="F17" s="16">
        <v>0</v>
      </c>
    </row>
    <row r="18" spans="1:6">
      <c r="A18" s="18" t="s">
        <v>2849</v>
      </c>
      <c r="B18" t="s">
        <v>2896</v>
      </c>
      <c r="C18" s="16">
        <v>138072</v>
      </c>
      <c r="D18" s="16">
        <v>22045</v>
      </c>
      <c r="E18" s="16">
        <v>116027</v>
      </c>
      <c r="F18" s="16">
        <v>0</v>
      </c>
    </row>
    <row r="19" spans="1:6">
      <c r="A19" s="18" t="s">
        <v>2690</v>
      </c>
      <c r="B19" t="s">
        <v>2691</v>
      </c>
      <c r="C19" s="16">
        <v>1749300</v>
      </c>
      <c r="D19" s="16">
        <v>279300</v>
      </c>
      <c r="E19" s="16">
        <v>1470000</v>
      </c>
      <c r="F19" s="16">
        <v>0</v>
      </c>
    </row>
    <row r="20" spans="1:6">
      <c r="A20" s="18" t="s">
        <v>2371</v>
      </c>
      <c r="B20" t="s">
        <v>2372</v>
      </c>
      <c r="C20" s="16">
        <v>636150</v>
      </c>
      <c r="D20" s="16">
        <v>94194</v>
      </c>
      <c r="E20" s="16">
        <v>495760</v>
      </c>
      <c r="F20" s="16">
        <v>46196</v>
      </c>
    </row>
    <row r="21" spans="1:6">
      <c r="A21" s="18" t="s">
        <v>2802</v>
      </c>
      <c r="B21" t="s">
        <v>2803</v>
      </c>
      <c r="C21" s="16">
        <v>57500</v>
      </c>
      <c r="D21" s="16">
        <v>9181</v>
      </c>
      <c r="E21" s="16">
        <v>48319</v>
      </c>
      <c r="F21" s="16">
        <v>0</v>
      </c>
    </row>
    <row r="22" spans="1:6">
      <c r="A22" s="18" t="s">
        <v>393</v>
      </c>
      <c r="B22" t="s">
        <v>394</v>
      </c>
      <c r="C22" s="16">
        <v>5422354</v>
      </c>
      <c r="D22" s="16">
        <v>865754</v>
      </c>
      <c r="E22" s="16">
        <v>4556600</v>
      </c>
      <c r="F22" s="16">
        <v>0</v>
      </c>
    </row>
    <row r="23" spans="1:6">
      <c r="A23" s="18" t="s">
        <v>372</v>
      </c>
      <c r="B23" t="s">
        <v>373</v>
      </c>
      <c r="C23" s="16">
        <v>0</v>
      </c>
      <c r="D23" s="16">
        <v>0</v>
      </c>
      <c r="E23" s="16">
        <v>0</v>
      </c>
      <c r="F23" s="16">
        <v>0</v>
      </c>
    </row>
    <row r="24" spans="1:6">
      <c r="A24" s="18" t="s">
        <v>1868</v>
      </c>
      <c r="B24" t="s">
        <v>1869</v>
      </c>
      <c r="C24" s="16">
        <v>5931589</v>
      </c>
      <c r="D24" s="16">
        <v>674470</v>
      </c>
      <c r="E24" s="16">
        <v>3549842</v>
      </c>
      <c r="F24" s="16">
        <v>1707277</v>
      </c>
    </row>
    <row r="25" spans="1:6">
      <c r="A25" s="18" t="s">
        <v>2972</v>
      </c>
      <c r="B25" t="s">
        <v>2973</v>
      </c>
      <c r="C25" s="16">
        <v>51100</v>
      </c>
      <c r="D25" s="16">
        <v>8159</v>
      </c>
      <c r="E25" s="16">
        <v>42941</v>
      </c>
      <c r="F25" s="16">
        <v>0</v>
      </c>
    </row>
    <row r="26" spans="1:6">
      <c r="A26" s="18" t="s">
        <v>3350</v>
      </c>
      <c r="B26" t="s">
        <v>3351</v>
      </c>
      <c r="C26" s="16">
        <v>551156</v>
      </c>
      <c r="D26" s="16">
        <v>88000</v>
      </c>
      <c r="E26" s="16">
        <v>463156</v>
      </c>
      <c r="F26" s="16">
        <v>0</v>
      </c>
    </row>
    <row r="27" spans="1:6">
      <c r="A27" s="18" t="s">
        <v>2921</v>
      </c>
      <c r="B27" t="s">
        <v>2922</v>
      </c>
      <c r="C27" s="16">
        <v>5384036</v>
      </c>
      <c r="D27" s="16">
        <v>709105</v>
      </c>
      <c r="E27" s="16">
        <v>3732132</v>
      </c>
      <c r="F27" s="16">
        <v>942799</v>
      </c>
    </row>
    <row r="28" spans="1:6">
      <c r="A28" s="18" t="s">
        <v>43</v>
      </c>
      <c r="B28" t="s">
        <v>1873</v>
      </c>
      <c r="C28" s="16">
        <v>456090</v>
      </c>
      <c r="D28" s="16">
        <v>72821</v>
      </c>
      <c r="E28" s="16">
        <v>383269</v>
      </c>
      <c r="F28" s="16">
        <v>0</v>
      </c>
    </row>
    <row r="29" spans="1:6">
      <c r="A29" s="18" t="s">
        <v>3093</v>
      </c>
      <c r="B29" t="s">
        <v>3094</v>
      </c>
      <c r="C29" s="16">
        <v>5364520</v>
      </c>
      <c r="D29" s="16">
        <v>856520</v>
      </c>
      <c r="E29" s="16">
        <v>4508000</v>
      </c>
      <c r="F29" s="16">
        <v>0</v>
      </c>
    </row>
    <row r="30" spans="1:6">
      <c r="A30" s="18" t="s">
        <v>389</v>
      </c>
      <c r="B30" t="s">
        <v>390</v>
      </c>
      <c r="C30" s="16">
        <v>8809288</v>
      </c>
      <c r="D30" s="16">
        <v>1406525</v>
      </c>
      <c r="E30" s="16">
        <v>7402763</v>
      </c>
      <c r="F30" s="16">
        <v>0</v>
      </c>
    </row>
    <row r="31" spans="1:6">
      <c r="A31" s="18" t="s">
        <v>1989</v>
      </c>
      <c r="B31" t="s">
        <v>1990</v>
      </c>
      <c r="C31" s="16">
        <v>130500</v>
      </c>
      <c r="D31" s="16">
        <v>20836</v>
      </c>
      <c r="E31" s="16">
        <v>109664</v>
      </c>
      <c r="F31" s="16">
        <v>0</v>
      </c>
    </row>
    <row r="32" spans="1:6">
      <c r="A32" s="18" t="s">
        <v>2432</v>
      </c>
      <c r="B32" t="s">
        <v>2433</v>
      </c>
      <c r="C32" s="16">
        <v>1284550</v>
      </c>
      <c r="D32" s="16">
        <v>205096</v>
      </c>
      <c r="E32" s="16">
        <v>1079454</v>
      </c>
      <c r="F32" s="16">
        <v>0</v>
      </c>
    </row>
    <row r="33" spans="1:6">
      <c r="A33" s="18" t="s">
        <v>3025</v>
      </c>
      <c r="B33" t="s">
        <v>3026</v>
      </c>
      <c r="C33" s="16">
        <v>2175003</v>
      </c>
      <c r="D33" s="16">
        <v>344460</v>
      </c>
      <c r="E33" s="16">
        <v>1812947</v>
      </c>
      <c r="F33" s="16">
        <v>17596</v>
      </c>
    </row>
    <row r="34" spans="1:6">
      <c r="A34" s="18" t="s">
        <v>2073</v>
      </c>
      <c r="B34" t="s">
        <v>2074</v>
      </c>
      <c r="C34" s="16">
        <v>8187200</v>
      </c>
      <c r="D34" s="16">
        <v>1307200</v>
      </c>
      <c r="E34" s="16">
        <v>6880000</v>
      </c>
      <c r="F34" s="16">
        <v>0</v>
      </c>
    </row>
    <row r="35" spans="1:6">
      <c r="A35" s="18" t="s">
        <v>2821</v>
      </c>
      <c r="B35" t="s">
        <v>2822</v>
      </c>
      <c r="C35" s="16">
        <v>28000</v>
      </c>
      <c r="D35" s="16">
        <v>0</v>
      </c>
      <c r="E35" s="16">
        <v>0</v>
      </c>
      <c r="F35" s="16">
        <v>28000</v>
      </c>
    </row>
    <row r="36" spans="1:6">
      <c r="A36" s="18" t="s">
        <v>2422</v>
      </c>
      <c r="B36" t="s">
        <v>2423</v>
      </c>
      <c r="C36" s="16">
        <v>472000</v>
      </c>
      <c r="D36" s="16">
        <v>0</v>
      </c>
      <c r="E36" s="16">
        <v>0</v>
      </c>
      <c r="F36" s="16">
        <v>472000</v>
      </c>
    </row>
    <row r="37" spans="1:6">
      <c r="A37" s="18" t="s">
        <v>2022</v>
      </c>
      <c r="B37" t="s">
        <v>2023</v>
      </c>
      <c r="C37" s="16">
        <v>2230300</v>
      </c>
      <c r="D37" s="16">
        <v>0</v>
      </c>
      <c r="E37" s="16">
        <v>0</v>
      </c>
      <c r="F37" s="16">
        <v>2230300</v>
      </c>
    </row>
    <row r="38" spans="1:6">
      <c r="A38" s="18" t="s">
        <v>1947</v>
      </c>
      <c r="B38" t="s">
        <v>1948</v>
      </c>
      <c r="C38" s="16">
        <v>626178</v>
      </c>
      <c r="D38" s="16">
        <v>99978</v>
      </c>
      <c r="E38" s="16">
        <v>526200</v>
      </c>
      <c r="F38" s="16">
        <v>0</v>
      </c>
    </row>
    <row r="39" spans="1:6">
      <c r="A39" s="18" t="s">
        <v>2514</v>
      </c>
      <c r="B39" t="s">
        <v>2515</v>
      </c>
      <c r="C39" s="16">
        <v>52300</v>
      </c>
      <c r="D39" s="16">
        <v>8350</v>
      </c>
      <c r="E39" s="16">
        <v>43950</v>
      </c>
      <c r="F39" s="16">
        <v>0</v>
      </c>
    </row>
    <row r="40" spans="1:6">
      <c r="A40" s="18" t="s">
        <v>3243</v>
      </c>
      <c r="B40" t="s">
        <v>3244</v>
      </c>
      <c r="C40" s="16">
        <v>1829595</v>
      </c>
      <c r="D40" s="16">
        <v>273900</v>
      </c>
      <c r="E40" s="16">
        <v>1441579</v>
      </c>
      <c r="F40" s="16">
        <v>114116</v>
      </c>
    </row>
    <row r="41" spans="1:6">
      <c r="A41" s="18" t="s">
        <v>1883</v>
      </c>
      <c r="B41" t="s">
        <v>1884</v>
      </c>
      <c r="C41" s="16">
        <v>6388013</v>
      </c>
      <c r="D41" s="16">
        <v>1019935</v>
      </c>
      <c r="E41" s="16">
        <v>5368078</v>
      </c>
      <c r="F41" s="16">
        <v>0</v>
      </c>
    </row>
    <row r="42" spans="1:6">
      <c r="A42" s="18" t="s">
        <v>3256</v>
      </c>
      <c r="B42" t="s">
        <v>3257</v>
      </c>
      <c r="C42" s="16">
        <v>303450</v>
      </c>
      <c r="D42" s="16">
        <v>48450</v>
      </c>
      <c r="E42" s="16">
        <v>255000</v>
      </c>
      <c r="F42" s="16">
        <v>0</v>
      </c>
    </row>
    <row r="43" spans="1:6">
      <c r="A43" s="18" t="s">
        <v>3078</v>
      </c>
      <c r="B43" t="s">
        <v>3079</v>
      </c>
      <c r="C43" s="16">
        <v>6776920</v>
      </c>
      <c r="D43" s="16">
        <v>1082029</v>
      </c>
      <c r="E43" s="16">
        <v>5694891</v>
      </c>
      <c r="F43" s="16">
        <v>0</v>
      </c>
    </row>
    <row r="44" spans="1:6">
      <c r="A44" s="18" t="s">
        <v>2842</v>
      </c>
      <c r="B44" t="s">
        <v>2843</v>
      </c>
      <c r="C44" s="16">
        <v>253420</v>
      </c>
      <c r="D44" s="16">
        <v>31904</v>
      </c>
      <c r="E44" s="16">
        <v>167916</v>
      </c>
      <c r="F44" s="16">
        <v>53600</v>
      </c>
    </row>
    <row r="45" spans="1:6">
      <c r="A45" s="18" t="s">
        <v>395</v>
      </c>
      <c r="B45" t="s">
        <v>396</v>
      </c>
      <c r="C45" s="16">
        <v>1036490</v>
      </c>
      <c r="D45" s="16">
        <v>165490</v>
      </c>
      <c r="E45" s="16">
        <v>871000</v>
      </c>
      <c r="F45" s="16">
        <v>0</v>
      </c>
    </row>
    <row r="46" spans="1:6">
      <c r="A46" s="18" t="s">
        <v>2887</v>
      </c>
      <c r="B46" t="s">
        <v>2888</v>
      </c>
      <c r="C46" s="16">
        <v>14000</v>
      </c>
      <c r="D46" s="16">
        <v>0</v>
      </c>
      <c r="E46" s="16">
        <v>0</v>
      </c>
      <c r="F46" s="16">
        <v>14000</v>
      </c>
    </row>
    <row r="47" spans="1:6">
      <c r="A47" s="18" t="s">
        <v>2587</v>
      </c>
      <c r="B47" t="s">
        <v>2680</v>
      </c>
      <c r="C47" s="16">
        <v>1749300</v>
      </c>
      <c r="D47" s="16">
        <v>279300</v>
      </c>
      <c r="E47" s="16">
        <v>1470000</v>
      </c>
      <c r="F47" s="16">
        <v>0</v>
      </c>
    </row>
    <row r="48" spans="1:6">
      <c r="A48" s="18" t="s">
        <v>2412</v>
      </c>
      <c r="B48" t="s">
        <v>2413</v>
      </c>
      <c r="C48" s="16">
        <v>598000</v>
      </c>
      <c r="D48" s="16">
        <v>15647</v>
      </c>
      <c r="E48" s="16">
        <v>82353</v>
      </c>
      <c r="F48" s="16">
        <v>500000</v>
      </c>
    </row>
    <row r="49" spans="1:6">
      <c r="A49" s="18" t="s">
        <v>216</v>
      </c>
      <c r="B49" t="s">
        <v>217</v>
      </c>
      <c r="C49" s="16">
        <v>7361340</v>
      </c>
      <c r="D49" s="16">
        <v>1175340</v>
      </c>
      <c r="E49" s="16">
        <v>6186000</v>
      </c>
      <c r="F49" s="16">
        <v>0</v>
      </c>
    </row>
    <row r="50" spans="1:6">
      <c r="A50" s="18" t="s">
        <v>2520</v>
      </c>
      <c r="B50" t="s">
        <v>2521</v>
      </c>
      <c r="C50" s="16">
        <v>405719</v>
      </c>
      <c r="D50" s="16">
        <v>64779</v>
      </c>
      <c r="E50" s="16">
        <v>340940</v>
      </c>
      <c r="F50" s="16">
        <v>0</v>
      </c>
    </row>
    <row r="51" spans="1:6">
      <c r="A51" s="18" t="s">
        <v>1814</v>
      </c>
      <c r="B51" t="s">
        <v>1815</v>
      </c>
      <c r="C51" s="16">
        <v>79653007</v>
      </c>
      <c r="D51" s="16">
        <v>12717707</v>
      </c>
      <c r="E51" s="16">
        <v>66935300</v>
      </c>
      <c r="F51" s="16">
        <v>0</v>
      </c>
    </row>
    <row r="52" spans="1:6">
      <c r="A52" s="18" t="s">
        <v>2826</v>
      </c>
      <c r="B52" t="s">
        <v>2827</v>
      </c>
      <c r="C52" s="16">
        <v>114835</v>
      </c>
      <c r="D52" s="16">
        <v>18335</v>
      </c>
      <c r="E52" s="16">
        <v>96500</v>
      </c>
      <c r="F52" s="16">
        <v>0</v>
      </c>
    </row>
    <row r="53" spans="1:6">
      <c r="A53" s="18" t="s">
        <v>384</v>
      </c>
      <c r="B53" t="s">
        <v>385</v>
      </c>
      <c r="C53" s="16">
        <v>190400</v>
      </c>
      <c r="D53" s="16">
        <v>30400</v>
      </c>
      <c r="E53" s="16">
        <v>160000</v>
      </c>
      <c r="F53" s="16">
        <v>0</v>
      </c>
    </row>
    <row r="54" spans="1:6">
      <c r="A54" s="18" t="s">
        <v>391</v>
      </c>
      <c r="B54" t="s">
        <v>392</v>
      </c>
      <c r="C54" s="16">
        <v>524000</v>
      </c>
      <c r="D54" s="16">
        <v>0</v>
      </c>
      <c r="E54" s="16">
        <v>0</v>
      </c>
      <c r="F54" s="16">
        <v>524000</v>
      </c>
    </row>
    <row r="55" spans="1:6">
      <c r="A55" s="18" t="s">
        <v>198</v>
      </c>
      <c r="B55" t="s">
        <v>199</v>
      </c>
      <c r="C55" s="16">
        <v>2245000</v>
      </c>
      <c r="D55" s="16">
        <v>95000</v>
      </c>
      <c r="E55" s="16">
        <v>500000</v>
      </c>
      <c r="F55" s="16">
        <v>1650000</v>
      </c>
    </row>
    <row r="56" spans="1:6">
      <c r="A56" s="18" t="s">
        <v>2642</v>
      </c>
      <c r="B56" t="s">
        <v>2643</v>
      </c>
      <c r="C56" s="16">
        <v>161939651</v>
      </c>
      <c r="D56" s="16">
        <v>25855911</v>
      </c>
      <c r="E56" s="16">
        <v>136083740</v>
      </c>
      <c r="F56" s="16">
        <v>0</v>
      </c>
    </row>
    <row r="57" spans="1:6">
      <c r="A57" s="18" t="s">
        <v>2835</v>
      </c>
      <c r="B57" t="s">
        <v>2836</v>
      </c>
      <c r="C57" s="16">
        <v>145000</v>
      </c>
      <c r="D57" s="16">
        <v>23151</v>
      </c>
      <c r="E57" s="16">
        <v>121849</v>
      </c>
      <c r="F57" s="16">
        <v>0</v>
      </c>
    </row>
    <row r="58" spans="1:6">
      <c r="A58" s="18" t="s">
        <v>2809</v>
      </c>
      <c r="B58" t="s">
        <v>2810</v>
      </c>
      <c r="C58" s="16">
        <v>419000</v>
      </c>
      <c r="D58" s="16">
        <v>66899</v>
      </c>
      <c r="E58" s="16">
        <v>352101</v>
      </c>
      <c r="F58" s="16">
        <v>0</v>
      </c>
    </row>
    <row r="59" spans="1:6">
      <c r="A59" s="18" t="s">
        <v>1846</v>
      </c>
      <c r="B59" t="s">
        <v>1847</v>
      </c>
      <c r="C59" s="16">
        <v>319000</v>
      </c>
      <c r="D59" s="16">
        <v>50933</v>
      </c>
      <c r="E59" s="16">
        <v>268067</v>
      </c>
      <c r="F59" s="16">
        <v>0</v>
      </c>
    </row>
    <row r="60" spans="1:6">
      <c r="A60" s="18" t="s">
        <v>1877</v>
      </c>
      <c r="B60" t="s">
        <v>1878</v>
      </c>
      <c r="C60" s="16">
        <v>162400</v>
      </c>
      <c r="D60" s="16">
        <v>25929</v>
      </c>
      <c r="E60" s="16">
        <v>136471</v>
      </c>
      <c r="F60" s="16">
        <v>0</v>
      </c>
    </row>
    <row r="61" spans="1:6">
      <c r="A61" s="18" t="s">
        <v>2038</v>
      </c>
      <c r="B61" t="s">
        <v>2039</v>
      </c>
      <c r="C61" s="16">
        <v>178000</v>
      </c>
      <c r="D61" s="16">
        <v>28420</v>
      </c>
      <c r="E61" s="16">
        <v>149580</v>
      </c>
      <c r="F61" s="16">
        <v>0</v>
      </c>
    </row>
    <row r="62" spans="1:6">
      <c r="A62" s="18" t="s">
        <v>3341</v>
      </c>
      <c r="B62" t="s">
        <v>3342</v>
      </c>
      <c r="C62" s="16">
        <v>3548104</v>
      </c>
      <c r="D62" s="16">
        <v>566504</v>
      </c>
      <c r="E62" s="16">
        <v>2981600</v>
      </c>
      <c r="F62" s="16">
        <v>0</v>
      </c>
    </row>
    <row r="63" spans="1:6">
      <c r="A63" s="18" t="s">
        <v>1958</v>
      </c>
      <c r="B63" t="s">
        <v>1959</v>
      </c>
      <c r="C63" s="16">
        <v>312832757</v>
      </c>
      <c r="D63" s="16">
        <v>49948087</v>
      </c>
      <c r="E63" s="16">
        <v>262884670</v>
      </c>
      <c r="F63" s="16">
        <v>0</v>
      </c>
    </row>
    <row r="64" spans="1:6">
      <c r="A64" s="18" t="s">
        <v>386</v>
      </c>
      <c r="B64" t="s">
        <v>387</v>
      </c>
      <c r="C64" s="16">
        <v>555385</v>
      </c>
      <c r="D64" s="16">
        <v>0</v>
      </c>
      <c r="E64" s="16">
        <v>0</v>
      </c>
      <c r="F64" s="16">
        <v>555385</v>
      </c>
    </row>
    <row r="65" spans="1:6">
      <c r="A65" s="18" t="s">
        <v>1964</v>
      </c>
      <c r="B65" t="s">
        <v>1965</v>
      </c>
      <c r="C65" s="16">
        <v>84939927</v>
      </c>
      <c r="D65" s="16">
        <v>13561837</v>
      </c>
      <c r="E65" s="16">
        <v>71378090</v>
      </c>
      <c r="F65" s="16">
        <v>0</v>
      </c>
    </row>
    <row r="66" spans="1:6">
      <c r="A66" s="18" t="s">
        <v>2633</v>
      </c>
      <c r="B66" t="s">
        <v>2634</v>
      </c>
      <c r="C66" s="16">
        <v>64305969</v>
      </c>
      <c r="D66" s="16">
        <v>10267340</v>
      </c>
      <c r="E66" s="16">
        <v>54038629</v>
      </c>
      <c r="F66" s="16">
        <v>0</v>
      </c>
    </row>
    <row r="67" spans="1:6">
      <c r="A67" s="18" t="s">
        <v>2459</v>
      </c>
      <c r="B67" t="s">
        <v>2460</v>
      </c>
      <c r="C67" s="16">
        <v>439999</v>
      </c>
      <c r="D67" s="16">
        <v>63865</v>
      </c>
      <c r="E67" s="16">
        <v>336134</v>
      </c>
      <c r="F67" s="16">
        <v>40000</v>
      </c>
    </row>
    <row r="68" spans="1:6">
      <c r="A68" s="18" t="s">
        <v>2477</v>
      </c>
      <c r="B68" t="s">
        <v>2478</v>
      </c>
      <c r="C68" s="16">
        <v>229000</v>
      </c>
      <c r="D68" s="16">
        <v>36563</v>
      </c>
      <c r="E68" s="16">
        <v>192437</v>
      </c>
      <c r="F68" s="16">
        <v>0</v>
      </c>
    </row>
    <row r="69" spans="1:6">
      <c r="A69" s="18" t="s">
        <v>1852</v>
      </c>
      <c r="B69" t="s">
        <v>1853</v>
      </c>
      <c r="C69" s="16">
        <v>725011</v>
      </c>
      <c r="D69" s="16">
        <v>115758</v>
      </c>
      <c r="E69" s="16">
        <v>609253</v>
      </c>
      <c r="F69" s="16">
        <v>0</v>
      </c>
    </row>
    <row r="70" spans="1:6">
      <c r="A70" s="18" t="s">
        <v>2500</v>
      </c>
      <c r="B70" t="s">
        <v>2501</v>
      </c>
      <c r="C70" s="16">
        <v>110700</v>
      </c>
      <c r="D70" s="16">
        <v>17675</v>
      </c>
      <c r="E70" s="16">
        <v>93025</v>
      </c>
      <c r="F70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3B20-C043-40C6-95E4-99039CA76C2D}">
  <dimension ref="A2:F10"/>
  <sheetViews>
    <sheetView workbookViewId="0">
      <selection activeCell="B29" sqref="B29"/>
    </sheetView>
  </sheetViews>
  <sheetFormatPr baseColWidth="10" defaultRowHeight="15"/>
  <cols>
    <col min="1" max="1" width="14.85546875" customWidth="1"/>
    <col min="2" max="2" width="40.7109375" bestFit="1" customWidth="1"/>
    <col min="3" max="6" width="15.140625" bestFit="1" customWidth="1"/>
  </cols>
  <sheetData>
    <row r="2" spans="1:6">
      <c r="A2" t="s">
        <v>3372</v>
      </c>
      <c r="B2" t="s">
        <v>3373</v>
      </c>
      <c r="C2" t="s">
        <v>3375</v>
      </c>
      <c r="D2" t="s">
        <v>3374</v>
      </c>
      <c r="E2" t="s">
        <v>3376</v>
      </c>
      <c r="F2" t="s">
        <v>3377</v>
      </c>
    </row>
    <row r="3" spans="1:6">
      <c r="A3" t="s">
        <v>850</v>
      </c>
      <c r="B3" t="s">
        <v>851</v>
      </c>
      <c r="C3" s="16">
        <v>0</v>
      </c>
      <c r="D3" s="16">
        <v>565043152</v>
      </c>
      <c r="E3" s="16">
        <v>0</v>
      </c>
      <c r="F3" s="17">
        <v>565043152</v>
      </c>
    </row>
    <row r="4" spans="1:6">
      <c r="A4" t="s">
        <v>365</v>
      </c>
      <c r="B4" t="s">
        <v>366</v>
      </c>
      <c r="C4" s="16">
        <v>1638393</v>
      </c>
      <c r="D4" s="16">
        <v>41208142</v>
      </c>
      <c r="E4" s="16">
        <v>8623120</v>
      </c>
      <c r="F4" s="17">
        <v>30946629</v>
      </c>
    </row>
    <row r="5" spans="1:6">
      <c r="A5" t="s">
        <v>372</v>
      </c>
      <c r="B5" t="s">
        <v>373</v>
      </c>
      <c r="C5" s="16">
        <v>0</v>
      </c>
      <c r="D5" s="16">
        <v>74850760</v>
      </c>
      <c r="E5" s="16">
        <v>0</v>
      </c>
      <c r="F5" s="17">
        <v>74850760</v>
      </c>
    </row>
    <row r="6" spans="1:6">
      <c r="A6" t="s">
        <v>689</v>
      </c>
      <c r="B6" t="s">
        <v>690</v>
      </c>
      <c r="C6" s="16">
        <v>9419991</v>
      </c>
      <c r="D6" s="16">
        <v>58998889</v>
      </c>
      <c r="E6" s="16">
        <v>49578898</v>
      </c>
      <c r="F6" s="17">
        <v>0</v>
      </c>
    </row>
    <row r="7" spans="1:6">
      <c r="A7" t="s">
        <v>43</v>
      </c>
      <c r="B7" t="s">
        <v>44</v>
      </c>
      <c r="C7" s="16">
        <v>101313215</v>
      </c>
      <c r="D7" s="16">
        <v>634540661</v>
      </c>
      <c r="E7" s="16">
        <v>533227446</v>
      </c>
      <c r="F7" s="17">
        <v>0</v>
      </c>
    </row>
    <row r="8" spans="1:6">
      <c r="A8" t="s">
        <v>192</v>
      </c>
      <c r="B8" t="s">
        <v>193</v>
      </c>
      <c r="C8" s="16">
        <v>4521092</v>
      </c>
      <c r="D8" s="16">
        <v>163640429</v>
      </c>
      <c r="E8" s="16">
        <v>23795220</v>
      </c>
      <c r="F8" s="17">
        <v>135324117</v>
      </c>
    </row>
    <row r="9" spans="1:6">
      <c r="A9" t="s">
        <v>205</v>
      </c>
      <c r="B9" t="s">
        <v>206</v>
      </c>
      <c r="C9" s="16">
        <v>114057316</v>
      </c>
      <c r="D9" s="16">
        <v>714358982</v>
      </c>
      <c r="E9" s="16">
        <v>600301666</v>
      </c>
      <c r="F9" s="17">
        <v>0</v>
      </c>
    </row>
    <row r="10" spans="1:6">
      <c r="A10" t="s">
        <v>1525</v>
      </c>
      <c r="B10" t="s">
        <v>1526</v>
      </c>
      <c r="C10" s="16">
        <v>285000</v>
      </c>
      <c r="D10" s="16">
        <v>1785000</v>
      </c>
      <c r="E10" s="16">
        <v>1500000</v>
      </c>
      <c r="F10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Reporte_Documentos_20260105_184</vt:lpstr>
      <vt:lpstr>compras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GUTIERREZ</dc:creator>
  <cp:lastModifiedBy>JUAN MIGUEL ZAPATA CANTILLO</cp:lastModifiedBy>
  <dcterms:created xsi:type="dcterms:W3CDTF">2026-01-05T18:51:05Z</dcterms:created>
  <dcterms:modified xsi:type="dcterms:W3CDTF">2026-05-17T21:52:34Z</dcterms:modified>
</cp:coreProperties>
</file>