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activeTab="1"/>
  </bookViews>
  <sheets>
    <sheet name="F1001-compras" sheetId="2" r:id="rId1"/>
    <sheet name="F1007-Ventas" sheetId="1" r:id="rId2"/>
    <sheet name="CLIENTE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5" i="2" l="1"/>
  <c r="Z75" i="2"/>
  <c r="Y75" i="2"/>
  <c r="X75" i="2"/>
  <c r="W75" i="2"/>
  <c r="V75" i="2"/>
  <c r="AA1" i="2"/>
  <c r="Z1" i="2"/>
  <c r="Y1" i="2"/>
  <c r="X1" i="2"/>
  <c r="W1" i="2"/>
  <c r="V1" i="2"/>
  <c r="Q1" i="1"/>
  <c r="P1" i="1"/>
  <c r="O1" i="1"/>
  <c r="N1" i="1"/>
  <c r="M1" i="1"/>
  <c r="L1" i="1"/>
</calcChain>
</file>

<file path=xl/sharedStrings.xml><?xml version="1.0" encoding="utf-8"?>
<sst xmlns="http://schemas.openxmlformats.org/spreadsheetml/2006/main" count="1391" uniqueCount="638">
  <si>
    <t>nit_emisor</t>
  </si>
  <si>
    <t>nit_recep</t>
  </si>
  <si>
    <t>nombre_recep</t>
  </si>
  <si>
    <t>subtotal</t>
  </si>
  <si>
    <t>exentas</t>
  </si>
  <si>
    <t>iva</t>
  </si>
  <si>
    <t>ica</t>
  </si>
  <si>
    <t>total</t>
  </si>
  <si>
    <t>val_fact</t>
  </si>
  <si>
    <t>tipo_doc</t>
  </si>
  <si>
    <t>apellido1</t>
  </si>
  <si>
    <t>apellido2</t>
  </si>
  <si>
    <t>nombre1</t>
  </si>
  <si>
    <t>nombre2</t>
  </si>
  <si>
    <t>razon</t>
  </si>
  <si>
    <t>direccion</t>
  </si>
  <si>
    <t>codDpto</t>
  </si>
  <si>
    <t>codMunicipio</t>
  </si>
  <si>
    <t>890480123</t>
  </si>
  <si>
    <t>18876469</t>
  </si>
  <si>
    <t>901419381</t>
  </si>
  <si>
    <t>73543804</t>
  </si>
  <si>
    <t>73431585</t>
  </si>
  <si>
    <t>73454970</t>
  </si>
  <si>
    <t>73544160</t>
  </si>
  <si>
    <t>1052074748</t>
  </si>
  <si>
    <t>9111847</t>
  </si>
  <si>
    <t>70928192</t>
  </si>
  <si>
    <t>1052083356</t>
  </si>
  <si>
    <t>1002440810</t>
  </si>
  <si>
    <t>34979498</t>
  </si>
  <si>
    <t>1052080484</t>
  </si>
  <si>
    <t>73548179</t>
  </si>
  <si>
    <t>45646956</t>
  </si>
  <si>
    <t>1052066892</t>
  </si>
  <si>
    <t>1052090906</t>
  </si>
  <si>
    <t>9110270</t>
  </si>
  <si>
    <t>1052082667</t>
  </si>
  <si>
    <t>73548485</t>
  </si>
  <si>
    <t>9112661</t>
  </si>
  <si>
    <t>74751777</t>
  </si>
  <si>
    <t>73432986</t>
  </si>
  <si>
    <t>22547869</t>
  </si>
  <si>
    <t>33108871</t>
  </si>
  <si>
    <t>9109801</t>
  </si>
  <si>
    <t>73429948</t>
  </si>
  <si>
    <t>32436137</t>
  </si>
  <si>
    <t>73544532</t>
  </si>
  <si>
    <t>39089851</t>
  </si>
  <si>
    <t>78026988</t>
  </si>
  <si>
    <t>1192741908</t>
  </si>
  <si>
    <t>9109691</t>
  </si>
  <si>
    <t>900329928</t>
  </si>
  <si>
    <t>1052069663</t>
  </si>
  <si>
    <t>1002441917</t>
  </si>
  <si>
    <t>12597591</t>
  </si>
  <si>
    <t>45576585</t>
  </si>
  <si>
    <t>73544370</t>
  </si>
  <si>
    <t>73549138</t>
  </si>
  <si>
    <t>45583674</t>
  </si>
  <si>
    <t>9174538</t>
  </si>
  <si>
    <t>1002343952</t>
  </si>
  <si>
    <t>33284326</t>
  </si>
  <si>
    <t>1002344936</t>
  </si>
  <si>
    <t>2222222222</t>
  </si>
  <si>
    <t>45582906</t>
  </si>
  <si>
    <t>45508503</t>
  </si>
  <si>
    <t>1052300256</t>
  </si>
  <si>
    <t>1052093239</t>
  </si>
  <si>
    <t>9110265</t>
  </si>
  <si>
    <t>901411504</t>
  </si>
  <si>
    <t>73430942</t>
  </si>
  <si>
    <t>73435268</t>
  </si>
  <si>
    <t>73432957</t>
  </si>
  <si>
    <t>73431277</t>
  </si>
  <si>
    <t>73430309</t>
  </si>
  <si>
    <t>900078998</t>
  </si>
  <si>
    <t>9109383</t>
  </si>
  <si>
    <t>73545982</t>
  </si>
  <si>
    <t>3918382</t>
  </si>
  <si>
    <t>1045701488</t>
  </si>
  <si>
    <t>42658555</t>
  </si>
  <si>
    <t>1052071569</t>
  </si>
  <si>
    <t>1193118833</t>
  </si>
  <si>
    <t>1052069064</t>
  </si>
  <si>
    <t>1010099857</t>
  </si>
  <si>
    <t>8766184</t>
  </si>
  <si>
    <t>72169927</t>
  </si>
  <si>
    <t>1052077971</t>
  </si>
  <si>
    <t>890927276</t>
  </si>
  <si>
    <t>73550833</t>
  </si>
  <si>
    <t>72329883</t>
  </si>
  <si>
    <t>1052077320</t>
  </si>
  <si>
    <t>64890106</t>
  </si>
  <si>
    <t>73434464</t>
  </si>
  <si>
    <t>26035974</t>
  </si>
  <si>
    <t>73316432</t>
  </si>
  <si>
    <t>33279558</t>
  </si>
  <si>
    <t>73545635</t>
  </si>
  <si>
    <t>1052084016</t>
  </si>
  <si>
    <t>73549010</t>
  </si>
  <si>
    <t>9112946</t>
  </si>
  <si>
    <t>LUIS ALBERTO HERNANDEZ SALAZAR</t>
  </si>
  <si>
    <t>HERNANDEZ</t>
  </si>
  <si>
    <t>SALAZAR</t>
  </si>
  <si>
    <t>LUIS</t>
  </si>
  <si>
    <t>ALBERTO</t>
  </si>
  <si>
    <t>CLL 22 N 56 59</t>
  </si>
  <si>
    <t>70695929</t>
  </si>
  <si>
    <t>WILMAR DE JESUS GIRALDO GOMEZ</t>
  </si>
  <si>
    <t>GIRALDO</t>
  </si>
  <si>
    <t>GOMEZ</t>
  </si>
  <si>
    <t>WILMAR</t>
  </si>
  <si>
    <t>DE JESUS</t>
  </si>
  <si>
    <t>811009788</t>
  </si>
  <si>
    <t>DISTRACOM S.A.</t>
  </si>
  <si>
    <t xml:space="preserve">05 </t>
  </si>
  <si>
    <t xml:space="preserve">001  </t>
  </si>
  <si>
    <t>806012960</t>
  </si>
  <si>
    <t>FUNDACION SER FUNDASER SIGLA FUNDASER</t>
  </si>
  <si>
    <t>830053105</t>
  </si>
  <si>
    <t>FIDEICOMISOS PATRIMONIOS AUTONOMOS FIDUCIARIA LA PREVISORA S.A.</t>
  </si>
  <si>
    <t>CL 72 10 03 P 4</t>
  </si>
  <si>
    <t>806016023</t>
  </si>
  <si>
    <t>800020220</t>
  </si>
  <si>
    <t>9173123</t>
  </si>
  <si>
    <t>900139483</t>
  </si>
  <si>
    <t>900725152</t>
  </si>
  <si>
    <t>901714299</t>
  </si>
  <si>
    <t>812007194</t>
  </si>
  <si>
    <t>901280096</t>
  </si>
  <si>
    <t>890911625</t>
  </si>
  <si>
    <t>1052085372</t>
  </si>
  <si>
    <t>900121594</t>
  </si>
  <si>
    <t>901638858</t>
  </si>
  <si>
    <t>901020012</t>
  </si>
  <si>
    <t>73550509</t>
  </si>
  <si>
    <t>890919160</t>
  </si>
  <si>
    <t>891100445</t>
  </si>
  <si>
    <t>806006113</t>
  </si>
  <si>
    <t>1053005061</t>
  </si>
  <si>
    <t>802001105</t>
  </si>
  <si>
    <t>800087565</t>
  </si>
  <si>
    <t>901390015</t>
  </si>
  <si>
    <t>900414280</t>
  </si>
  <si>
    <t>900925115</t>
  </si>
  <si>
    <t>901366214</t>
  </si>
  <si>
    <t>901832567</t>
  </si>
  <si>
    <t>800003765</t>
  </si>
  <si>
    <t>900713171</t>
  </si>
  <si>
    <t>70697476</t>
  </si>
  <si>
    <t>1129574347</t>
  </si>
  <si>
    <t>901976263</t>
  </si>
  <si>
    <t>901766926</t>
  </si>
  <si>
    <t>1101820152</t>
  </si>
  <si>
    <t>DUQUE</t>
  </si>
  <si>
    <t>HENRY</t>
  </si>
  <si>
    <t>70142980</t>
  </si>
  <si>
    <t>JADER EMILIO RAMIREZ ROMERO</t>
  </si>
  <si>
    <t>RAMIREZ</t>
  </si>
  <si>
    <t>ROMERO</t>
  </si>
  <si>
    <t>JADER</t>
  </si>
  <si>
    <t>EMILIO</t>
  </si>
  <si>
    <t>CR 13 8B 2</t>
  </si>
  <si>
    <t xml:space="preserve">23 </t>
  </si>
  <si>
    <t xml:space="preserve">162  </t>
  </si>
  <si>
    <t>900297830</t>
  </si>
  <si>
    <t>ACO SABANA S. A. S</t>
  </si>
  <si>
    <t>KM 1 VIA CERETE</t>
  </si>
  <si>
    <t>860013771</t>
  </si>
  <si>
    <t>AJOVER DARNEL S.A.S.</t>
  </si>
  <si>
    <t>830006735</t>
  </si>
  <si>
    <t>ALIMENTOS POLAR COLOMBIA SAS</t>
  </si>
  <si>
    <t>CR 9A 99 02 OF 501 BOGOTA</t>
  </si>
  <si>
    <t xml:space="preserve">08 </t>
  </si>
  <si>
    <t>890900608</t>
  </si>
  <si>
    <t>ALMACENES EXITO S A</t>
  </si>
  <si>
    <t>860000135</t>
  </si>
  <si>
    <t>AZUL K S.A.S.</t>
  </si>
  <si>
    <t>AUT SUR 60 51</t>
  </si>
  <si>
    <t xml:space="preserve">11 </t>
  </si>
  <si>
    <t>890900943</t>
  </si>
  <si>
    <t>COLOMBIANA DE COMERCIO S.A. (CORBETA)</t>
  </si>
  <si>
    <t>GRAN ABASTO BG 11 LC 1</t>
  </si>
  <si>
    <t>900341086</t>
  </si>
  <si>
    <t>COMERCIAL NUTRESA S.A.S</t>
  </si>
  <si>
    <t>901148822</t>
  </si>
  <si>
    <t>COMERCIALIZA H.F.C SAS</t>
  </si>
  <si>
    <t>CL 68B   68 73</t>
  </si>
  <si>
    <t xml:space="preserve">47 </t>
  </si>
  <si>
    <t xml:space="preserve">551  </t>
  </si>
  <si>
    <t>823002532</t>
  </si>
  <si>
    <t>DIMERSA DON S.A.S.</t>
  </si>
  <si>
    <t>CL 38    10   123 SINCELEJO   SUCRE</t>
  </si>
  <si>
    <t>900580962</t>
  </si>
  <si>
    <t>DISFARMA GC SAS</t>
  </si>
  <si>
    <t xml:space="preserve">189  </t>
  </si>
  <si>
    <t>901142940</t>
  </si>
  <si>
    <t>DISRIVERA SAS</t>
  </si>
  <si>
    <t>822007117</t>
  </si>
  <si>
    <t>DISTRIBUCIONES LA NIEVE S.A.S.</t>
  </si>
  <si>
    <t>890916575</t>
  </si>
  <si>
    <t>DISTRIBUIDORA DE VINOS Y LICORES S.A.S.</t>
  </si>
  <si>
    <t>CR 43 A 25A 45 MEDLLIN COL</t>
  </si>
  <si>
    <t>800156889</t>
  </si>
  <si>
    <t>DISTRIBUIDORA KIRAMAR S.A.S.</t>
  </si>
  <si>
    <t>DG 51 31 120</t>
  </si>
  <si>
    <t xml:space="preserve">758  </t>
  </si>
  <si>
    <t>800043910</t>
  </si>
  <si>
    <t>DISTRIBUIDORA TROPICAL DE BOLIVAR S.A.S</t>
  </si>
  <si>
    <t>892201114</t>
  </si>
  <si>
    <t>DISTRIBUIDORA TROPICAL DE SUCRE S.A</t>
  </si>
  <si>
    <t>CR 4 BG ARTURO CUMPLIDO</t>
  </si>
  <si>
    <t xml:space="preserve">70 </t>
  </si>
  <si>
    <t>900233015</t>
  </si>
  <si>
    <t>ENTERPRISE MANAGEMENT SERVICES S.A.S.</t>
  </si>
  <si>
    <t>892300678</t>
  </si>
  <si>
    <t>ETICOS SERRANO GOMEZ LTDA</t>
  </si>
  <si>
    <t>CR 15 CL 8</t>
  </si>
  <si>
    <t>901008327</t>
  </si>
  <si>
    <t>FABRIPOR S.A.S</t>
  </si>
  <si>
    <t>KM 45 VIA CIENAGA DE ORO CERETE</t>
  </si>
  <si>
    <t>800060880</t>
  </si>
  <si>
    <t>FERRAGRO S.A.S.</t>
  </si>
  <si>
    <t>901234880</t>
  </si>
  <si>
    <t>G &amp; G RETAIL S.A.S.</t>
  </si>
  <si>
    <t>CR 11 13 73</t>
  </si>
  <si>
    <t xml:space="preserve">660  </t>
  </si>
  <si>
    <t>890106814</t>
  </si>
  <si>
    <t>GRA  S Y CEREALES DE COLOMBIA S.A.</t>
  </si>
  <si>
    <t>CR  ANTIGUA SOLEDAD AUTOPISTA AL AEROPUERTO</t>
  </si>
  <si>
    <t>860508462</t>
  </si>
  <si>
    <t>HDI COMPAÑIA DE INVERSIONES Y SERVICIOS S.A.S.</t>
  </si>
  <si>
    <t>890903858</t>
  </si>
  <si>
    <t>INDUSTRIA NACIONAL DE GASEOSAS S A</t>
  </si>
  <si>
    <t>CL 25D 95A 13</t>
  </si>
  <si>
    <t>890104719</t>
  </si>
  <si>
    <t>INDUSTRIAS PUROPOLLO S.A.S.</t>
  </si>
  <si>
    <t>901103498</t>
  </si>
  <si>
    <t>INVERSIONES SURTIORIENTE S.A.S.</t>
  </si>
  <si>
    <t>TV 21A    17 19</t>
  </si>
  <si>
    <t>900818921</t>
  </si>
  <si>
    <t>KOPPS COMERCIAL SAS</t>
  </si>
  <si>
    <t>CR 53A 127 35</t>
  </si>
  <si>
    <t>901152124</t>
  </si>
  <si>
    <t>MARAXET S.A.S.</t>
  </si>
  <si>
    <t>860503159</t>
  </si>
  <si>
    <t>P A S H SAS</t>
  </si>
  <si>
    <t>800197463</t>
  </si>
  <si>
    <t>POLLOS EL BUCANERO S.A.</t>
  </si>
  <si>
    <t>CL 35   RTE   6A BIS 10   CALI</t>
  </si>
  <si>
    <t xml:space="preserve">76 </t>
  </si>
  <si>
    <t>890903939</t>
  </si>
  <si>
    <t>POSTOBON S.A.</t>
  </si>
  <si>
    <t>CL 3 1 35</t>
  </si>
  <si>
    <t>900872769</t>
  </si>
  <si>
    <t>SKECHERS COLOMBIA SAS</t>
  </si>
  <si>
    <t>890800718</t>
  </si>
  <si>
    <t>SUCESORES DE JOSE JESUS RESTREPO Y CIA S. A. CASA LUKER S. A.</t>
  </si>
  <si>
    <t>900855360</t>
  </si>
  <si>
    <t>SURTIABARROTES INTERNACIONAL SAS</t>
  </si>
  <si>
    <t>CR 10  39A 36</t>
  </si>
  <si>
    <t>800094742</t>
  </si>
  <si>
    <t>SURTILINEAS DEL CARIBE S.A.</t>
  </si>
  <si>
    <t>CL 38 4 A 184 BL B BG  22 PAR I DUSTRIAL</t>
  </si>
  <si>
    <t>890300466</t>
  </si>
  <si>
    <t>TECNOQUIMICAS S.A</t>
  </si>
  <si>
    <t>CL 23 7 39</t>
  </si>
  <si>
    <t>811025446</t>
  </si>
  <si>
    <t>TRONEX S.A.S</t>
  </si>
  <si>
    <t>CR 67  1 Sur 92</t>
  </si>
  <si>
    <t>900330819</t>
  </si>
  <si>
    <t>TYT DISTRIBUCIONES COLOMBIA S.A.S</t>
  </si>
  <si>
    <t>MZ 1 BG 6 PAR IND ZILOG KM 9 VIA JUAN MINA</t>
  </si>
  <si>
    <t xml:space="preserve">296  </t>
  </si>
  <si>
    <t>800256605</t>
  </si>
  <si>
    <t>ZABALETA GARCIA Y CIA S EN C</t>
  </si>
  <si>
    <t>AGROINDUSTRIAL MOLINO SONORA AP SAS</t>
  </si>
  <si>
    <t>ALMACENES EXITO S.A</t>
  </si>
  <si>
    <t>Andres Camilo Botero Gómez</t>
  </si>
  <si>
    <t>AVICOLA NACIONAL S.A</t>
  </si>
  <si>
    <t>AXA COLPATRIA SEGUROS S.A.</t>
  </si>
  <si>
    <t>CEBOLLAS CYC SAS</t>
  </si>
  <si>
    <t>CESAR AUGUSTO RAMIREZ HOYOS</t>
  </si>
  <si>
    <t>COLOMBIANA DE COMERCIO S.A.</t>
  </si>
  <si>
    <t>COMERCIAL NUTRESA S . A .S</t>
  </si>
  <si>
    <t>COMERCIALIZA H F C SAS</t>
  </si>
  <si>
    <t>COMERCIALIZADORA DE SERVICIOS DE BOLIVAR S.A.S</t>
  </si>
  <si>
    <t>DIMERSA DON SAS</t>
  </si>
  <si>
    <t>DISTRIBUCIONES ESPECIALIZADAS R Y G S.A.S.</t>
  </si>
  <si>
    <t>DISTRIBUCIONES JJ RESTREPO R. SAS</t>
  </si>
  <si>
    <t>DISTRIBUCIONES LA NIEVE SAS</t>
  </si>
  <si>
    <t>DISTRIBUCIONES NARE S.A.S</t>
  </si>
  <si>
    <t>DISTRIBUCIONES OGA Y CIA LTDA</t>
  </si>
  <si>
    <t>DISTRIBUCIONES UNIVERSAL S.A.S.</t>
  </si>
  <si>
    <t>DISTRIBUIDORA GOLOSINAS Y MEKATOS</t>
  </si>
  <si>
    <t>DISTRIBUIDORA TROPICAL DE BOLIVAR S.A.S.</t>
  </si>
  <si>
    <t>DISTRIBUIDORA TROPICAL DE SUCRE S.A.S.</t>
  </si>
  <si>
    <t>DUQUE DUQUE HENRY DE JESUS</t>
  </si>
  <si>
    <t>EL PALACIO DEL ARROZ  G.R. S.A.S.</t>
  </si>
  <si>
    <t>ELIASID MONTES SIERRA</t>
  </si>
  <si>
    <t>ETICOS S.A.S.</t>
  </si>
  <si>
    <t>FAST MODA S.A.S</t>
  </si>
  <si>
    <t>FERRAGRO S.A.S</t>
  </si>
  <si>
    <t>G&amp;G RETAIL SAS</t>
  </si>
  <si>
    <t>GRANOS Y ALIMENTOS DE COLOMBIA S.A.S</t>
  </si>
  <si>
    <t>GRANOS Y CEREALES DE COLOMBIA S.A.</t>
  </si>
  <si>
    <t>HERMANOS MONTES RODRIGUEZ SAS</t>
  </si>
  <si>
    <t>INDUSTRIA NACIONAL DE GASEOSAS S.A.S.</t>
  </si>
  <si>
    <t>INVERSIONES JEC S.A.S.</t>
  </si>
  <si>
    <t>JOSE LUIS PULGAR BARONE</t>
  </si>
  <si>
    <t>KOPPS COMMERCIAL S A S</t>
  </si>
  <si>
    <t>MARAXET LTDA</t>
  </si>
  <si>
    <t>MARIA ALEJANDRA JIMENEZ MAYORGA</t>
  </si>
  <si>
    <t>MEGACEITES SAS</t>
  </si>
  <si>
    <t>MOLINOS DEL ATLANTICO S.A.S</t>
  </si>
  <si>
    <t>MOLINOS DEL ATLANTICO S.A.S.</t>
  </si>
  <si>
    <t>MOLINOS VESGA SAS ZOMAC</t>
  </si>
  <si>
    <t>OLEOCOSTA GROUP SAS</t>
  </si>
  <si>
    <t>OLEOFOODS S.A.S.</t>
  </si>
  <si>
    <t>ONCOMEDICA S.A.S.</t>
  </si>
  <si>
    <t>ORF S.A</t>
  </si>
  <si>
    <t>PASH S.A.S</t>
  </si>
  <si>
    <t>PLENITUD PROTECCION S.A</t>
  </si>
  <si>
    <t>POLLOS EL BUCANERO S. A.</t>
  </si>
  <si>
    <t>RAMON RAFAEL CASTILLA ARRIETA</t>
  </si>
  <si>
    <t>SUPERTIENDAS Y DROGUERIAS OLIMPICA S.A.</t>
  </si>
  <si>
    <t>SURTILINEAS DEL CARIBE S.A</t>
  </si>
  <si>
    <t>SYNLAB COLOMBIA S.A.S.</t>
  </si>
  <si>
    <t>TYT DISTRIBUCIONES COLOMBIA SAS</t>
  </si>
  <si>
    <t>VIRREY SOLIS IPS SA</t>
  </si>
  <si>
    <t>WORLD OFFICE COLOMBIA SAS</t>
  </si>
  <si>
    <t>Zabaleta Garcia Y Cia S en C</t>
  </si>
  <si>
    <t>RAMIRO JOSE BLANCO GONZALES</t>
  </si>
  <si>
    <t>HERMES DIAZ BECERRA</t>
  </si>
  <si>
    <t>JOSE LUNA OLIVERA</t>
  </si>
  <si>
    <t>JORGE ELIECER RODRIGUEZ VERGARA</t>
  </si>
  <si>
    <t>LUIS VARGAS</t>
  </si>
  <si>
    <t>JOSE HERMEREGILDO SANCHEZ ALVAREZ</t>
  </si>
  <si>
    <t>RODRIGO RAFAEL MONTES DE AVILA</t>
  </si>
  <si>
    <t>WILLIAM FRANCISCO ROMERO RODRIGUEZ</t>
  </si>
  <si>
    <t>ALBERTO RODRIGUEZ ALVAREZ</t>
  </si>
  <si>
    <t>JAVIER ALEJANDRO BERRIO VILLA</t>
  </si>
  <si>
    <t>JHOVANI DIAZ</t>
  </si>
  <si>
    <t>LEFINSON TEHERAN</t>
  </si>
  <si>
    <t>KATERINE COHEN</t>
  </si>
  <si>
    <t>GLORIA ESTELLA ALVAREZ MENDOZA</t>
  </si>
  <si>
    <t>DIOSELINA SOTO GALLEGO</t>
  </si>
  <si>
    <t>YOLANDA BEATRIZ MARTINEZ MEDINA</t>
  </si>
  <si>
    <t>MARIA ENCARNACION HERNANDEZ PELUFFO</t>
  </si>
  <si>
    <t>MARTHA LEONES</t>
  </si>
  <si>
    <t>TOMASA CALONGE</t>
  </si>
  <si>
    <t>FANNY ESTER ACUNA DE ALVIS</t>
  </si>
  <si>
    <t>SABINA DEL CARMEN VERTEL RUIZ</t>
  </si>
  <si>
    <t>ELAINE SOFIA CERVERA TAPIA</t>
  </si>
  <si>
    <t>DORA LIGIA DIAZ BLANCO</t>
  </si>
  <si>
    <t>OSMANI GRACIELA ORTEGA TAPIAS</t>
  </si>
  <si>
    <t>MILADIS VASQUEZ</t>
  </si>
  <si>
    <t>DIANA LOPEZ SANCHEZ</t>
  </si>
  <si>
    <t>EREIDA CHAMORRO DESIMANCA</t>
  </si>
  <si>
    <t>JAIRO ENRIQUE BARRERA</t>
  </si>
  <si>
    <t>JOSE CHAMORRO</t>
  </si>
  <si>
    <t>LIVINTON OSPINO</t>
  </si>
  <si>
    <t>SALVADOR OCHOA VALETH</t>
  </si>
  <si>
    <t>ALVARO TORRES CAREY</t>
  </si>
  <si>
    <t>ADOLFO JOSE CARDENAS NARVAEZ</t>
  </si>
  <si>
    <t>OSCAR ENRIQUE ESTRADA CHAMORRO</t>
  </si>
  <si>
    <t>ENUAR CHAMORRO HERNANDEZ</t>
  </si>
  <si>
    <t>CARLOS VALLE</t>
  </si>
  <si>
    <t>MAURICIO MANUEL VARGAS</t>
  </si>
  <si>
    <t>JOSE CARLOS ROMERO RIVERA</t>
  </si>
  <si>
    <t>EDISON FRANCISCO PATERNINA</t>
  </si>
  <si>
    <t>FABIAN ALFONSO PEREZ</t>
  </si>
  <si>
    <t>NICANOR LAMBRANO</t>
  </si>
  <si>
    <t>LUIS MESA SALAZAR</t>
  </si>
  <si>
    <t>MANUEL SALVADOR FERNANDEZ GUALDROM</t>
  </si>
  <si>
    <t>ASIS FARUK PALIS TORRES</t>
  </si>
  <si>
    <t>HUMBERTO JAIME SERRANO SIERRA</t>
  </si>
  <si>
    <t>HERMIDES MERCADO</t>
  </si>
  <si>
    <t>WALDIMIR PAREJA</t>
  </si>
  <si>
    <t>ALBERTO JOSE MADERA</t>
  </si>
  <si>
    <t>RAMON ANTONIO LEGUIA BARRIOS</t>
  </si>
  <si>
    <t>EGIDIO PONCE</t>
  </si>
  <si>
    <t>MIGUEL ENRIQUE SALAZAR TAPIAS</t>
  </si>
  <si>
    <t>NILSON SIERRA VILLADIEGO</t>
  </si>
  <si>
    <t>ERNESTO BRAVO</t>
  </si>
  <si>
    <t>LUIS MIGUEL MONTERROSA SERPA</t>
  </si>
  <si>
    <t>FUNDACION SER</t>
  </si>
  <si>
    <t>DISTRACON CARMEN DE BOLIVAR</t>
  </si>
  <si>
    <t>FIDEICOMISOS PATRIMONIOS AUTONOMOS FIDUCIARIA LA PREVISORA SA</t>
  </si>
  <si>
    <t>UNIVERSIDAD DE CARTAGENA</t>
  </si>
  <si>
    <t>MEJIA ACEVEDO SAS</t>
  </si>
  <si>
    <t>AMBUALNCIAS MEDICAS</t>
  </si>
  <si>
    <t>AGROBUFALERA LOS AROMOS S.A</t>
  </si>
  <si>
    <t>FORTUNA PRODUCE SAS</t>
  </si>
  <si>
    <t>ASOCIACION DE RECICLADORES DEL CARMEN DE BOLIVAR</t>
  </si>
  <si>
    <t>LINA FLOREZ VILORIA</t>
  </si>
  <si>
    <t>KERLIS VANESA CARDENA S OCHOA</t>
  </si>
  <si>
    <t>ISMAEL FIGUEROA</t>
  </si>
  <si>
    <t>CARLOS ALFONSO MELENDRES DIAZ</t>
  </si>
  <si>
    <t>JOSE MANUEL HERNANDEZ VUELVAS</t>
  </si>
  <si>
    <t>MOISES JIMENEZ</t>
  </si>
  <si>
    <t>JORGE ELIECER TOBIAS VALENCIA</t>
  </si>
  <si>
    <t>EDUARDO ENRIQUE ALVAREZ BUELVAS</t>
  </si>
  <si>
    <t>HECTOR MELENDES</t>
  </si>
  <si>
    <t>DAGOBERTO TORRES</t>
  </si>
  <si>
    <t>LILIAANA MARIA HERNANDEZ HERNANDEZ</t>
  </si>
  <si>
    <t>DANIEL FERNANDO DIAZ LAMBRANO</t>
  </si>
  <si>
    <t>LINA MARCELA REDONDO TOVAR</t>
  </si>
  <si>
    <t>PEDRO NEL MOLINA RAAD</t>
  </si>
  <si>
    <t>ANDRES MONTERO</t>
  </si>
  <si>
    <t>DIANILUZ BARRIOS MENA</t>
  </si>
  <si>
    <t>ELIZABETH TORRES MERCADO</t>
  </si>
  <si>
    <t>ESTEFANY PAOLA CORTES BARRETO</t>
  </si>
  <si>
    <t>JALI TORRES MARTINEZ</t>
  </si>
  <si>
    <t>FERNANDO RAFAEL MUNOS SANCHEZ</t>
  </si>
  <si>
    <t>HERNALDO JESUS BELENO GONZALEZ</t>
  </si>
  <si>
    <t>BLADIMIR MERCADO</t>
  </si>
  <si>
    <t>consumidor final</t>
  </si>
  <si>
    <t>PULGAR</t>
  </si>
  <si>
    <t>BARONE</t>
  </si>
  <si>
    <t>JOSE</t>
  </si>
  <si>
    <t>JIMENEZ</t>
  </si>
  <si>
    <t>HOYOS</t>
  </si>
  <si>
    <t>MAYORGA</t>
  </si>
  <si>
    <t>SAS</t>
  </si>
  <si>
    <t>CESAR</t>
  </si>
  <si>
    <t>MARIA</t>
  </si>
  <si>
    <t>AUGUSTO</t>
  </si>
  <si>
    <t>ALEJANDRA</t>
  </si>
  <si>
    <t>MONTES</t>
  </si>
  <si>
    <t>ELIASID</t>
  </si>
  <si>
    <t>RAMON</t>
  </si>
  <si>
    <t>SIERRA</t>
  </si>
  <si>
    <t>MARIA EUGENIA ZULUAGA SOTO</t>
  </si>
  <si>
    <t>TEHERA</t>
  </si>
  <si>
    <t>FIGUEROA</t>
  </si>
  <si>
    <t>MELENDES</t>
  </si>
  <si>
    <t>LEFINSON</t>
  </si>
  <si>
    <t>MESA</t>
  </si>
  <si>
    <t>CARLOS</t>
  </si>
  <si>
    <t>NICANOR</t>
  </si>
  <si>
    <t>ENRIQUE</t>
  </si>
  <si>
    <t>BARRIOS</t>
  </si>
  <si>
    <t>ISMAEL</t>
  </si>
  <si>
    <t>TOMASA</t>
  </si>
  <si>
    <t>MOLINA</t>
  </si>
  <si>
    <t>LOPEZ</t>
  </si>
  <si>
    <t>TOBIAS</t>
  </si>
  <si>
    <t>CORTES</t>
  </si>
  <si>
    <t>ANDRES</t>
  </si>
  <si>
    <t>LEGUIA</t>
  </si>
  <si>
    <t>RODRIGUEZ</t>
  </si>
  <si>
    <t>ERNESTO</t>
  </si>
  <si>
    <t>KATERINE</t>
  </si>
  <si>
    <t>MARTINEZ</t>
  </si>
  <si>
    <t>TORRES</t>
  </si>
  <si>
    <t>SOTO</t>
  </si>
  <si>
    <t>SERRANO</t>
  </si>
  <si>
    <t>MONTERROSA</t>
  </si>
  <si>
    <t>BELENO</t>
  </si>
  <si>
    <t>HECTOR</t>
  </si>
  <si>
    <t>VALLE</t>
  </si>
  <si>
    <t>LAMBRANO</t>
  </si>
  <si>
    <t>GUALDROM</t>
  </si>
  <si>
    <t>BARRERA</t>
  </si>
  <si>
    <t>MENA</t>
  </si>
  <si>
    <t>CALONGE</t>
  </si>
  <si>
    <t>RAAD</t>
  </si>
  <si>
    <t>MADERA</t>
  </si>
  <si>
    <t>SANCHEZ</t>
  </si>
  <si>
    <t>VALENCIA</t>
  </si>
  <si>
    <t>BARRETO</t>
  </si>
  <si>
    <t>MONTERO</t>
  </si>
  <si>
    <t>ALVAREZ</t>
  </si>
  <si>
    <t>BRAVO</t>
  </si>
  <si>
    <t>RIVERA</t>
  </si>
  <si>
    <t>COHEN</t>
  </si>
  <si>
    <t>MEDINA</t>
  </si>
  <si>
    <t>VARGAS</t>
  </si>
  <si>
    <t>CAREY</t>
  </si>
  <si>
    <t>GALLEGO</t>
  </si>
  <si>
    <t>SERPA</t>
  </si>
  <si>
    <t>GONZALEZ</t>
  </si>
  <si>
    <t>VERGARA</t>
  </si>
  <si>
    <t>MANUEL</t>
  </si>
  <si>
    <t>JAIRO</t>
  </si>
  <si>
    <t>DIANILUZ</t>
  </si>
  <si>
    <t>PEDRO</t>
  </si>
  <si>
    <t>DIANA</t>
  </si>
  <si>
    <t>JORGE</t>
  </si>
  <si>
    <t>ESTEFANY</t>
  </si>
  <si>
    <t>RODRIGO</t>
  </si>
  <si>
    <t>YOLANDA</t>
  </si>
  <si>
    <t>ALVARO</t>
  </si>
  <si>
    <t>DIOSELINA</t>
  </si>
  <si>
    <t>HUMBERTO</t>
  </si>
  <si>
    <t>FANNY</t>
  </si>
  <si>
    <t>HERNALDO</t>
  </si>
  <si>
    <t>SALVADOR</t>
  </si>
  <si>
    <t>FRANCISCO</t>
  </si>
  <si>
    <t>NEL</t>
  </si>
  <si>
    <t>ELIECER</t>
  </si>
  <si>
    <t>PAOLA</t>
  </si>
  <si>
    <t>RAFAEL</t>
  </si>
  <si>
    <t>ANTONIO</t>
  </si>
  <si>
    <t>BEATRIZ</t>
  </si>
  <si>
    <t>JAIME</t>
  </si>
  <si>
    <t>ESTER</t>
  </si>
  <si>
    <t>MIGUEL</t>
  </si>
  <si>
    <t>JESUS</t>
  </si>
  <si>
    <t>LILIANA</t>
  </si>
  <si>
    <t>WILIAM</t>
  </si>
  <si>
    <t>ACUNA</t>
  </si>
  <si>
    <t>ALFONSO</t>
  </si>
  <si>
    <t>MELENDRES</t>
  </si>
  <si>
    <t>DIAZ</t>
  </si>
  <si>
    <t>JHOVANI</t>
  </si>
  <si>
    <t>DORA</t>
  </si>
  <si>
    <t>LIGIA</t>
  </si>
  <si>
    <t>BLANCO</t>
  </si>
  <si>
    <t>ASIS</t>
  </si>
  <si>
    <t>FARUK</t>
  </si>
  <si>
    <t>PALIS</t>
  </si>
  <si>
    <t>TAPIAS</t>
  </si>
  <si>
    <t>MILADIS</t>
  </si>
  <si>
    <t>VASQUEZ</t>
  </si>
  <si>
    <t>JAVIER</t>
  </si>
  <si>
    <t>ALEJANDRO</t>
  </si>
  <si>
    <t>BERRIO</t>
  </si>
  <si>
    <t>VILLA</t>
  </si>
  <si>
    <t>LINA</t>
  </si>
  <si>
    <t>FLOREZ</t>
  </si>
  <si>
    <t>VILORIA</t>
  </si>
  <si>
    <t>MARTHA</t>
  </si>
  <si>
    <t>LEONES</t>
  </si>
  <si>
    <t>KERLIS</t>
  </si>
  <si>
    <t>VANESA</t>
  </si>
  <si>
    <t>CARDENA</t>
  </si>
  <si>
    <t>OCHOA</t>
  </si>
  <si>
    <t>OSMANI</t>
  </si>
  <si>
    <t>GRACIELA</t>
  </si>
  <si>
    <t>ORTEGA</t>
  </si>
  <si>
    <t>ELAINE</t>
  </si>
  <si>
    <t>SOFIA</t>
  </si>
  <si>
    <t>CERVERA</t>
  </si>
  <si>
    <t>TAPIA</t>
  </si>
  <si>
    <t>FERNANDO</t>
  </si>
  <si>
    <t>MUNOS</t>
  </si>
  <si>
    <t>JALI</t>
  </si>
  <si>
    <t>HERMEREGILDO</t>
  </si>
  <si>
    <t>FORTUNA</t>
  </si>
  <si>
    <t>PRODUCE</t>
  </si>
  <si>
    <t>OSCAR</t>
  </si>
  <si>
    <t>ESTRADA</t>
  </si>
  <si>
    <t>CHAMORRO</t>
  </si>
  <si>
    <t>FABIAN</t>
  </si>
  <si>
    <t>PEREZ</t>
  </si>
  <si>
    <t>MAURICIO</t>
  </si>
  <si>
    <t>ENUAR</t>
  </si>
  <si>
    <t>ADOLFO</t>
  </si>
  <si>
    <t>CARDENAS</t>
  </si>
  <si>
    <t>NARVAEZ</t>
  </si>
  <si>
    <t>AMBUALNCIAS</t>
  </si>
  <si>
    <t>MEDICAS</t>
  </si>
  <si>
    <t>LUNA</t>
  </si>
  <si>
    <t>OLIVERA</t>
  </si>
  <si>
    <t>WALDIMIR</t>
  </si>
  <si>
    <t>PAREJA</t>
  </si>
  <si>
    <t>RAMIRO</t>
  </si>
  <si>
    <t>GONZALES</t>
  </si>
  <si>
    <t>MOISES</t>
  </si>
  <si>
    <t>SABINA</t>
  </si>
  <si>
    <t>RUIZ</t>
  </si>
  <si>
    <t>DAGOBERTO</t>
  </si>
  <si>
    <t>BLADIMIR</t>
  </si>
  <si>
    <t>MERCADO</t>
  </si>
  <si>
    <t>EDUARDO</t>
  </si>
  <si>
    <t>BUELVAS</t>
  </si>
  <si>
    <t>VUELVAS</t>
  </si>
  <si>
    <t>HERMES</t>
  </si>
  <si>
    <t>BECERRA</t>
  </si>
  <si>
    <t>MARCELA</t>
  </si>
  <si>
    <t>REDONDO</t>
  </si>
  <si>
    <t>TOVAR</t>
  </si>
  <si>
    <t>MEJIA</t>
  </si>
  <si>
    <t>ACEVEDO</t>
  </si>
  <si>
    <t>NILSON</t>
  </si>
  <si>
    <t>VILLADIEGO</t>
  </si>
  <si>
    <t>LIVINTON</t>
  </si>
  <si>
    <t>OSPINO</t>
  </si>
  <si>
    <t>DANIEL</t>
  </si>
  <si>
    <t>EREIDA</t>
  </si>
  <si>
    <t>DESIMANCA</t>
  </si>
  <si>
    <t>EDISON</t>
  </si>
  <si>
    <t>PATERNINA</t>
  </si>
  <si>
    <t>GLORIA</t>
  </si>
  <si>
    <t>ESTELLA</t>
  </si>
  <si>
    <t>MENDOZA</t>
  </si>
  <si>
    <t>VALETH</t>
  </si>
  <si>
    <t>ENCARNACION</t>
  </si>
  <si>
    <t>PELUFFO</t>
  </si>
  <si>
    <t>HERMIDES</t>
  </si>
  <si>
    <t>ELIZABETH</t>
  </si>
  <si>
    <t>EGIDIO</t>
  </si>
  <si>
    <t>PONCE</t>
  </si>
  <si>
    <t>DE AVILA</t>
  </si>
  <si>
    <t>DE AVIS</t>
  </si>
  <si>
    <t>DEL CARMEN</t>
  </si>
  <si>
    <t>VETEL</t>
  </si>
  <si>
    <t>CL 23 62 125</t>
  </si>
  <si>
    <t>CL 7  24 20 CERETE</t>
  </si>
  <si>
    <t>13</t>
  </si>
  <si>
    <t>244</t>
  </si>
  <si>
    <t>CR 55 N 100-51 OFICINA 601</t>
  </si>
  <si>
    <t>CR 51 14 52</t>
  </si>
  <si>
    <t>CR 21 NUM 2034</t>
  </si>
  <si>
    <t>CR 23 N 64B</t>
  </si>
  <si>
    <t>TC 93 N° 65A-30</t>
  </si>
  <si>
    <t>05</t>
  </si>
  <si>
    <t>001</t>
  </si>
  <si>
    <t>DG 21B</t>
  </si>
  <si>
    <t>concepto</t>
  </si>
  <si>
    <t>pais</t>
  </si>
  <si>
    <t>169</t>
  </si>
  <si>
    <t>pago o abono en cuenta deducible</t>
  </si>
  <si>
    <t>pago o abono en cuenta NO deducible</t>
  </si>
  <si>
    <t>IVA mayor valor del costo o gasto deducible</t>
  </si>
  <si>
    <t>IVA mayor valor del costo o gasto NO deducible</t>
  </si>
  <si>
    <t>retención en la fuente practicad Renta</t>
  </si>
  <si>
    <t>retención en la fuente asumida renta</t>
  </si>
  <si>
    <t>retención en la fuente practicad IVA a responsable del IVA</t>
  </si>
  <si>
    <t>retención en la fuente practicad IVA a no residentes o no domiciliados</t>
  </si>
  <si>
    <t>razon social informado</t>
  </si>
  <si>
    <t>ingreso brutos recibido</t>
  </si>
  <si>
    <t>devoluciones rebajas y descuentos</t>
  </si>
  <si>
    <t>BOTERO</t>
  </si>
  <si>
    <t>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</si>
</sst>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8C8FA"/>
        <bgColor indexed="64"/>
      </patternFill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3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49" fontId="1" fillId="3" borderId="0" xfId="0" applyNumberFormat="1" applyFont="1" applyFill="1"/>
    <xf numFmtId="0" fontId="1" fillId="3" borderId="0" xfId="0" applyFont="1" applyFill="1"/>
    <xf numFmtId="3" fontId="1" fillId="3" borderId="0" xfId="0" applyNumberFormat="1" applyFont="1" applyFill="1"/>
    <xf numFmtId="0" fontId="2" fillId="0" borderId="0" xfId="1"/>
    <xf numFmtId="49" fontId="1" fillId="3" borderId="0" xfId="0" applyNumberFormat="1" applyFont="1" applyFill="1" applyAlignment="1">
      <alignment horizontal="center" wrapText="1"/>
    </xf>
  </cellXfs>
  <cellStyles count="4">
    <cellStyle name="Millares 2" xfId="3"/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workbookViewId="0">
      <pane ySplit="2" topLeftCell="A3" activePane="bottomLeft" state="frozenSplit"/>
      <selection pane="bottomLeft" activeCell="H1" sqref="H1"/>
    </sheetView>
  </sheetViews>
  <sheetFormatPr baseColWidth="10" defaultRowHeight="15" x14ac:dyDescent="0.25"/>
  <cols>
    <col min="1" max="1" width="9.140625" bestFit="1" customWidth="1"/>
    <col min="3" max="3" width="11" bestFit="1" customWidth="1"/>
    <col min="4" max="7" width="11" customWidth="1"/>
    <col min="8" max="8" width="58.7109375" bestFit="1" customWidth="1"/>
    <col min="9" max="9" width="28.7109375" customWidth="1"/>
    <col min="10" max="10" width="11.140625" customWidth="1"/>
    <col min="11" max="11" width="15.28515625" customWidth="1"/>
    <col min="12" max="12" width="9.28515625" customWidth="1"/>
    <col min="13" max="20" width="20" style="1" customWidth="1"/>
    <col min="21" max="21" width="29.7109375" bestFit="1" customWidth="1"/>
    <col min="22" max="22" width="11.140625" style="2" bestFit="1" customWidth="1"/>
    <col min="23" max="23" width="12.7109375" style="2" bestFit="1" customWidth="1"/>
    <col min="24" max="24" width="11.140625" style="2" bestFit="1" customWidth="1"/>
    <col min="25" max="25" width="3.42578125" style="2" bestFit="1" customWidth="1"/>
    <col min="26" max="27" width="12.7109375" style="2" bestFit="1" customWidth="1"/>
    <col min="28" max="28" width="58.7109375" bestFit="1" customWidth="1"/>
    <col min="29" max="29" width="8.42578125" style="1" bestFit="1" customWidth="1"/>
    <col min="30" max="30" width="13.140625" style="1" bestFit="1" customWidth="1"/>
  </cols>
  <sheetData>
    <row r="1" spans="1:28" x14ac:dyDescent="0.25">
      <c r="V1" s="2">
        <f t="shared" ref="V1:AA1" si="0">SUBTOTAL(9,V3:V74)</f>
        <v>657362434</v>
      </c>
      <c r="W1" s="2">
        <f t="shared" si="0"/>
        <v>1103252816</v>
      </c>
      <c r="X1" s="2">
        <f t="shared" si="0"/>
        <v>124951157</v>
      </c>
      <c r="Y1" s="2">
        <f t="shared" si="0"/>
        <v>0</v>
      </c>
      <c r="Z1" s="2">
        <f t="shared" si="0"/>
        <v>1885566407</v>
      </c>
      <c r="AA1" s="2">
        <f t="shared" si="0"/>
        <v>1885566407</v>
      </c>
    </row>
    <row r="2" spans="1:28" ht="48" customHeight="1" x14ac:dyDescent="0.25">
      <c r="A2" t="s">
        <v>622</v>
      </c>
      <c r="B2" s="7" t="s">
        <v>9</v>
      </c>
      <c r="C2" s="7" t="s">
        <v>0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633</v>
      </c>
      <c r="I2" s="7" t="s">
        <v>15</v>
      </c>
      <c r="J2" s="6" t="s">
        <v>16</v>
      </c>
      <c r="K2" s="6" t="s">
        <v>17</v>
      </c>
      <c r="L2" s="6" t="s">
        <v>623</v>
      </c>
      <c r="M2" s="10" t="s">
        <v>625</v>
      </c>
      <c r="N2" s="10" t="s">
        <v>626</v>
      </c>
      <c r="O2" s="10" t="s">
        <v>627</v>
      </c>
      <c r="P2" s="10" t="s">
        <v>628</v>
      </c>
      <c r="Q2" s="10" t="s">
        <v>629</v>
      </c>
      <c r="R2" s="10" t="s">
        <v>630</v>
      </c>
      <c r="S2" s="10" t="s">
        <v>631</v>
      </c>
      <c r="T2" s="10" t="s">
        <v>632</v>
      </c>
      <c r="U2" s="7" t="s">
        <v>2</v>
      </c>
      <c r="V2" s="8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8</v>
      </c>
      <c r="AB2" s="7" t="s">
        <v>14</v>
      </c>
    </row>
    <row r="3" spans="1:28" x14ac:dyDescent="0.25">
      <c r="A3">
        <v>5007</v>
      </c>
      <c r="B3">
        <v>31</v>
      </c>
      <c r="C3" t="s">
        <v>123</v>
      </c>
      <c r="H3" t="s">
        <v>293</v>
      </c>
      <c r="I3" t="s">
        <v>610</v>
      </c>
      <c r="J3" s="1" t="s">
        <v>612</v>
      </c>
      <c r="K3" s="1" t="s">
        <v>613</v>
      </c>
      <c r="L3" s="1" t="s">
        <v>624</v>
      </c>
      <c r="U3" t="s">
        <v>434</v>
      </c>
      <c r="V3" s="2">
        <v>16798637</v>
      </c>
      <c r="W3" s="2">
        <v>365472</v>
      </c>
      <c r="X3" s="2">
        <v>3191741</v>
      </c>
      <c r="Y3" s="2">
        <v>0</v>
      </c>
      <c r="Z3" s="2">
        <v>20355850</v>
      </c>
      <c r="AA3" s="2">
        <v>20355850</v>
      </c>
    </row>
    <row r="4" spans="1:28" x14ac:dyDescent="0.25">
      <c r="A4">
        <v>5007</v>
      </c>
      <c r="B4">
        <v>31</v>
      </c>
      <c r="C4" t="s">
        <v>124</v>
      </c>
      <c r="H4" t="s">
        <v>277</v>
      </c>
      <c r="I4" t="s">
        <v>610</v>
      </c>
      <c r="J4" s="1" t="s">
        <v>612</v>
      </c>
      <c r="K4" s="1" t="s">
        <v>613</v>
      </c>
      <c r="L4" s="1" t="s">
        <v>624</v>
      </c>
      <c r="U4" t="s">
        <v>434</v>
      </c>
      <c r="V4" s="2">
        <v>0</v>
      </c>
      <c r="W4" s="2">
        <v>144733170</v>
      </c>
      <c r="X4" s="2">
        <v>0</v>
      </c>
      <c r="Y4" s="2">
        <v>0</v>
      </c>
      <c r="Z4" s="2">
        <v>144733170</v>
      </c>
      <c r="AA4" s="2">
        <v>144733170</v>
      </c>
    </row>
    <row r="5" spans="1:28" x14ac:dyDescent="0.25">
      <c r="A5">
        <v>5007</v>
      </c>
      <c r="B5" s="2">
        <v>13</v>
      </c>
      <c r="C5" t="s">
        <v>125</v>
      </c>
      <c r="D5" t="s">
        <v>419</v>
      </c>
      <c r="E5" t="s">
        <v>420</v>
      </c>
      <c r="F5" t="s">
        <v>421</v>
      </c>
      <c r="G5" t="s">
        <v>105</v>
      </c>
      <c r="I5" t="s">
        <v>610</v>
      </c>
      <c r="J5" s="1" t="s">
        <v>612</v>
      </c>
      <c r="K5" s="1" t="s">
        <v>613</v>
      </c>
      <c r="L5" s="1" t="s">
        <v>624</v>
      </c>
      <c r="U5" t="s">
        <v>434</v>
      </c>
      <c r="V5" s="2">
        <v>22513445</v>
      </c>
      <c r="W5" s="2">
        <v>0</v>
      </c>
      <c r="X5" s="2">
        <v>4277555</v>
      </c>
      <c r="Y5" s="2">
        <v>0</v>
      </c>
      <c r="Z5" s="2">
        <v>26791000</v>
      </c>
      <c r="AA5" s="2">
        <v>26791000</v>
      </c>
    </row>
    <row r="6" spans="1:28" x14ac:dyDescent="0.25">
      <c r="A6">
        <v>5007</v>
      </c>
      <c r="B6">
        <v>31</v>
      </c>
      <c r="C6" t="s">
        <v>126</v>
      </c>
      <c r="H6" t="s">
        <v>309</v>
      </c>
      <c r="I6" t="s">
        <v>610</v>
      </c>
      <c r="J6" s="1" t="s">
        <v>612</v>
      </c>
      <c r="K6" s="1" t="s">
        <v>613</v>
      </c>
      <c r="L6" s="1" t="s">
        <v>624</v>
      </c>
      <c r="U6" t="s">
        <v>434</v>
      </c>
      <c r="V6" s="2">
        <v>6985630</v>
      </c>
      <c r="W6" s="2">
        <v>0</v>
      </c>
      <c r="X6" s="2">
        <v>1327270</v>
      </c>
      <c r="Y6" s="2">
        <v>0</v>
      </c>
      <c r="Z6" s="2">
        <v>8312900</v>
      </c>
      <c r="AA6" s="2">
        <v>8312900</v>
      </c>
    </row>
    <row r="7" spans="1:28" x14ac:dyDescent="0.25">
      <c r="A7">
        <v>5007</v>
      </c>
      <c r="B7">
        <v>31</v>
      </c>
      <c r="C7" t="s">
        <v>127</v>
      </c>
      <c r="H7" t="s">
        <v>305</v>
      </c>
      <c r="I7" t="s">
        <v>610</v>
      </c>
      <c r="J7" s="1" t="s">
        <v>612</v>
      </c>
      <c r="K7" s="1" t="s">
        <v>613</v>
      </c>
      <c r="L7" s="1" t="s">
        <v>624</v>
      </c>
      <c r="U7" t="s">
        <v>434</v>
      </c>
      <c r="V7" s="2">
        <v>9247574</v>
      </c>
      <c r="W7" s="2">
        <v>26516107</v>
      </c>
      <c r="X7" s="2">
        <v>1757039</v>
      </c>
      <c r="Y7" s="2">
        <v>0</v>
      </c>
      <c r="Z7" s="2">
        <v>37520720</v>
      </c>
      <c r="AA7" s="2">
        <v>37520720</v>
      </c>
    </row>
    <row r="8" spans="1:28" x14ac:dyDescent="0.25">
      <c r="A8">
        <v>5007</v>
      </c>
      <c r="B8">
        <v>31</v>
      </c>
      <c r="C8" t="s">
        <v>128</v>
      </c>
      <c r="H8" t="s">
        <v>307</v>
      </c>
      <c r="I8" t="s">
        <v>610</v>
      </c>
      <c r="J8" s="1" t="s">
        <v>612</v>
      </c>
      <c r="K8" s="1" t="s">
        <v>613</v>
      </c>
      <c r="L8" s="1" t="s">
        <v>624</v>
      </c>
      <c r="U8" t="s">
        <v>434</v>
      </c>
      <c r="V8" s="2">
        <v>2977763</v>
      </c>
      <c r="W8" s="2">
        <v>2</v>
      </c>
      <c r="X8" s="2">
        <v>565775</v>
      </c>
      <c r="Y8" s="2">
        <v>0</v>
      </c>
      <c r="Z8" s="2">
        <v>3543540</v>
      </c>
      <c r="AA8" s="2">
        <v>3543540</v>
      </c>
    </row>
    <row r="9" spans="1:28" x14ac:dyDescent="0.25">
      <c r="A9">
        <v>5007</v>
      </c>
      <c r="B9">
        <v>31</v>
      </c>
      <c r="C9" t="s">
        <v>129</v>
      </c>
      <c r="H9" t="s">
        <v>320</v>
      </c>
      <c r="I9" t="s">
        <v>610</v>
      </c>
      <c r="J9" s="1" t="s">
        <v>612</v>
      </c>
      <c r="K9" s="1" t="s">
        <v>613</v>
      </c>
      <c r="L9" s="1" t="s">
        <v>624</v>
      </c>
      <c r="U9" t="s">
        <v>434</v>
      </c>
      <c r="V9" s="2">
        <v>0</v>
      </c>
      <c r="W9" s="2">
        <v>4700</v>
      </c>
      <c r="X9" s="2">
        <v>0</v>
      </c>
      <c r="Y9" s="2">
        <v>0</v>
      </c>
      <c r="Z9" s="2">
        <v>4700</v>
      </c>
      <c r="AA9" s="2">
        <v>4700</v>
      </c>
    </row>
    <row r="10" spans="1:28" x14ac:dyDescent="0.25">
      <c r="A10">
        <v>5007</v>
      </c>
      <c r="B10">
        <v>31</v>
      </c>
      <c r="C10" t="s">
        <v>130</v>
      </c>
      <c r="H10" t="s">
        <v>317</v>
      </c>
      <c r="I10" t="s">
        <v>610</v>
      </c>
      <c r="J10" s="1" t="s">
        <v>612</v>
      </c>
      <c r="K10" s="1" t="s">
        <v>613</v>
      </c>
      <c r="L10" s="1" t="s">
        <v>624</v>
      </c>
      <c r="U10" t="s">
        <v>434</v>
      </c>
      <c r="V10" s="2">
        <v>0</v>
      </c>
      <c r="W10" s="2">
        <v>104577519</v>
      </c>
      <c r="X10" s="2">
        <v>0</v>
      </c>
      <c r="Y10" s="2">
        <v>0</v>
      </c>
      <c r="Z10" s="2">
        <v>104577519</v>
      </c>
      <c r="AA10" s="2">
        <v>104577519</v>
      </c>
    </row>
    <row r="11" spans="1:28" x14ac:dyDescent="0.25">
      <c r="A11">
        <v>5007</v>
      </c>
      <c r="B11">
        <v>31</v>
      </c>
      <c r="C11" t="s">
        <v>131</v>
      </c>
      <c r="H11" t="s">
        <v>280</v>
      </c>
      <c r="I11" t="s">
        <v>610</v>
      </c>
      <c r="J11" s="1" t="s">
        <v>612</v>
      </c>
      <c r="K11" s="1" t="s">
        <v>613</v>
      </c>
      <c r="L11" s="1" t="s">
        <v>624</v>
      </c>
      <c r="U11" t="s">
        <v>434</v>
      </c>
      <c r="V11" s="2">
        <v>0</v>
      </c>
      <c r="W11" s="2">
        <v>60601500</v>
      </c>
      <c r="X11" s="2">
        <v>0</v>
      </c>
      <c r="Y11" s="2">
        <v>0</v>
      </c>
      <c r="Z11" s="2">
        <v>60601500</v>
      </c>
      <c r="AA11" s="2">
        <v>60601500</v>
      </c>
    </row>
    <row r="12" spans="1:28" x14ac:dyDescent="0.25">
      <c r="A12">
        <v>5007</v>
      </c>
      <c r="B12" s="2">
        <v>13</v>
      </c>
      <c r="C12" t="s">
        <v>132</v>
      </c>
      <c r="D12" t="s">
        <v>430</v>
      </c>
      <c r="E12" t="s">
        <v>433</v>
      </c>
      <c r="F12" t="s">
        <v>431</v>
      </c>
      <c r="I12" t="s">
        <v>610</v>
      </c>
      <c r="J12" s="1" t="s">
        <v>612</v>
      </c>
      <c r="K12" s="1" t="s">
        <v>613</v>
      </c>
      <c r="L12" s="1" t="s">
        <v>624</v>
      </c>
      <c r="U12" t="s">
        <v>434</v>
      </c>
      <c r="V12" s="2">
        <v>0</v>
      </c>
      <c r="W12" s="2">
        <v>295000</v>
      </c>
      <c r="X12" s="2">
        <v>0</v>
      </c>
      <c r="Y12" s="2">
        <v>0</v>
      </c>
      <c r="Z12" s="2">
        <v>295000</v>
      </c>
      <c r="AA12" s="2">
        <v>295000</v>
      </c>
    </row>
    <row r="13" spans="1:28" x14ac:dyDescent="0.25">
      <c r="A13">
        <v>5007</v>
      </c>
      <c r="B13">
        <v>31</v>
      </c>
      <c r="C13" t="s">
        <v>133</v>
      </c>
      <c r="H13" t="s">
        <v>289</v>
      </c>
      <c r="I13" t="s">
        <v>610</v>
      </c>
      <c r="J13" s="1" t="s">
        <v>612</v>
      </c>
      <c r="K13" s="1" t="s">
        <v>613</v>
      </c>
      <c r="L13" s="1" t="s">
        <v>624</v>
      </c>
      <c r="U13" t="s">
        <v>434</v>
      </c>
      <c r="V13" s="2">
        <v>58005205</v>
      </c>
      <c r="W13" s="2">
        <v>15137372</v>
      </c>
      <c r="X13" s="2">
        <v>11020989</v>
      </c>
      <c r="Y13" s="2">
        <v>0</v>
      </c>
      <c r="Z13" s="2">
        <v>84163566</v>
      </c>
      <c r="AA13" s="2">
        <v>84163566</v>
      </c>
    </row>
    <row r="14" spans="1:28" x14ac:dyDescent="0.25">
      <c r="A14">
        <v>5007</v>
      </c>
      <c r="B14">
        <v>31</v>
      </c>
      <c r="C14" t="s">
        <v>134</v>
      </c>
      <c r="H14" t="s">
        <v>299</v>
      </c>
      <c r="I14" t="s">
        <v>610</v>
      </c>
      <c r="J14" s="1" t="s">
        <v>612</v>
      </c>
      <c r="K14" s="1" t="s">
        <v>613</v>
      </c>
      <c r="L14" s="1" t="s">
        <v>624</v>
      </c>
      <c r="U14" t="s">
        <v>434</v>
      </c>
      <c r="V14" s="2">
        <v>1146616</v>
      </c>
      <c r="W14" s="2">
        <v>3210527</v>
      </c>
      <c r="X14" s="2">
        <v>217857</v>
      </c>
      <c r="Y14" s="2">
        <v>0</v>
      </c>
      <c r="Z14" s="2">
        <v>4575000</v>
      </c>
      <c r="AA14" s="2">
        <v>4575000</v>
      </c>
    </row>
    <row r="15" spans="1:28" x14ac:dyDescent="0.25">
      <c r="A15">
        <v>5007</v>
      </c>
      <c r="B15">
        <v>31</v>
      </c>
      <c r="C15" t="s">
        <v>135</v>
      </c>
      <c r="H15" t="s">
        <v>295</v>
      </c>
      <c r="I15" t="s">
        <v>610</v>
      </c>
      <c r="J15" s="1" t="s">
        <v>612</v>
      </c>
      <c r="K15" s="1" t="s">
        <v>613</v>
      </c>
      <c r="L15" s="1" t="s">
        <v>624</v>
      </c>
      <c r="U15" t="s">
        <v>434</v>
      </c>
      <c r="V15" s="2">
        <v>6345553</v>
      </c>
      <c r="W15" s="2">
        <v>77539</v>
      </c>
      <c r="X15" s="2">
        <v>1205655</v>
      </c>
      <c r="Y15" s="2">
        <v>0</v>
      </c>
      <c r="Z15" s="2">
        <v>7628747</v>
      </c>
      <c r="AA15" s="2">
        <v>7628747</v>
      </c>
    </row>
    <row r="16" spans="1:28" x14ac:dyDescent="0.25">
      <c r="A16">
        <v>5007</v>
      </c>
      <c r="B16">
        <v>31</v>
      </c>
      <c r="C16" t="s">
        <v>136</v>
      </c>
      <c r="H16" t="s">
        <v>325</v>
      </c>
      <c r="I16" t="s">
        <v>610</v>
      </c>
      <c r="J16" s="1" t="s">
        <v>612</v>
      </c>
      <c r="K16" s="1" t="s">
        <v>613</v>
      </c>
      <c r="L16" s="1" t="s">
        <v>624</v>
      </c>
      <c r="U16" t="s">
        <v>434</v>
      </c>
      <c r="V16" s="2">
        <v>4583958</v>
      </c>
      <c r="W16" s="2">
        <v>23935090</v>
      </c>
      <c r="X16" s="2">
        <v>870952</v>
      </c>
      <c r="Y16" s="2">
        <v>0</v>
      </c>
      <c r="Z16" s="2">
        <v>29390000</v>
      </c>
      <c r="AA16" s="2">
        <v>29390000</v>
      </c>
    </row>
    <row r="17" spans="1:27" x14ac:dyDescent="0.25">
      <c r="A17">
        <v>5007</v>
      </c>
      <c r="B17">
        <v>31</v>
      </c>
      <c r="C17" t="s">
        <v>137</v>
      </c>
      <c r="H17" t="s">
        <v>323</v>
      </c>
      <c r="I17" t="s">
        <v>610</v>
      </c>
      <c r="J17" s="1" t="s">
        <v>612</v>
      </c>
      <c r="K17" s="1" t="s">
        <v>613</v>
      </c>
      <c r="L17" s="1" t="s">
        <v>624</v>
      </c>
      <c r="U17" t="s">
        <v>434</v>
      </c>
      <c r="V17" s="2">
        <v>0</v>
      </c>
      <c r="W17" s="2">
        <v>582680</v>
      </c>
      <c r="X17" s="2">
        <v>0</v>
      </c>
      <c r="Y17" s="2">
        <v>0</v>
      </c>
      <c r="Z17" s="2">
        <v>582680</v>
      </c>
      <c r="AA17" s="2">
        <v>582680</v>
      </c>
    </row>
    <row r="18" spans="1:27" x14ac:dyDescent="0.25">
      <c r="A18">
        <v>5007</v>
      </c>
      <c r="B18">
        <v>31</v>
      </c>
      <c r="C18" t="s">
        <v>138</v>
      </c>
      <c r="H18" t="s">
        <v>321</v>
      </c>
      <c r="I18" t="s">
        <v>610</v>
      </c>
      <c r="J18" s="1" t="s">
        <v>612</v>
      </c>
      <c r="K18" s="1" t="s">
        <v>613</v>
      </c>
      <c r="L18" s="1" t="s">
        <v>624</v>
      </c>
      <c r="U18" t="s">
        <v>434</v>
      </c>
      <c r="V18" s="2">
        <v>0</v>
      </c>
      <c r="W18" s="2">
        <v>9836500</v>
      </c>
      <c r="X18" s="2">
        <v>0</v>
      </c>
      <c r="Y18" s="2">
        <v>0</v>
      </c>
      <c r="Z18" s="2">
        <v>9836500</v>
      </c>
      <c r="AA18" s="2">
        <v>9836500</v>
      </c>
    </row>
    <row r="19" spans="1:27" x14ac:dyDescent="0.25">
      <c r="A19">
        <v>5007</v>
      </c>
      <c r="B19">
        <v>31</v>
      </c>
      <c r="C19" t="s">
        <v>139</v>
      </c>
      <c r="H19" t="s">
        <v>294</v>
      </c>
      <c r="I19" t="s">
        <v>610</v>
      </c>
      <c r="J19" s="1" t="s">
        <v>612</v>
      </c>
      <c r="K19" s="1" t="s">
        <v>613</v>
      </c>
      <c r="L19" s="1" t="s">
        <v>624</v>
      </c>
      <c r="U19" t="s">
        <v>434</v>
      </c>
      <c r="V19" s="2">
        <v>5364921</v>
      </c>
      <c r="W19" s="2">
        <v>3767748</v>
      </c>
      <c r="X19" s="2">
        <v>1019335</v>
      </c>
      <c r="Y19" s="2">
        <v>0</v>
      </c>
      <c r="Z19" s="2">
        <v>10152004</v>
      </c>
      <c r="AA19" s="2">
        <v>10152004</v>
      </c>
    </row>
    <row r="20" spans="1:27" x14ac:dyDescent="0.25">
      <c r="A20">
        <v>5007</v>
      </c>
      <c r="B20">
        <v>13</v>
      </c>
      <c r="C20" t="s">
        <v>140</v>
      </c>
      <c r="D20" t="s">
        <v>636</v>
      </c>
      <c r="E20" t="s">
        <v>111</v>
      </c>
      <c r="F20" t="s">
        <v>450</v>
      </c>
      <c r="G20" t="s">
        <v>637</v>
      </c>
      <c r="I20" t="s">
        <v>610</v>
      </c>
      <c r="J20" s="1" t="s">
        <v>612</v>
      </c>
      <c r="K20" s="1" t="s">
        <v>613</v>
      </c>
      <c r="L20" s="1" t="s">
        <v>624</v>
      </c>
      <c r="U20" t="s">
        <v>434</v>
      </c>
      <c r="V20" s="2">
        <v>36175437</v>
      </c>
      <c r="W20" s="2">
        <v>101291230</v>
      </c>
      <c r="X20" s="2">
        <v>6873333</v>
      </c>
      <c r="Y20" s="2">
        <v>0</v>
      </c>
      <c r="Z20" s="2">
        <v>144340000</v>
      </c>
      <c r="AA20" s="2">
        <v>144340000</v>
      </c>
    </row>
    <row r="21" spans="1:27" x14ac:dyDescent="0.25">
      <c r="A21">
        <v>5007</v>
      </c>
      <c r="B21">
        <v>31</v>
      </c>
      <c r="C21" t="s">
        <v>141</v>
      </c>
      <c r="H21" t="s">
        <v>315</v>
      </c>
      <c r="I21" t="s">
        <v>610</v>
      </c>
      <c r="J21" s="1" t="s">
        <v>612</v>
      </c>
      <c r="K21" s="1" t="s">
        <v>613</v>
      </c>
      <c r="L21" s="1" t="s">
        <v>624</v>
      </c>
      <c r="U21" t="s">
        <v>434</v>
      </c>
      <c r="V21" s="2">
        <v>7595674</v>
      </c>
      <c r="W21" s="2">
        <v>21267886</v>
      </c>
      <c r="X21" s="2">
        <v>1443178</v>
      </c>
      <c r="Y21" s="2">
        <v>0</v>
      </c>
      <c r="Z21" s="2">
        <v>30306738</v>
      </c>
      <c r="AA21" s="2">
        <v>30306738</v>
      </c>
    </row>
    <row r="22" spans="1:27" x14ac:dyDescent="0.25">
      <c r="A22">
        <v>5007</v>
      </c>
      <c r="B22">
        <v>31</v>
      </c>
      <c r="C22" t="s">
        <v>142</v>
      </c>
      <c r="H22" t="s">
        <v>328</v>
      </c>
      <c r="I22" t="s">
        <v>610</v>
      </c>
      <c r="J22" s="1" t="s">
        <v>612</v>
      </c>
      <c r="K22" s="1" t="s">
        <v>613</v>
      </c>
      <c r="L22" s="1" t="s">
        <v>624</v>
      </c>
      <c r="U22" t="s">
        <v>434</v>
      </c>
      <c r="V22" s="2">
        <v>0</v>
      </c>
      <c r="W22" s="2">
        <v>9400</v>
      </c>
      <c r="X22" s="2">
        <v>0</v>
      </c>
      <c r="Y22" s="2">
        <v>0</v>
      </c>
      <c r="Z22" s="2">
        <v>9400</v>
      </c>
      <c r="AA22" s="2">
        <v>9400</v>
      </c>
    </row>
    <row r="23" spans="1:27" x14ac:dyDescent="0.25">
      <c r="A23">
        <v>5007</v>
      </c>
      <c r="B23">
        <v>31</v>
      </c>
      <c r="C23" t="s">
        <v>143</v>
      </c>
      <c r="H23" t="s">
        <v>302</v>
      </c>
      <c r="I23" t="s">
        <v>610</v>
      </c>
      <c r="J23" s="1" t="s">
        <v>612</v>
      </c>
      <c r="K23" s="1" t="s">
        <v>613</v>
      </c>
      <c r="L23" s="1" t="s">
        <v>624</v>
      </c>
      <c r="U23" t="s">
        <v>434</v>
      </c>
      <c r="V23" s="2">
        <v>169737</v>
      </c>
      <c r="W23" s="2">
        <v>0</v>
      </c>
      <c r="X23" s="2">
        <v>32251</v>
      </c>
      <c r="Y23" s="2">
        <v>0</v>
      </c>
      <c r="Z23" s="2">
        <v>201988</v>
      </c>
      <c r="AA23" s="2">
        <v>201988</v>
      </c>
    </row>
    <row r="24" spans="1:27" x14ac:dyDescent="0.25">
      <c r="A24">
        <v>5007</v>
      </c>
      <c r="B24">
        <v>31</v>
      </c>
      <c r="C24" t="s">
        <v>144</v>
      </c>
      <c r="H24" t="s">
        <v>314</v>
      </c>
      <c r="I24" t="s">
        <v>610</v>
      </c>
      <c r="J24" s="1" t="s">
        <v>612</v>
      </c>
      <c r="K24" s="1" t="s">
        <v>613</v>
      </c>
      <c r="L24" s="1" t="s">
        <v>624</v>
      </c>
      <c r="U24" t="s">
        <v>434</v>
      </c>
      <c r="V24" s="2">
        <v>1147874</v>
      </c>
      <c r="W24" s="2">
        <v>4203222</v>
      </c>
      <c r="X24" s="2">
        <v>218096</v>
      </c>
      <c r="Y24" s="2">
        <v>0</v>
      </c>
      <c r="Z24" s="2">
        <v>5569192</v>
      </c>
      <c r="AA24" s="2">
        <v>5569192</v>
      </c>
    </row>
    <row r="25" spans="1:27" x14ac:dyDescent="0.25">
      <c r="A25">
        <v>5007</v>
      </c>
      <c r="B25">
        <v>31</v>
      </c>
      <c r="C25" t="s">
        <v>145</v>
      </c>
      <c r="H25" t="s">
        <v>292</v>
      </c>
      <c r="I25" t="s">
        <v>610</v>
      </c>
      <c r="J25" s="1" t="s">
        <v>612</v>
      </c>
      <c r="K25" s="1" t="s">
        <v>613</v>
      </c>
      <c r="L25" s="1" t="s">
        <v>624</v>
      </c>
      <c r="U25" t="s">
        <v>434</v>
      </c>
      <c r="V25" s="2">
        <v>1578379</v>
      </c>
      <c r="W25" s="2">
        <v>580404</v>
      </c>
      <c r="X25" s="2">
        <v>299892</v>
      </c>
      <c r="Y25" s="2">
        <v>0</v>
      </c>
      <c r="Z25" s="2">
        <v>2458675</v>
      </c>
      <c r="AA25" s="2">
        <v>2458675</v>
      </c>
    </row>
    <row r="26" spans="1:27" x14ac:dyDescent="0.25">
      <c r="A26">
        <v>5007</v>
      </c>
      <c r="B26">
        <v>31</v>
      </c>
      <c r="C26" t="s">
        <v>146</v>
      </c>
      <c r="H26" t="s">
        <v>290</v>
      </c>
      <c r="I26" t="s">
        <v>610</v>
      </c>
      <c r="J26" s="1" t="s">
        <v>612</v>
      </c>
      <c r="K26" s="1" t="s">
        <v>613</v>
      </c>
      <c r="L26" s="1" t="s">
        <v>624</v>
      </c>
      <c r="U26" t="s">
        <v>434</v>
      </c>
      <c r="V26" s="2">
        <v>11577589</v>
      </c>
      <c r="W26" s="2">
        <v>891170</v>
      </c>
      <c r="X26" s="2">
        <v>2199742</v>
      </c>
      <c r="Y26" s="2">
        <v>0</v>
      </c>
      <c r="Z26" s="2">
        <v>14668501</v>
      </c>
      <c r="AA26" s="2">
        <v>14668501</v>
      </c>
    </row>
    <row r="27" spans="1:27" x14ac:dyDescent="0.25">
      <c r="A27">
        <v>5007</v>
      </c>
      <c r="B27">
        <v>31</v>
      </c>
      <c r="C27" t="s">
        <v>147</v>
      </c>
      <c r="H27" t="s">
        <v>319</v>
      </c>
      <c r="I27" t="s">
        <v>610</v>
      </c>
      <c r="J27" s="1" t="s">
        <v>612</v>
      </c>
      <c r="K27" s="1" t="s">
        <v>613</v>
      </c>
      <c r="L27" s="1" t="s">
        <v>624</v>
      </c>
      <c r="U27" t="s">
        <v>434</v>
      </c>
      <c r="V27" s="2">
        <v>11979332</v>
      </c>
      <c r="W27" s="2">
        <v>0</v>
      </c>
      <c r="X27" s="2">
        <v>2328364</v>
      </c>
      <c r="Y27" s="2">
        <v>0</v>
      </c>
      <c r="Z27" s="2">
        <v>14307696</v>
      </c>
      <c r="AA27" s="2">
        <v>14307696</v>
      </c>
    </row>
    <row r="28" spans="1:27" x14ac:dyDescent="0.25">
      <c r="A28">
        <v>5007</v>
      </c>
      <c r="B28">
        <v>31</v>
      </c>
      <c r="C28" t="s">
        <v>148</v>
      </c>
      <c r="H28" t="s">
        <v>330</v>
      </c>
      <c r="I28" t="s">
        <v>610</v>
      </c>
      <c r="J28" s="1" t="s">
        <v>612</v>
      </c>
      <c r="K28" s="1" t="s">
        <v>613</v>
      </c>
      <c r="L28" s="1" t="s">
        <v>624</v>
      </c>
      <c r="U28" t="s">
        <v>434</v>
      </c>
      <c r="V28" s="2">
        <v>0</v>
      </c>
      <c r="W28" s="2">
        <v>9400</v>
      </c>
      <c r="X28" s="2">
        <v>0</v>
      </c>
      <c r="Y28" s="2">
        <v>0</v>
      </c>
      <c r="Z28" s="2">
        <v>9400</v>
      </c>
      <c r="AA28" s="2">
        <v>9400</v>
      </c>
    </row>
    <row r="29" spans="1:27" x14ac:dyDescent="0.25">
      <c r="A29">
        <v>5007</v>
      </c>
      <c r="B29">
        <v>31</v>
      </c>
      <c r="C29" t="s">
        <v>149</v>
      </c>
      <c r="H29" t="s">
        <v>287</v>
      </c>
      <c r="I29" t="s">
        <v>610</v>
      </c>
      <c r="J29" s="1" t="s">
        <v>612</v>
      </c>
      <c r="K29" s="1" t="s">
        <v>613</v>
      </c>
      <c r="L29" s="1" t="s">
        <v>624</v>
      </c>
      <c r="U29" t="s">
        <v>434</v>
      </c>
      <c r="V29" s="2">
        <v>0</v>
      </c>
      <c r="W29" s="2">
        <v>1800000</v>
      </c>
      <c r="X29" s="2">
        <v>0</v>
      </c>
      <c r="Y29" s="2">
        <v>0</v>
      </c>
      <c r="Z29" s="2">
        <v>1800000</v>
      </c>
      <c r="AA29" s="2">
        <v>1800000</v>
      </c>
    </row>
    <row r="30" spans="1:27" x14ac:dyDescent="0.25">
      <c r="A30">
        <v>5007</v>
      </c>
      <c r="B30" s="2">
        <v>13</v>
      </c>
      <c r="C30" t="s">
        <v>150</v>
      </c>
      <c r="D30" t="s">
        <v>159</v>
      </c>
      <c r="E30" t="s">
        <v>423</v>
      </c>
      <c r="F30" t="s">
        <v>426</v>
      </c>
      <c r="G30" t="s">
        <v>428</v>
      </c>
      <c r="I30" t="s">
        <v>610</v>
      </c>
      <c r="J30" s="1" t="s">
        <v>612</v>
      </c>
      <c r="K30" s="1" t="s">
        <v>613</v>
      </c>
      <c r="L30" s="1" t="s">
        <v>624</v>
      </c>
      <c r="U30" t="s">
        <v>434</v>
      </c>
      <c r="V30" s="2">
        <v>230695</v>
      </c>
      <c r="W30" s="2">
        <v>1</v>
      </c>
      <c r="X30" s="2">
        <v>43832</v>
      </c>
      <c r="Y30" s="2">
        <v>0</v>
      </c>
      <c r="Z30" s="2">
        <v>274528</v>
      </c>
      <c r="AA30" s="2">
        <v>274528</v>
      </c>
    </row>
    <row r="31" spans="1:27" x14ac:dyDescent="0.25">
      <c r="A31">
        <v>5007</v>
      </c>
      <c r="B31" s="2">
        <v>13</v>
      </c>
      <c r="C31" t="s">
        <v>151</v>
      </c>
      <c r="D31" t="s">
        <v>422</v>
      </c>
      <c r="E31" t="s">
        <v>424</v>
      </c>
      <c r="F31" t="s">
        <v>427</v>
      </c>
      <c r="G31" t="s">
        <v>429</v>
      </c>
      <c r="I31" t="s">
        <v>610</v>
      </c>
      <c r="J31" s="1" t="s">
        <v>612</v>
      </c>
      <c r="K31" s="1" t="s">
        <v>613</v>
      </c>
      <c r="L31" s="1" t="s">
        <v>624</v>
      </c>
      <c r="U31" t="s">
        <v>434</v>
      </c>
      <c r="V31" s="2">
        <v>314284</v>
      </c>
      <c r="W31" s="2">
        <v>2</v>
      </c>
      <c r="X31" s="2">
        <v>59714</v>
      </c>
      <c r="Y31" s="2">
        <v>0</v>
      </c>
      <c r="Z31" s="2">
        <v>374000</v>
      </c>
      <c r="AA31" s="2">
        <v>374000</v>
      </c>
    </row>
    <row r="32" spans="1:27" x14ac:dyDescent="0.25">
      <c r="A32">
        <v>5007</v>
      </c>
      <c r="B32">
        <v>31</v>
      </c>
      <c r="C32" t="s">
        <v>152</v>
      </c>
      <c r="H32" t="s">
        <v>282</v>
      </c>
      <c r="I32" t="s">
        <v>610</v>
      </c>
      <c r="J32" s="1" t="s">
        <v>612</v>
      </c>
      <c r="K32" s="1" t="s">
        <v>613</v>
      </c>
      <c r="L32" s="1" t="s">
        <v>624</v>
      </c>
      <c r="U32" t="s">
        <v>434</v>
      </c>
      <c r="V32" s="2">
        <v>0</v>
      </c>
      <c r="W32" s="2">
        <v>14980256</v>
      </c>
      <c r="X32" s="2">
        <v>0</v>
      </c>
      <c r="Y32" s="2">
        <v>0</v>
      </c>
      <c r="Z32" s="2">
        <v>14980256</v>
      </c>
      <c r="AA32" s="2">
        <v>14980256</v>
      </c>
    </row>
    <row r="33" spans="1:28" x14ac:dyDescent="0.25">
      <c r="A33">
        <v>5007</v>
      </c>
      <c r="B33">
        <v>31</v>
      </c>
      <c r="C33" t="s">
        <v>153</v>
      </c>
      <c r="H33" t="s">
        <v>318</v>
      </c>
      <c r="I33" t="s">
        <v>610</v>
      </c>
      <c r="J33" s="1" t="s">
        <v>612</v>
      </c>
      <c r="K33" s="1" t="s">
        <v>613</v>
      </c>
      <c r="L33" s="1" t="s">
        <v>624</v>
      </c>
      <c r="U33" t="s">
        <v>434</v>
      </c>
      <c r="V33" s="2">
        <v>19094116</v>
      </c>
      <c r="W33" s="2">
        <v>2</v>
      </c>
      <c r="X33" s="2">
        <v>3627882</v>
      </c>
      <c r="Y33" s="2">
        <v>0</v>
      </c>
      <c r="Z33" s="2">
        <v>22722000</v>
      </c>
      <c r="AA33" s="2">
        <v>22722000</v>
      </c>
    </row>
    <row r="34" spans="1:28" x14ac:dyDescent="0.25">
      <c r="A34">
        <v>5007</v>
      </c>
      <c r="B34">
        <v>13</v>
      </c>
      <c r="C34" t="s">
        <v>154</v>
      </c>
      <c r="D34" t="s">
        <v>155</v>
      </c>
      <c r="E34" t="s">
        <v>155</v>
      </c>
      <c r="F34" t="s">
        <v>156</v>
      </c>
      <c r="G34" t="s">
        <v>113</v>
      </c>
      <c r="I34" t="s">
        <v>610</v>
      </c>
      <c r="J34" s="1" t="s">
        <v>612</v>
      </c>
      <c r="K34" s="1" t="s">
        <v>613</v>
      </c>
      <c r="L34" s="1" t="s">
        <v>624</v>
      </c>
      <c r="U34" t="s">
        <v>434</v>
      </c>
      <c r="V34" s="2">
        <v>3182079</v>
      </c>
      <c r="W34" s="2">
        <v>93018826</v>
      </c>
      <c r="X34" s="2">
        <v>604595</v>
      </c>
      <c r="Y34" s="2">
        <v>0</v>
      </c>
      <c r="Z34" s="2">
        <v>96805500</v>
      </c>
      <c r="AA34" s="2">
        <v>96805500</v>
      </c>
    </row>
    <row r="35" spans="1:28" x14ac:dyDescent="0.25">
      <c r="A35">
        <v>5007</v>
      </c>
      <c r="B35">
        <v>13</v>
      </c>
      <c r="C35" t="s">
        <v>157</v>
      </c>
      <c r="D35" t="s">
        <v>159</v>
      </c>
      <c r="E35" t="s">
        <v>160</v>
      </c>
      <c r="F35" t="s">
        <v>161</v>
      </c>
      <c r="G35" t="s">
        <v>162</v>
      </c>
      <c r="H35" t="s">
        <v>158</v>
      </c>
      <c r="I35" t="s">
        <v>163</v>
      </c>
      <c r="J35" s="1" t="s">
        <v>164</v>
      </c>
      <c r="K35" s="1" t="s">
        <v>165</v>
      </c>
      <c r="L35" s="1" t="s">
        <v>624</v>
      </c>
      <c r="U35" t="s">
        <v>434</v>
      </c>
      <c r="V35" s="2">
        <v>6911379</v>
      </c>
      <c r="W35" s="2">
        <v>15712888</v>
      </c>
      <c r="X35" s="2">
        <v>1313162</v>
      </c>
      <c r="Y35" s="2">
        <v>0</v>
      </c>
      <c r="Z35" s="2">
        <v>23937429</v>
      </c>
      <c r="AA35" s="2">
        <v>23937429</v>
      </c>
    </row>
    <row r="36" spans="1:28" x14ac:dyDescent="0.25">
      <c r="A36">
        <v>5007</v>
      </c>
      <c r="B36">
        <v>31</v>
      </c>
      <c r="C36" t="s">
        <v>166</v>
      </c>
      <c r="H36" t="s">
        <v>167</v>
      </c>
      <c r="I36" t="s">
        <v>168</v>
      </c>
      <c r="J36" s="1" t="s">
        <v>164</v>
      </c>
      <c r="K36" s="1" t="s">
        <v>165</v>
      </c>
      <c r="L36" s="1" t="s">
        <v>624</v>
      </c>
      <c r="U36" t="s">
        <v>434</v>
      </c>
      <c r="V36" s="2">
        <v>2006026</v>
      </c>
      <c r="W36" s="2">
        <v>85120</v>
      </c>
      <c r="X36" s="2">
        <v>381145</v>
      </c>
      <c r="Y36" s="2">
        <v>0</v>
      </c>
      <c r="Z36" s="2">
        <v>2472291</v>
      </c>
      <c r="AA36" s="2">
        <v>2472291</v>
      </c>
      <c r="AB36" t="s">
        <v>167</v>
      </c>
    </row>
    <row r="37" spans="1:28" x14ac:dyDescent="0.25">
      <c r="A37">
        <v>5007</v>
      </c>
      <c r="B37">
        <v>31</v>
      </c>
      <c r="C37" t="s">
        <v>169</v>
      </c>
      <c r="H37" t="s">
        <v>170</v>
      </c>
      <c r="I37" t="s">
        <v>618</v>
      </c>
      <c r="J37" s="1" t="s">
        <v>619</v>
      </c>
      <c r="K37" s="1" t="s">
        <v>620</v>
      </c>
      <c r="L37" s="1" t="s">
        <v>624</v>
      </c>
      <c r="U37" t="s">
        <v>434</v>
      </c>
      <c r="V37" s="2">
        <v>9285500</v>
      </c>
      <c r="W37" s="2">
        <v>0</v>
      </c>
      <c r="X37" s="2">
        <v>1764245</v>
      </c>
      <c r="Y37" s="2">
        <v>0</v>
      </c>
      <c r="Z37" s="2">
        <v>11049745</v>
      </c>
      <c r="AA37" s="2">
        <v>11049745</v>
      </c>
      <c r="AB37" t="s">
        <v>170</v>
      </c>
    </row>
    <row r="38" spans="1:28" x14ac:dyDescent="0.25">
      <c r="A38">
        <v>5007</v>
      </c>
      <c r="B38">
        <v>31</v>
      </c>
      <c r="C38" t="s">
        <v>171</v>
      </c>
      <c r="H38" t="s">
        <v>172</v>
      </c>
      <c r="I38" t="s">
        <v>173</v>
      </c>
      <c r="J38" s="1" t="s">
        <v>174</v>
      </c>
      <c r="K38" s="1" t="s">
        <v>117</v>
      </c>
      <c r="L38" s="1" t="s">
        <v>624</v>
      </c>
      <c r="U38" t="s">
        <v>434</v>
      </c>
      <c r="V38" s="2">
        <v>5025226</v>
      </c>
      <c r="W38" s="2">
        <v>12484247</v>
      </c>
      <c r="X38" s="2">
        <v>954793</v>
      </c>
      <c r="Y38" s="2">
        <v>0</v>
      </c>
      <c r="Z38" s="2">
        <v>18464266</v>
      </c>
      <c r="AA38" s="2">
        <v>18464266</v>
      </c>
      <c r="AB38" t="s">
        <v>172</v>
      </c>
    </row>
    <row r="39" spans="1:28" x14ac:dyDescent="0.25">
      <c r="A39">
        <v>5007</v>
      </c>
      <c r="B39">
        <v>31</v>
      </c>
      <c r="C39" t="s">
        <v>175</v>
      </c>
      <c r="H39" t="s">
        <v>176</v>
      </c>
      <c r="I39" t="s">
        <v>615</v>
      </c>
      <c r="J39" s="1" t="s">
        <v>116</v>
      </c>
      <c r="K39" s="1" t="s">
        <v>117</v>
      </c>
      <c r="L39" s="1" t="s">
        <v>624</v>
      </c>
      <c r="U39" t="s">
        <v>434</v>
      </c>
      <c r="V39" s="2">
        <v>7246068</v>
      </c>
      <c r="W39" s="2">
        <v>16437877</v>
      </c>
      <c r="X39" s="2">
        <v>1376753</v>
      </c>
      <c r="Y39" s="2">
        <v>0</v>
      </c>
      <c r="Z39" s="2">
        <v>25060698</v>
      </c>
      <c r="AA39" s="2">
        <v>25060698</v>
      </c>
      <c r="AB39" t="s">
        <v>176</v>
      </c>
    </row>
    <row r="40" spans="1:28" x14ac:dyDescent="0.25">
      <c r="A40">
        <v>5007</v>
      </c>
      <c r="B40">
        <v>31</v>
      </c>
      <c r="C40" t="s">
        <v>177</v>
      </c>
      <c r="H40" t="s">
        <v>178</v>
      </c>
      <c r="I40" t="s">
        <v>179</v>
      </c>
      <c r="J40" s="1" t="s">
        <v>180</v>
      </c>
      <c r="K40" s="1" t="s">
        <v>117</v>
      </c>
      <c r="L40" s="1" t="s">
        <v>624</v>
      </c>
      <c r="U40" t="s">
        <v>434</v>
      </c>
      <c r="V40" s="2">
        <v>2852009</v>
      </c>
      <c r="W40" s="2">
        <v>0</v>
      </c>
      <c r="X40" s="2">
        <v>541883</v>
      </c>
      <c r="Y40" s="2">
        <v>0</v>
      </c>
      <c r="Z40" s="2">
        <v>3393892</v>
      </c>
      <c r="AA40" s="2">
        <v>3393892</v>
      </c>
      <c r="AB40" t="s">
        <v>178</v>
      </c>
    </row>
    <row r="41" spans="1:28" x14ac:dyDescent="0.25">
      <c r="A41">
        <v>5007</v>
      </c>
      <c r="B41">
        <v>31</v>
      </c>
      <c r="C41" t="s">
        <v>181</v>
      </c>
      <c r="H41" t="s">
        <v>182</v>
      </c>
      <c r="I41" t="s">
        <v>183</v>
      </c>
      <c r="J41" s="1" t="s">
        <v>180</v>
      </c>
      <c r="K41" s="1" t="s">
        <v>117</v>
      </c>
      <c r="L41" s="1" t="s">
        <v>624</v>
      </c>
      <c r="U41" t="s">
        <v>434</v>
      </c>
      <c r="V41" s="2">
        <v>6938826</v>
      </c>
      <c r="W41" s="2">
        <v>390656</v>
      </c>
      <c r="X41" s="2">
        <v>1318377</v>
      </c>
      <c r="Y41" s="2">
        <v>0</v>
      </c>
      <c r="Z41" s="2">
        <v>8647859</v>
      </c>
      <c r="AA41" s="2">
        <v>8647859</v>
      </c>
      <c r="AB41" t="s">
        <v>182</v>
      </c>
    </row>
    <row r="42" spans="1:28" x14ac:dyDescent="0.25">
      <c r="A42">
        <v>5007</v>
      </c>
      <c r="B42">
        <v>31</v>
      </c>
      <c r="C42" t="s">
        <v>184</v>
      </c>
      <c r="H42" t="s">
        <v>185</v>
      </c>
      <c r="I42" t="s">
        <v>610</v>
      </c>
      <c r="J42" s="1" t="s">
        <v>612</v>
      </c>
      <c r="K42" s="1" t="s">
        <v>613</v>
      </c>
      <c r="L42" s="1" t="s">
        <v>624</v>
      </c>
      <c r="U42" t="s">
        <v>434</v>
      </c>
      <c r="V42" s="2">
        <v>61111479</v>
      </c>
      <c r="W42" s="2">
        <v>107023013</v>
      </c>
      <c r="X42" s="2">
        <v>11611181</v>
      </c>
      <c r="Y42" s="2">
        <v>0</v>
      </c>
      <c r="Z42" s="2">
        <v>179745673</v>
      </c>
      <c r="AA42" s="2">
        <v>179745673</v>
      </c>
      <c r="AB42" t="s">
        <v>185</v>
      </c>
    </row>
    <row r="43" spans="1:28" x14ac:dyDescent="0.25">
      <c r="A43">
        <v>5007</v>
      </c>
      <c r="B43">
        <v>31</v>
      </c>
      <c r="C43" t="s">
        <v>186</v>
      </c>
      <c r="H43" t="s">
        <v>187</v>
      </c>
      <c r="I43" t="s">
        <v>188</v>
      </c>
      <c r="J43" s="1" t="s">
        <v>189</v>
      </c>
      <c r="K43" s="1" t="s">
        <v>190</v>
      </c>
      <c r="L43" s="1" t="s">
        <v>624</v>
      </c>
      <c r="U43" t="s">
        <v>434</v>
      </c>
      <c r="V43" s="2">
        <v>6677711</v>
      </c>
      <c r="W43" s="2">
        <v>975810</v>
      </c>
      <c r="X43" s="2">
        <v>1268765</v>
      </c>
      <c r="Y43" s="2">
        <v>0</v>
      </c>
      <c r="Z43" s="2">
        <v>8922286</v>
      </c>
      <c r="AA43" s="2">
        <v>8922286</v>
      </c>
      <c r="AB43" t="s">
        <v>187</v>
      </c>
    </row>
    <row r="44" spans="1:28" x14ac:dyDescent="0.25">
      <c r="A44">
        <v>5007</v>
      </c>
      <c r="B44">
        <v>31</v>
      </c>
      <c r="C44" t="s">
        <v>191</v>
      </c>
      <c r="H44" t="s">
        <v>192</v>
      </c>
      <c r="I44" t="s">
        <v>193</v>
      </c>
      <c r="J44" s="1" t="s">
        <v>174</v>
      </c>
      <c r="K44" s="1" t="s">
        <v>117</v>
      </c>
      <c r="L44" s="1" t="s">
        <v>624</v>
      </c>
      <c r="U44" t="s">
        <v>434</v>
      </c>
      <c r="V44" s="2">
        <v>21804863</v>
      </c>
      <c r="W44" s="2">
        <v>13</v>
      </c>
      <c r="X44" s="2">
        <v>4142924</v>
      </c>
      <c r="Y44" s="2">
        <v>0</v>
      </c>
      <c r="Z44" s="2">
        <v>25947800</v>
      </c>
      <c r="AA44" s="2">
        <v>25947800</v>
      </c>
      <c r="AB44" t="s">
        <v>192</v>
      </c>
    </row>
    <row r="45" spans="1:28" x14ac:dyDescent="0.25">
      <c r="A45">
        <v>5007</v>
      </c>
      <c r="B45">
        <v>31</v>
      </c>
      <c r="C45" t="s">
        <v>194</v>
      </c>
      <c r="H45" t="s">
        <v>195</v>
      </c>
      <c r="I45" t="s">
        <v>616</v>
      </c>
      <c r="J45" s="1" t="s">
        <v>164</v>
      </c>
      <c r="K45" s="1" t="s">
        <v>196</v>
      </c>
      <c r="L45" s="1" t="s">
        <v>624</v>
      </c>
      <c r="U45" t="s">
        <v>434</v>
      </c>
      <c r="V45" s="2">
        <v>0</v>
      </c>
      <c r="W45" s="2">
        <v>4700</v>
      </c>
      <c r="X45" s="2">
        <v>0</v>
      </c>
      <c r="Y45" s="2">
        <v>0</v>
      </c>
      <c r="Z45" s="2">
        <v>4700</v>
      </c>
      <c r="AA45" s="2">
        <v>4700</v>
      </c>
      <c r="AB45" t="s">
        <v>195</v>
      </c>
    </row>
    <row r="46" spans="1:28" x14ac:dyDescent="0.25">
      <c r="A46">
        <v>5007</v>
      </c>
      <c r="B46">
        <v>31</v>
      </c>
      <c r="C46" t="s">
        <v>197</v>
      </c>
      <c r="H46" t="s">
        <v>198</v>
      </c>
      <c r="I46" t="s">
        <v>610</v>
      </c>
      <c r="J46" s="1" t="s">
        <v>612</v>
      </c>
      <c r="K46" s="1" t="s">
        <v>613</v>
      </c>
      <c r="L46" s="1" t="s">
        <v>624</v>
      </c>
      <c r="U46" t="s">
        <v>434</v>
      </c>
      <c r="V46" s="2">
        <v>19360842</v>
      </c>
      <c r="W46" s="2">
        <v>10036895</v>
      </c>
      <c r="X46" s="2">
        <v>3678560</v>
      </c>
      <c r="Y46" s="2">
        <v>0</v>
      </c>
      <c r="Z46" s="2">
        <v>33076297</v>
      </c>
      <c r="AA46" s="2">
        <v>33076297</v>
      </c>
      <c r="AB46" t="s">
        <v>198</v>
      </c>
    </row>
    <row r="47" spans="1:28" x14ac:dyDescent="0.25">
      <c r="A47">
        <v>5007</v>
      </c>
      <c r="B47">
        <v>31</v>
      </c>
      <c r="C47" t="s">
        <v>199</v>
      </c>
      <c r="H47" t="s">
        <v>200</v>
      </c>
      <c r="I47" t="s">
        <v>610</v>
      </c>
      <c r="J47" s="1" t="s">
        <v>612</v>
      </c>
      <c r="K47" s="1" t="s">
        <v>613</v>
      </c>
      <c r="L47" s="1" t="s">
        <v>624</v>
      </c>
      <c r="U47" t="s">
        <v>434</v>
      </c>
      <c r="V47" s="2">
        <v>3080026</v>
      </c>
      <c r="W47" s="2">
        <v>2604285</v>
      </c>
      <c r="X47" s="2">
        <v>585205</v>
      </c>
      <c r="Y47" s="2">
        <v>0</v>
      </c>
      <c r="Z47" s="2">
        <v>6269516</v>
      </c>
      <c r="AA47" s="2">
        <v>6269516</v>
      </c>
      <c r="AB47" t="s">
        <v>200</v>
      </c>
    </row>
    <row r="48" spans="1:28" x14ac:dyDescent="0.25">
      <c r="A48">
        <v>5007</v>
      </c>
      <c r="B48">
        <v>31</v>
      </c>
      <c r="C48" t="s">
        <v>201</v>
      </c>
      <c r="H48" t="s">
        <v>202</v>
      </c>
      <c r="I48" t="s">
        <v>203</v>
      </c>
      <c r="J48" s="1" t="s">
        <v>116</v>
      </c>
      <c r="K48" s="1" t="s">
        <v>117</v>
      </c>
      <c r="L48" s="1" t="s">
        <v>624</v>
      </c>
      <c r="U48" t="s">
        <v>434</v>
      </c>
      <c r="V48" s="2">
        <v>37195</v>
      </c>
      <c r="W48" s="2">
        <v>175038</v>
      </c>
      <c r="X48" s="2">
        <v>7067</v>
      </c>
      <c r="Y48" s="2">
        <v>0</v>
      </c>
      <c r="Z48" s="2">
        <v>219300</v>
      </c>
      <c r="AA48" s="2">
        <v>219300</v>
      </c>
      <c r="AB48" t="s">
        <v>202</v>
      </c>
    </row>
    <row r="49" spans="1:28" x14ac:dyDescent="0.25">
      <c r="A49">
        <v>5007</v>
      </c>
      <c r="B49">
        <v>31</v>
      </c>
      <c r="C49" t="s">
        <v>204</v>
      </c>
      <c r="H49" t="s">
        <v>205</v>
      </c>
      <c r="I49" t="s">
        <v>206</v>
      </c>
      <c r="J49" s="1" t="s">
        <v>174</v>
      </c>
      <c r="K49" s="1" t="s">
        <v>207</v>
      </c>
      <c r="L49" s="1" t="s">
        <v>624</v>
      </c>
      <c r="U49" t="s">
        <v>434</v>
      </c>
      <c r="V49" s="2">
        <v>16534232</v>
      </c>
      <c r="W49" s="2">
        <v>2</v>
      </c>
      <c r="X49" s="2">
        <v>3141504</v>
      </c>
      <c r="Y49" s="2">
        <v>0</v>
      </c>
      <c r="Z49" s="2">
        <v>19675738</v>
      </c>
      <c r="AA49" s="2">
        <v>19675738</v>
      </c>
      <c r="AB49" t="s">
        <v>205</v>
      </c>
    </row>
    <row r="50" spans="1:28" x14ac:dyDescent="0.25">
      <c r="A50">
        <v>5007</v>
      </c>
      <c r="B50">
        <v>31</v>
      </c>
      <c r="C50" t="s">
        <v>208</v>
      </c>
      <c r="H50" t="s">
        <v>209</v>
      </c>
      <c r="I50" t="s">
        <v>621</v>
      </c>
      <c r="J50" s="1" t="s">
        <v>619</v>
      </c>
      <c r="K50" s="1" t="s">
        <v>620</v>
      </c>
      <c r="L50" s="1" t="s">
        <v>624</v>
      </c>
      <c r="U50" t="s">
        <v>434</v>
      </c>
      <c r="V50" s="2">
        <v>72465921</v>
      </c>
      <c r="W50" s="2">
        <v>3630065</v>
      </c>
      <c r="X50" s="2">
        <v>13768525</v>
      </c>
      <c r="Y50" s="2">
        <v>0</v>
      </c>
      <c r="Z50" s="2">
        <v>89864511</v>
      </c>
      <c r="AA50" s="2">
        <v>89864511</v>
      </c>
      <c r="AB50" t="s">
        <v>209</v>
      </c>
    </row>
    <row r="51" spans="1:28" x14ac:dyDescent="0.25">
      <c r="A51">
        <v>5007</v>
      </c>
      <c r="B51">
        <v>31</v>
      </c>
      <c r="C51" t="s">
        <v>210</v>
      </c>
      <c r="H51" t="s">
        <v>211</v>
      </c>
      <c r="I51" t="s">
        <v>212</v>
      </c>
      <c r="J51" s="1" t="s">
        <v>213</v>
      </c>
      <c r="K51" s="1" t="s">
        <v>117</v>
      </c>
      <c r="L51" s="1" t="s">
        <v>624</v>
      </c>
      <c r="U51" t="s">
        <v>434</v>
      </c>
      <c r="V51" s="2">
        <v>20439916</v>
      </c>
      <c r="W51" s="2">
        <v>21790962</v>
      </c>
      <c r="X51" s="2">
        <v>3883584</v>
      </c>
      <c r="Y51" s="2">
        <v>0</v>
      </c>
      <c r="Z51" s="2">
        <v>46114462</v>
      </c>
      <c r="AA51" s="2">
        <v>46114462</v>
      </c>
      <c r="AB51" t="s">
        <v>211</v>
      </c>
    </row>
    <row r="52" spans="1:28" x14ac:dyDescent="0.25">
      <c r="A52">
        <v>5007</v>
      </c>
      <c r="B52">
        <v>31</v>
      </c>
      <c r="C52" t="s">
        <v>214</v>
      </c>
      <c r="H52" t="s">
        <v>215</v>
      </c>
      <c r="I52" t="s">
        <v>614</v>
      </c>
      <c r="J52" s="1" t="s">
        <v>619</v>
      </c>
      <c r="K52" s="1" t="s">
        <v>620</v>
      </c>
      <c r="L52" s="1" t="s">
        <v>624</v>
      </c>
      <c r="U52" t="s">
        <v>434</v>
      </c>
      <c r="V52" s="2">
        <v>0</v>
      </c>
      <c r="W52" s="2">
        <v>8400</v>
      </c>
      <c r="X52" s="2">
        <v>0</v>
      </c>
      <c r="Y52" s="2">
        <v>0</v>
      </c>
      <c r="Z52" s="2">
        <v>8400</v>
      </c>
      <c r="AA52" s="2">
        <v>8400</v>
      </c>
      <c r="AB52" t="s">
        <v>215</v>
      </c>
    </row>
    <row r="53" spans="1:28" x14ac:dyDescent="0.25">
      <c r="A53">
        <v>5007</v>
      </c>
      <c r="B53">
        <v>31</v>
      </c>
      <c r="C53" t="s">
        <v>216</v>
      </c>
      <c r="H53" t="s">
        <v>217</v>
      </c>
      <c r="I53" t="s">
        <v>218</v>
      </c>
      <c r="J53" s="1" t="s">
        <v>164</v>
      </c>
      <c r="K53" s="1" t="s">
        <v>196</v>
      </c>
      <c r="L53" s="1" t="s">
        <v>624</v>
      </c>
      <c r="U53" t="s">
        <v>434</v>
      </c>
      <c r="V53" s="2">
        <v>1228358</v>
      </c>
      <c r="W53" s="2">
        <v>11584751</v>
      </c>
      <c r="X53" s="2">
        <v>233388</v>
      </c>
      <c r="Y53" s="2">
        <v>0</v>
      </c>
      <c r="Z53" s="2">
        <v>13046497</v>
      </c>
      <c r="AA53" s="2">
        <v>13046497</v>
      </c>
      <c r="AB53" t="s">
        <v>217</v>
      </c>
    </row>
    <row r="54" spans="1:28" x14ac:dyDescent="0.25">
      <c r="A54">
        <v>5007</v>
      </c>
      <c r="B54">
        <v>31</v>
      </c>
      <c r="C54" t="s">
        <v>219</v>
      </c>
      <c r="H54" t="s">
        <v>220</v>
      </c>
      <c r="I54" t="s">
        <v>221</v>
      </c>
      <c r="J54" s="1" t="s">
        <v>164</v>
      </c>
      <c r="K54" s="1" t="s">
        <v>165</v>
      </c>
      <c r="L54" s="1" t="s">
        <v>624</v>
      </c>
      <c r="U54" t="s">
        <v>434</v>
      </c>
      <c r="V54" s="2">
        <v>1916567</v>
      </c>
      <c r="W54" s="2">
        <v>0</v>
      </c>
      <c r="X54" s="2">
        <v>364148</v>
      </c>
      <c r="Y54" s="2">
        <v>0</v>
      </c>
      <c r="Z54" s="2">
        <v>2280715</v>
      </c>
      <c r="AA54" s="2">
        <v>2280715</v>
      </c>
      <c r="AB54" t="s">
        <v>220</v>
      </c>
    </row>
    <row r="55" spans="1:28" x14ac:dyDescent="0.25">
      <c r="A55">
        <v>5007</v>
      </c>
      <c r="B55">
        <v>31</v>
      </c>
      <c r="C55" t="s">
        <v>222</v>
      </c>
      <c r="H55" t="s">
        <v>223</v>
      </c>
      <c r="I55" t="s">
        <v>610</v>
      </c>
      <c r="J55" s="1" t="s">
        <v>612</v>
      </c>
      <c r="K55" s="1" t="s">
        <v>613</v>
      </c>
      <c r="L55" s="1" t="s">
        <v>624</v>
      </c>
      <c r="U55" t="s">
        <v>434</v>
      </c>
      <c r="V55" s="2">
        <v>12166700</v>
      </c>
      <c r="W55" s="2">
        <v>7643230</v>
      </c>
      <c r="X55" s="2">
        <v>2311673</v>
      </c>
      <c r="Y55" s="2">
        <v>0</v>
      </c>
      <c r="Z55" s="2">
        <v>22121603</v>
      </c>
      <c r="AA55" s="2">
        <v>22121603</v>
      </c>
      <c r="AB55" t="s">
        <v>223</v>
      </c>
    </row>
    <row r="56" spans="1:28" x14ac:dyDescent="0.25">
      <c r="A56">
        <v>5007</v>
      </c>
      <c r="B56">
        <v>31</v>
      </c>
      <c r="C56" t="s">
        <v>224</v>
      </c>
      <c r="H56" t="s">
        <v>225</v>
      </c>
      <c r="I56" t="s">
        <v>226</v>
      </c>
      <c r="J56" s="1" t="s">
        <v>164</v>
      </c>
      <c r="K56" s="1" t="s">
        <v>227</v>
      </c>
      <c r="L56" s="1" t="s">
        <v>624</v>
      </c>
      <c r="U56" t="s">
        <v>434</v>
      </c>
      <c r="V56" s="2">
        <v>352042</v>
      </c>
      <c r="W56" s="2">
        <v>66</v>
      </c>
      <c r="X56" s="2">
        <v>66888</v>
      </c>
      <c r="Y56" s="2">
        <v>0</v>
      </c>
      <c r="Z56" s="2">
        <v>418996</v>
      </c>
      <c r="AA56" s="2">
        <v>418996</v>
      </c>
      <c r="AB56" t="s">
        <v>225</v>
      </c>
    </row>
    <row r="57" spans="1:28" x14ac:dyDescent="0.25">
      <c r="A57">
        <v>5007</v>
      </c>
      <c r="B57">
        <v>31</v>
      </c>
      <c r="C57" t="s">
        <v>228</v>
      </c>
      <c r="H57" t="s">
        <v>229</v>
      </c>
      <c r="I57" t="s">
        <v>230</v>
      </c>
      <c r="J57" s="1" t="s">
        <v>174</v>
      </c>
      <c r="K57" s="1" t="s">
        <v>117</v>
      </c>
      <c r="L57" s="1" t="s">
        <v>624</v>
      </c>
      <c r="U57" t="s">
        <v>434</v>
      </c>
      <c r="V57" s="2">
        <v>0</v>
      </c>
      <c r="W57" s="2">
        <v>43510500</v>
      </c>
      <c r="X57" s="2">
        <v>0</v>
      </c>
      <c r="Y57" s="2">
        <v>0</v>
      </c>
      <c r="Z57" s="2">
        <v>43510500</v>
      </c>
      <c r="AA57" s="2">
        <v>43510500</v>
      </c>
      <c r="AB57" t="s">
        <v>229</v>
      </c>
    </row>
    <row r="58" spans="1:28" x14ac:dyDescent="0.25">
      <c r="A58">
        <v>5007</v>
      </c>
      <c r="B58">
        <v>31</v>
      </c>
      <c r="C58" t="s">
        <v>231</v>
      </c>
      <c r="H58" t="s">
        <v>232</v>
      </c>
      <c r="I58" t="s">
        <v>610</v>
      </c>
      <c r="J58" s="1" t="s">
        <v>612</v>
      </c>
      <c r="K58" s="1" t="s">
        <v>613</v>
      </c>
      <c r="L58" s="1" t="s">
        <v>624</v>
      </c>
      <c r="U58" t="s">
        <v>434</v>
      </c>
      <c r="V58" s="2">
        <v>7866</v>
      </c>
      <c r="W58" s="2">
        <v>0</v>
      </c>
      <c r="X58" s="2">
        <v>1495</v>
      </c>
      <c r="Y58" s="2">
        <v>0</v>
      </c>
      <c r="Z58" s="2">
        <v>9361</v>
      </c>
      <c r="AA58" s="2">
        <v>9361</v>
      </c>
      <c r="AB58" t="s">
        <v>232</v>
      </c>
    </row>
    <row r="59" spans="1:28" x14ac:dyDescent="0.25">
      <c r="A59">
        <v>5007</v>
      </c>
      <c r="B59">
        <v>31</v>
      </c>
      <c r="C59" t="s">
        <v>233</v>
      </c>
      <c r="H59" t="s">
        <v>234</v>
      </c>
      <c r="I59" t="s">
        <v>235</v>
      </c>
      <c r="J59" s="1" t="s">
        <v>180</v>
      </c>
      <c r="K59" s="1" t="s">
        <v>117</v>
      </c>
      <c r="L59" s="1" t="s">
        <v>624</v>
      </c>
      <c r="U59" t="s">
        <v>434</v>
      </c>
      <c r="V59" s="2">
        <v>4029653</v>
      </c>
      <c r="W59" s="2">
        <v>802519</v>
      </c>
      <c r="X59" s="2">
        <v>765634</v>
      </c>
      <c r="Y59" s="2">
        <v>0</v>
      </c>
      <c r="Z59" s="2">
        <v>5597806</v>
      </c>
      <c r="AA59" s="2">
        <v>5597806</v>
      </c>
      <c r="AB59" t="s">
        <v>234</v>
      </c>
    </row>
    <row r="60" spans="1:28" x14ac:dyDescent="0.25">
      <c r="A60">
        <v>5007</v>
      </c>
      <c r="B60">
        <v>31</v>
      </c>
      <c r="C60" t="s">
        <v>236</v>
      </c>
      <c r="H60" t="s">
        <v>237</v>
      </c>
      <c r="I60" t="s">
        <v>610</v>
      </c>
      <c r="J60" s="1" t="s">
        <v>612</v>
      </c>
      <c r="K60" s="1" t="s">
        <v>613</v>
      </c>
      <c r="L60" s="1" t="s">
        <v>624</v>
      </c>
      <c r="U60" t="s">
        <v>434</v>
      </c>
      <c r="V60" s="2">
        <v>0</v>
      </c>
      <c r="W60" s="2">
        <v>6992206</v>
      </c>
      <c r="X60" s="2">
        <v>0</v>
      </c>
      <c r="Y60" s="2">
        <v>0</v>
      </c>
      <c r="Z60" s="2">
        <v>6992206</v>
      </c>
      <c r="AA60" s="2">
        <v>6992206</v>
      </c>
      <c r="AB60" t="s">
        <v>237</v>
      </c>
    </row>
    <row r="61" spans="1:28" x14ac:dyDescent="0.25">
      <c r="A61">
        <v>5007</v>
      </c>
      <c r="B61">
        <v>31</v>
      </c>
      <c r="C61" t="s">
        <v>238</v>
      </c>
      <c r="H61" t="s">
        <v>239</v>
      </c>
      <c r="I61" t="s">
        <v>240</v>
      </c>
      <c r="J61" s="1" t="s">
        <v>164</v>
      </c>
      <c r="K61" s="1" t="s">
        <v>165</v>
      </c>
      <c r="L61" s="1" t="s">
        <v>624</v>
      </c>
      <c r="U61" t="s">
        <v>434</v>
      </c>
      <c r="V61" s="2">
        <v>61956595</v>
      </c>
      <c r="W61" s="2">
        <v>27335355</v>
      </c>
      <c r="X61" s="2">
        <v>11771753</v>
      </c>
      <c r="Y61" s="2">
        <v>0</v>
      </c>
      <c r="Z61" s="2">
        <v>101063703</v>
      </c>
      <c r="AA61" s="2">
        <v>101063703</v>
      </c>
      <c r="AB61" t="s">
        <v>239</v>
      </c>
    </row>
    <row r="62" spans="1:28" x14ac:dyDescent="0.25">
      <c r="A62">
        <v>5007</v>
      </c>
      <c r="B62">
        <v>31</v>
      </c>
      <c r="C62" t="s">
        <v>241</v>
      </c>
      <c r="H62" t="s">
        <v>242</v>
      </c>
      <c r="I62" t="s">
        <v>243</v>
      </c>
      <c r="J62" s="1" t="s">
        <v>180</v>
      </c>
      <c r="K62" s="1" t="s">
        <v>117</v>
      </c>
      <c r="L62" s="1" t="s">
        <v>624</v>
      </c>
      <c r="U62" t="s">
        <v>434</v>
      </c>
      <c r="V62" s="2">
        <v>5142858</v>
      </c>
      <c r="W62" s="2">
        <v>104523</v>
      </c>
      <c r="X62" s="2">
        <v>977143</v>
      </c>
      <c r="Y62" s="2">
        <v>0</v>
      </c>
      <c r="Z62" s="2">
        <v>6224524</v>
      </c>
      <c r="AA62" s="2">
        <v>6224524</v>
      </c>
      <c r="AB62" t="s">
        <v>242</v>
      </c>
    </row>
    <row r="63" spans="1:28" x14ac:dyDescent="0.25">
      <c r="A63">
        <v>5007</v>
      </c>
      <c r="B63">
        <v>31</v>
      </c>
      <c r="C63" t="s">
        <v>244</v>
      </c>
      <c r="H63" t="s">
        <v>245</v>
      </c>
      <c r="I63" t="s">
        <v>610</v>
      </c>
      <c r="J63" s="1" t="s">
        <v>612</v>
      </c>
      <c r="K63" s="1" t="s">
        <v>613</v>
      </c>
      <c r="L63" s="1" t="s">
        <v>624</v>
      </c>
      <c r="U63" t="s">
        <v>434</v>
      </c>
      <c r="V63" s="2">
        <v>67889</v>
      </c>
      <c r="W63" s="2">
        <v>1</v>
      </c>
      <c r="X63" s="2">
        <v>12899</v>
      </c>
      <c r="Y63" s="2">
        <v>0</v>
      </c>
      <c r="Z63" s="2">
        <v>80789</v>
      </c>
      <c r="AA63" s="2">
        <v>80789</v>
      </c>
      <c r="AB63" t="s">
        <v>245</v>
      </c>
    </row>
    <row r="64" spans="1:28" x14ac:dyDescent="0.25">
      <c r="A64">
        <v>5007</v>
      </c>
      <c r="B64">
        <v>31</v>
      </c>
      <c r="C64" t="s">
        <v>246</v>
      </c>
      <c r="H64" t="s">
        <v>247</v>
      </c>
      <c r="I64" t="s">
        <v>610</v>
      </c>
      <c r="J64" s="1" t="s">
        <v>612</v>
      </c>
      <c r="K64" s="1" t="s">
        <v>613</v>
      </c>
      <c r="L64" s="1" t="s">
        <v>624</v>
      </c>
      <c r="U64" t="s">
        <v>434</v>
      </c>
      <c r="V64" s="2">
        <v>107426</v>
      </c>
      <c r="W64" s="2">
        <v>3</v>
      </c>
      <c r="X64" s="2">
        <v>20411</v>
      </c>
      <c r="Y64" s="2">
        <v>0</v>
      </c>
      <c r="Z64" s="2">
        <v>127840</v>
      </c>
      <c r="AA64" s="2">
        <v>127840</v>
      </c>
      <c r="AB64" t="s">
        <v>247</v>
      </c>
    </row>
    <row r="65" spans="1:28" x14ac:dyDescent="0.25">
      <c r="A65">
        <v>5007</v>
      </c>
      <c r="B65">
        <v>31</v>
      </c>
      <c r="C65" t="s">
        <v>248</v>
      </c>
      <c r="H65" t="s">
        <v>249</v>
      </c>
      <c r="I65" t="s">
        <v>250</v>
      </c>
      <c r="J65" s="1" t="s">
        <v>251</v>
      </c>
      <c r="K65" s="1" t="s">
        <v>117</v>
      </c>
      <c r="L65" s="1" t="s">
        <v>624</v>
      </c>
      <c r="U65" t="s">
        <v>434</v>
      </c>
      <c r="V65" s="2">
        <v>5186742</v>
      </c>
      <c r="W65" s="2">
        <v>58754367</v>
      </c>
      <c r="X65" s="2">
        <v>985481</v>
      </c>
      <c r="Y65" s="2">
        <v>0</v>
      </c>
      <c r="Z65" s="2">
        <v>64926590</v>
      </c>
      <c r="AA65" s="2">
        <v>64926590</v>
      </c>
      <c r="AB65" t="s">
        <v>249</v>
      </c>
    </row>
    <row r="66" spans="1:28" x14ac:dyDescent="0.25">
      <c r="A66">
        <v>5007</v>
      </c>
      <c r="B66">
        <v>31</v>
      </c>
      <c r="C66" t="s">
        <v>252</v>
      </c>
      <c r="H66" t="s">
        <v>253</v>
      </c>
      <c r="I66" t="s">
        <v>254</v>
      </c>
      <c r="J66" s="1" t="s">
        <v>619</v>
      </c>
      <c r="K66" s="1" t="s">
        <v>620</v>
      </c>
      <c r="L66" s="1" t="s">
        <v>624</v>
      </c>
      <c r="U66" t="s">
        <v>434</v>
      </c>
      <c r="V66" s="2">
        <v>7522468</v>
      </c>
      <c r="W66" s="2">
        <v>3315949</v>
      </c>
      <c r="X66" s="2">
        <v>1429269</v>
      </c>
      <c r="Y66" s="2">
        <v>0</v>
      </c>
      <c r="Z66" s="2">
        <v>12267686</v>
      </c>
      <c r="AA66" s="2">
        <v>12267686</v>
      </c>
      <c r="AB66" t="s">
        <v>253</v>
      </c>
    </row>
    <row r="67" spans="1:28" x14ac:dyDescent="0.25">
      <c r="A67">
        <v>5007</v>
      </c>
      <c r="B67">
        <v>31</v>
      </c>
      <c r="C67" t="s">
        <v>255</v>
      </c>
      <c r="H67" t="s">
        <v>256</v>
      </c>
      <c r="I67" t="s">
        <v>610</v>
      </c>
      <c r="J67" s="1" t="s">
        <v>612</v>
      </c>
      <c r="K67" s="1" t="s">
        <v>613</v>
      </c>
      <c r="L67" s="1" t="s">
        <v>624</v>
      </c>
      <c r="U67" t="s">
        <v>434</v>
      </c>
      <c r="V67" s="2">
        <v>205821</v>
      </c>
      <c r="W67" s="2">
        <v>3</v>
      </c>
      <c r="X67" s="2">
        <v>39106</v>
      </c>
      <c r="Y67" s="2">
        <v>0</v>
      </c>
      <c r="Z67" s="2">
        <v>244930</v>
      </c>
      <c r="AA67" s="2">
        <v>244930</v>
      </c>
      <c r="AB67" t="s">
        <v>256</v>
      </c>
    </row>
    <row r="68" spans="1:28" x14ac:dyDescent="0.25">
      <c r="A68">
        <v>5007</v>
      </c>
      <c r="B68">
        <v>31</v>
      </c>
      <c r="C68" t="s">
        <v>257</v>
      </c>
      <c r="H68" t="s">
        <v>258</v>
      </c>
      <c r="I68" t="s">
        <v>617</v>
      </c>
      <c r="J68" s="1" t="s">
        <v>619</v>
      </c>
      <c r="K68" s="1" t="s">
        <v>620</v>
      </c>
      <c r="L68" s="1" t="s">
        <v>624</v>
      </c>
      <c r="U68" t="s">
        <v>434</v>
      </c>
      <c r="V68" s="2">
        <v>28977289</v>
      </c>
      <c r="W68" s="2">
        <v>74270546</v>
      </c>
      <c r="X68" s="2">
        <v>5505685</v>
      </c>
      <c r="Y68" s="2">
        <v>0</v>
      </c>
      <c r="Z68" s="2">
        <v>108753520</v>
      </c>
      <c r="AA68" s="2">
        <v>108753520</v>
      </c>
      <c r="AB68" t="s">
        <v>258</v>
      </c>
    </row>
    <row r="69" spans="1:28" x14ac:dyDescent="0.25">
      <c r="A69">
        <v>5007</v>
      </c>
      <c r="B69">
        <v>31</v>
      </c>
      <c r="C69" t="s">
        <v>259</v>
      </c>
      <c r="H69" t="s">
        <v>260</v>
      </c>
      <c r="I69" t="s">
        <v>261</v>
      </c>
      <c r="J69" s="1" t="s">
        <v>189</v>
      </c>
      <c r="K69" s="1" t="s">
        <v>190</v>
      </c>
      <c r="L69" s="1" t="s">
        <v>624</v>
      </c>
      <c r="U69" t="s">
        <v>434</v>
      </c>
      <c r="V69" s="2">
        <v>5842495</v>
      </c>
      <c r="W69" s="2">
        <v>39565431</v>
      </c>
      <c r="X69" s="2">
        <v>1110074</v>
      </c>
      <c r="Y69" s="2">
        <v>0</v>
      </c>
      <c r="Z69" s="2">
        <v>46518000</v>
      </c>
      <c r="AA69" s="2">
        <v>46518000</v>
      </c>
      <c r="AB69" t="s">
        <v>260</v>
      </c>
    </row>
    <row r="70" spans="1:28" x14ac:dyDescent="0.25">
      <c r="A70">
        <v>5007</v>
      </c>
      <c r="B70">
        <v>31</v>
      </c>
      <c r="C70" t="s">
        <v>262</v>
      </c>
      <c r="H70" t="s">
        <v>263</v>
      </c>
      <c r="I70" t="s">
        <v>264</v>
      </c>
      <c r="J70" s="1" t="s">
        <v>213</v>
      </c>
      <c r="K70" s="1" t="s">
        <v>117</v>
      </c>
      <c r="L70" s="1" t="s">
        <v>624</v>
      </c>
      <c r="U70" t="s">
        <v>434</v>
      </c>
      <c r="V70" s="2">
        <v>1376221</v>
      </c>
      <c r="W70" s="2">
        <v>1489660</v>
      </c>
      <c r="X70" s="2">
        <v>261482</v>
      </c>
      <c r="Y70" s="2">
        <v>0</v>
      </c>
      <c r="Z70" s="2">
        <v>3127363</v>
      </c>
      <c r="AA70" s="2">
        <v>3127363</v>
      </c>
      <c r="AB70" t="s">
        <v>263</v>
      </c>
    </row>
    <row r="71" spans="1:28" x14ac:dyDescent="0.25">
      <c r="A71">
        <v>5007</v>
      </c>
      <c r="B71">
        <v>31</v>
      </c>
      <c r="C71" t="s">
        <v>265</v>
      </c>
      <c r="H71" t="s">
        <v>266</v>
      </c>
      <c r="I71" t="s">
        <v>267</v>
      </c>
      <c r="J71" s="1" t="s">
        <v>251</v>
      </c>
      <c r="K71" s="1" t="s">
        <v>117</v>
      </c>
      <c r="L71" s="1" t="s">
        <v>624</v>
      </c>
      <c r="U71" t="s">
        <v>434</v>
      </c>
      <c r="V71" s="2">
        <v>22130516</v>
      </c>
      <c r="W71" s="2">
        <v>2370242</v>
      </c>
      <c r="X71" s="2">
        <v>4204798</v>
      </c>
      <c r="Y71" s="2">
        <v>0</v>
      </c>
      <c r="Z71" s="2">
        <v>28705556</v>
      </c>
      <c r="AA71" s="2">
        <v>28705556</v>
      </c>
      <c r="AB71" t="s">
        <v>266</v>
      </c>
    </row>
    <row r="72" spans="1:28" x14ac:dyDescent="0.25">
      <c r="A72">
        <v>5007</v>
      </c>
      <c r="B72">
        <v>31</v>
      </c>
      <c r="C72" t="s">
        <v>268</v>
      </c>
      <c r="H72" t="s">
        <v>269</v>
      </c>
      <c r="I72" t="s">
        <v>270</v>
      </c>
      <c r="J72" s="1" t="s">
        <v>116</v>
      </c>
      <c r="K72" s="1" t="s">
        <v>117</v>
      </c>
      <c r="L72" s="1" t="s">
        <v>624</v>
      </c>
      <c r="U72" t="s">
        <v>434</v>
      </c>
      <c r="V72" s="2">
        <v>4827742</v>
      </c>
      <c r="W72" s="2">
        <v>2</v>
      </c>
      <c r="X72" s="2">
        <v>917271</v>
      </c>
      <c r="Y72" s="2">
        <v>0</v>
      </c>
      <c r="Z72" s="2">
        <v>5745015</v>
      </c>
      <c r="AA72" s="2">
        <v>5745015</v>
      </c>
      <c r="AB72" t="s">
        <v>269</v>
      </c>
    </row>
    <row r="73" spans="1:28" x14ac:dyDescent="0.25">
      <c r="A73">
        <v>5007</v>
      </c>
      <c r="B73">
        <v>31</v>
      </c>
      <c r="C73" t="s">
        <v>271</v>
      </c>
      <c r="H73" t="s">
        <v>272</v>
      </c>
      <c r="I73" t="s">
        <v>273</v>
      </c>
      <c r="J73" s="1" t="s">
        <v>174</v>
      </c>
      <c r="K73" s="1" t="s">
        <v>274</v>
      </c>
      <c r="L73" s="1" t="s">
        <v>624</v>
      </c>
      <c r="U73" t="s">
        <v>434</v>
      </c>
      <c r="V73" s="2">
        <v>52358</v>
      </c>
      <c r="W73" s="2">
        <v>146592</v>
      </c>
      <c r="X73" s="2">
        <v>9948</v>
      </c>
      <c r="Y73" s="2">
        <v>0</v>
      </c>
      <c r="Z73" s="2">
        <v>208898</v>
      </c>
      <c r="AA73" s="2">
        <v>208898</v>
      </c>
      <c r="AB73" t="s">
        <v>272</v>
      </c>
    </row>
    <row r="74" spans="1:28" x14ac:dyDescent="0.25">
      <c r="A74">
        <v>5007</v>
      </c>
      <c r="B74">
        <v>31</v>
      </c>
      <c r="C74" t="s">
        <v>275</v>
      </c>
      <c r="H74" t="s">
        <v>276</v>
      </c>
      <c r="I74" t="s">
        <v>270</v>
      </c>
      <c r="J74" s="1" t="s">
        <v>116</v>
      </c>
      <c r="K74" s="1" t="s">
        <v>117</v>
      </c>
      <c r="L74" s="1" t="s">
        <v>624</v>
      </c>
      <c r="U74" t="s">
        <v>434</v>
      </c>
      <c r="V74" s="2">
        <v>5473111</v>
      </c>
      <c r="W74" s="2">
        <v>2314174</v>
      </c>
      <c r="X74" s="2">
        <v>1039891</v>
      </c>
      <c r="Y74" s="2">
        <v>0</v>
      </c>
      <c r="Z74" s="2">
        <v>8827176</v>
      </c>
      <c r="AA74" s="2">
        <v>8827176</v>
      </c>
      <c r="AB74" t="s">
        <v>276</v>
      </c>
    </row>
    <row r="75" spans="1:28" x14ac:dyDescent="0.25">
      <c r="V75" s="2">
        <f>SUM(V3:V74)</f>
        <v>657362434</v>
      </c>
      <c r="W75" s="2">
        <f t="shared" ref="W75:AA75" si="1">SUM(W3:W74)</f>
        <v>1103252816</v>
      </c>
      <c r="X75" s="2">
        <f t="shared" si="1"/>
        <v>124951157</v>
      </c>
      <c r="Y75" s="2">
        <f t="shared" si="1"/>
        <v>0</v>
      </c>
      <c r="Z75" s="2">
        <f t="shared" si="1"/>
        <v>1885566407</v>
      </c>
      <c r="AA75" s="2">
        <f t="shared" si="1"/>
        <v>1885566407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RowHeight="15" x14ac:dyDescent="0.25"/>
  <cols>
    <col min="1" max="1" width="9.140625" bestFit="1" customWidth="1"/>
    <col min="2" max="2" width="8.7109375" bestFit="1" customWidth="1"/>
    <col min="3" max="3" width="11" style="1" bestFit="1" customWidth="1"/>
    <col min="4" max="4" width="20" style="1" customWidth="1"/>
    <col min="5" max="5" width="14.7109375" style="1" bestFit="1" customWidth="1"/>
    <col min="6" max="6" width="11.85546875" style="1" bestFit="1" customWidth="1"/>
    <col min="7" max="7" width="11" style="1" customWidth="1"/>
    <col min="8" max="8" width="16.140625" customWidth="1"/>
    <col min="9" max="9" width="12.42578125" customWidth="1"/>
    <col min="10" max="10" width="22.85546875" customWidth="1"/>
    <col min="11" max="11" width="32.140625" customWidth="1"/>
    <col min="12" max="13" width="11.140625" style="2" bestFit="1" customWidth="1"/>
    <col min="14" max="14" width="10.140625" style="2" bestFit="1" customWidth="1"/>
    <col min="15" max="15" width="3.42578125" style="2" bestFit="1" customWidth="1"/>
    <col min="16" max="17" width="12.7109375" style="2" bestFit="1" customWidth="1"/>
    <col min="18" max="18" width="16.5703125" bestFit="1" customWidth="1"/>
    <col min="19" max="19" width="8.42578125" style="1" bestFit="1" customWidth="1"/>
    <col min="20" max="20" width="13.140625" style="1" bestFit="1" customWidth="1"/>
  </cols>
  <sheetData>
    <row r="1" spans="1:20" x14ac:dyDescent="0.25">
      <c r="L1" s="2">
        <f t="shared" ref="L1:Q1" si="0">SUBTOTAL(9,L3:L90)</f>
        <v>329229848</v>
      </c>
      <c r="M1" s="2">
        <f t="shared" si="0"/>
        <v>647965285</v>
      </c>
      <c r="N1" s="2">
        <f t="shared" si="0"/>
        <v>62553671</v>
      </c>
      <c r="O1" s="2">
        <f t="shared" si="0"/>
        <v>0</v>
      </c>
      <c r="P1" s="2">
        <f t="shared" si="0"/>
        <v>1039748804</v>
      </c>
      <c r="Q1" s="2">
        <f t="shared" si="0"/>
        <v>1039748804</v>
      </c>
    </row>
    <row r="2" spans="1:20" x14ac:dyDescent="0.25">
      <c r="A2" t="s">
        <v>622</v>
      </c>
      <c r="B2" s="4" t="s">
        <v>9</v>
      </c>
      <c r="C2" s="3" t="s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623</v>
      </c>
      <c r="J2" s="4" t="s">
        <v>634</v>
      </c>
      <c r="K2" s="4" t="s">
        <v>635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4" t="s">
        <v>15</v>
      </c>
      <c r="S2" s="3" t="s">
        <v>16</v>
      </c>
      <c r="T2" s="3" t="s">
        <v>17</v>
      </c>
    </row>
    <row r="3" spans="1:20" x14ac:dyDescent="0.25">
      <c r="B3" s="2">
        <v>31</v>
      </c>
      <c r="C3" s="1" t="s">
        <v>18</v>
      </c>
      <c r="D3"/>
      <c r="E3"/>
      <c r="F3"/>
      <c r="G3"/>
      <c r="L3" s="2">
        <v>13263</v>
      </c>
      <c r="M3" s="2">
        <v>28417</v>
      </c>
      <c r="N3" s="2">
        <v>2520</v>
      </c>
      <c r="O3" s="2">
        <v>0</v>
      </c>
      <c r="P3" s="2">
        <v>44200</v>
      </c>
      <c r="Q3" s="2">
        <v>44200</v>
      </c>
      <c r="R3" t="s">
        <v>122</v>
      </c>
      <c r="S3" s="1" t="s">
        <v>612</v>
      </c>
      <c r="T3" s="1" t="s">
        <v>613</v>
      </c>
    </row>
    <row r="4" spans="1:20" x14ac:dyDescent="0.25">
      <c r="B4" s="2">
        <v>13</v>
      </c>
      <c r="C4" s="1" t="s">
        <v>19</v>
      </c>
      <c r="D4" t="s">
        <v>435</v>
      </c>
      <c r="E4"/>
      <c r="F4" t="s">
        <v>438</v>
      </c>
      <c r="G4"/>
      <c r="L4" s="2">
        <v>60095</v>
      </c>
      <c r="M4" s="2">
        <v>73886</v>
      </c>
      <c r="N4" s="2">
        <v>11418</v>
      </c>
      <c r="O4" s="2">
        <v>0</v>
      </c>
      <c r="P4" s="2">
        <v>145399</v>
      </c>
      <c r="Q4" s="2">
        <v>145399</v>
      </c>
      <c r="R4" t="s">
        <v>610</v>
      </c>
      <c r="S4" s="1" t="s">
        <v>612</v>
      </c>
      <c r="T4" s="1" t="s">
        <v>613</v>
      </c>
    </row>
    <row r="5" spans="1:20" x14ac:dyDescent="0.25">
      <c r="B5" s="2">
        <v>31</v>
      </c>
      <c r="C5" s="1" t="s">
        <v>20</v>
      </c>
      <c r="D5"/>
      <c r="E5"/>
      <c r="F5"/>
      <c r="G5"/>
      <c r="L5" s="2">
        <v>77742</v>
      </c>
      <c r="M5" s="2">
        <v>457487</v>
      </c>
      <c r="N5" s="2">
        <v>14771</v>
      </c>
      <c r="O5" s="2">
        <v>0</v>
      </c>
      <c r="P5" s="2">
        <v>550000</v>
      </c>
      <c r="Q5" s="2">
        <v>550000</v>
      </c>
      <c r="R5" t="s">
        <v>610</v>
      </c>
      <c r="S5" s="1" t="s">
        <v>612</v>
      </c>
      <c r="T5" s="1" t="s">
        <v>613</v>
      </c>
    </row>
    <row r="6" spans="1:20" x14ac:dyDescent="0.25">
      <c r="B6" s="2">
        <v>13</v>
      </c>
      <c r="C6" s="1" t="s">
        <v>21</v>
      </c>
      <c r="D6" t="s">
        <v>439</v>
      </c>
      <c r="E6" t="s">
        <v>104</v>
      </c>
      <c r="F6" t="s">
        <v>105</v>
      </c>
      <c r="G6"/>
      <c r="L6" s="2">
        <v>100842</v>
      </c>
      <c r="M6" s="2">
        <v>120718</v>
      </c>
      <c r="N6" s="2">
        <v>19160</v>
      </c>
      <c r="O6" s="2">
        <v>0</v>
      </c>
      <c r="P6" s="2">
        <v>240720</v>
      </c>
      <c r="Q6" s="2">
        <v>240720</v>
      </c>
      <c r="R6" t="s">
        <v>610</v>
      </c>
      <c r="S6" s="1" t="s">
        <v>612</v>
      </c>
      <c r="T6" s="1" t="s">
        <v>613</v>
      </c>
    </row>
    <row r="7" spans="1:20" x14ac:dyDescent="0.25">
      <c r="B7" s="2">
        <v>13</v>
      </c>
      <c r="C7" s="1" t="s">
        <v>22</v>
      </c>
      <c r="D7" t="s">
        <v>462</v>
      </c>
      <c r="E7"/>
      <c r="F7" t="s">
        <v>440</v>
      </c>
      <c r="G7"/>
      <c r="L7" s="2">
        <v>1596400</v>
      </c>
      <c r="M7" s="2">
        <v>1006059</v>
      </c>
      <c r="N7" s="2">
        <v>303316</v>
      </c>
      <c r="O7" s="2">
        <v>0</v>
      </c>
      <c r="P7" s="2">
        <v>2905775</v>
      </c>
      <c r="Q7" s="2">
        <v>2905775</v>
      </c>
      <c r="R7" t="s">
        <v>610</v>
      </c>
      <c r="S7" s="1" t="s">
        <v>612</v>
      </c>
      <c r="T7" s="1" t="s">
        <v>613</v>
      </c>
    </row>
    <row r="8" spans="1:20" x14ac:dyDescent="0.25">
      <c r="B8" s="2">
        <v>13</v>
      </c>
      <c r="C8" s="1" t="s">
        <v>23</v>
      </c>
      <c r="D8" t="s">
        <v>463</v>
      </c>
      <c r="E8"/>
      <c r="F8" t="s">
        <v>441</v>
      </c>
      <c r="G8"/>
      <c r="L8" s="2">
        <v>11342</v>
      </c>
      <c r="M8" s="2">
        <v>17203</v>
      </c>
      <c r="N8" s="2">
        <v>2155</v>
      </c>
      <c r="O8" s="2">
        <v>0</v>
      </c>
      <c r="P8" s="2">
        <v>30700</v>
      </c>
      <c r="Q8" s="2">
        <v>30700</v>
      </c>
      <c r="R8" t="s">
        <v>610</v>
      </c>
      <c r="S8" s="1" t="s">
        <v>612</v>
      </c>
      <c r="T8" s="1" t="s">
        <v>613</v>
      </c>
    </row>
    <row r="9" spans="1:20" x14ac:dyDescent="0.25">
      <c r="B9" s="2">
        <v>13</v>
      </c>
      <c r="C9" s="1" t="s">
        <v>24</v>
      </c>
      <c r="D9" t="s">
        <v>103</v>
      </c>
      <c r="E9" t="s">
        <v>464</v>
      </c>
      <c r="F9" t="s">
        <v>485</v>
      </c>
      <c r="G9" t="s">
        <v>499</v>
      </c>
      <c r="L9" s="2">
        <v>2031384</v>
      </c>
      <c r="M9" s="2">
        <v>4027229</v>
      </c>
      <c r="N9" s="2">
        <v>385963</v>
      </c>
      <c r="O9" s="2">
        <v>0</v>
      </c>
      <c r="P9" s="2">
        <v>6444576</v>
      </c>
      <c r="Q9" s="2">
        <v>6444576</v>
      </c>
      <c r="R9" t="s">
        <v>610</v>
      </c>
      <c r="S9" s="1" t="s">
        <v>612</v>
      </c>
      <c r="T9" s="1" t="s">
        <v>613</v>
      </c>
    </row>
    <row r="10" spans="1:20" x14ac:dyDescent="0.25">
      <c r="B10" s="2">
        <v>13</v>
      </c>
      <c r="C10" s="1" t="s">
        <v>25</v>
      </c>
      <c r="D10" t="s">
        <v>103</v>
      </c>
      <c r="E10" t="s">
        <v>103</v>
      </c>
      <c r="F10" t="s">
        <v>511</v>
      </c>
      <c r="G10" t="s">
        <v>427</v>
      </c>
      <c r="L10" s="2">
        <v>23111</v>
      </c>
      <c r="M10" s="2">
        <v>29798</v>
      </c>
      <c r="N10" s="2">
        <v>4391</v>
      </c>
      <c r="O10" s="2">
        <v>0</v>
      </c>
      <c r="P10" s="2">
        <v>57300</v>
      </c>
      <c r="Q10" s="2">
        <v>57300</v>
      </c>
      <c r="R10" t="s">
        <v>610</v>
      </c>
      <c r="S10" s="1" t="s">
        <v>612</v>
      </c>
      <c r="T10" s="1" t="s">
        <v>613</v>
      </c>
    </row>
    <row r="11" spans="1:20" x14ac:dyDescent="0.25">
      <c r="B11" s="2">
        <v>13</v>
      </c>
      <c r="C11" s="1" t="s">
        <v>26</v>
      </c>
      <c r="D11" t="s">
        <v>160</v>
      </c>
      <c r="E11" t="s">
        <v>452</v>
      </c>
      <c r="F11" t="s">
        <v>512</v>
      </c>
      <c r="G11" t="s">
        <v>500</v>
      </c>
      <c r="L11" s="2">
        <v>42358</v>
      </c>
      <c r="M11" s="2">
        <v>136194</v>
      </c>
      <c r="N11" s="2">
        <v>8048</v>
      </c>
      <c r="O11" s="2">
        <v>0</v>
      </c>
      <c r="P11" s="2">
        <v>186600</v>
      </c>
      <c r="Q11" s="2">
        <v>186600</v>
      </c>
      <c r="R11" t="s">
        <v>610</v>
      </c>
      <c r="S11" s="1" t="s">
        <v>612</v>
      </c>
      <c r="T11" s="1" t="s">
        <v>613</v>
      </c>
    </row>
    <row r="12" spans="1:20" x14ac:dyDescent="0.25">
      <c r="B12" s="2">
        <v>13</v>
      </c>
      <c r="C12" s="1" t="s">
        <v>27</v>
      </c>
      <c r="D12" t="s">
        <v>465</v>
      </c>
      <c r="E12"/>
      <c r="F12" t="s">
        <v>486</v>
      </c>
      <c r="G12" t="s">
        <v>442</v>
      </c>
      <c r="L12" s="2">
        <v>2851732</v>
      </c>
      <c r="M12" s="2">
        <v>5575127</v>
      </c>
      <c r="N12" s="2">
        <v>541829</v>
      </c>
      <c r="O12" s="2">
        <v>0</v>
      </c>
      <c r="P12" s="2">
        <v>8968688</v>
      </c>
      <c r="Q12" s="2">
        <v>8968688</v>
      </c>
      <c r="R12" t="s">
        <v>610</v>
      </c>
      <c r="S12" s="1" t="s">
        <v>612</v>
      </c>
      <c r="T12" s="1" t="s">
        <v>613</v>
      </c>
    </row>
    <row r="13" spans="1:20" x14ac:dyDescent="0.25">
      <c r="B13" s="2">
        <v>13</v>
      </c>
      <c r="C13" s="1" t="s">
        <v>28</v>
      </c>
      <c r="D13" t="s">
        <v>443</v>
      </c>
      <c r="E13" t="s">
        <v>466</v>
      </c>
      <c r="F13" t="s">
        <v>487</v>
      </c>
      <c r="G13"/>
      <c r="L13" s="2">
        <v>336653</v>
      </c>
      <c r="M13" s="2">
        <v>301743</v>
      </c>
      <c r="N13" s="2">
        <v>63964</v>
      </c>
      <c r="O13" s="2">
        <v>0</v>
      </c>
      <c r="P13" s="2">
        <v>702360</v>
      </c>
      <c r="Q13" s="2">
        <v>702360</v>
      </c>
      <c r="R13" t="s">
        <v>610</v>
      </c>
      <c r="S13" s="1" t="s">
        <v>612</v>
      </c>
      <c r="T13" s="1" t="s">
        <v>613</v>
      </c>
    </row>
    <row r="14" spans="1:20" x14ac:dyDescent="0.25">
      <c r="B14" s="2">
        <v>13</v>
      </c>
      <c r="C14" s="1" t="s">
        <v>29</v>
      </c>
      <c r="D14" t="s">
        <v>436</v>
      </c>
      <c r="E14" t="s">
        <v>444</v>
      </c>
      <c r="F14"/>
      <c r="G14"/>
      <c r="L14" s="2">
        <v>2198005</v>
      </c>
      <c r="M14" s="2">
        <v>3622290</v>
      </c>
      <c r="N14" s="2">
        <v>417621</v>
      </c>
      <c r="O14" s="2">
        <v>0</v>
      </c>
      <c r="P14" s="2">
        <v>6237916</v>
      </c>
      <c r="Q14" s="2">
        <v>6237916</v>
      </c>
      <c r="R14" t="s">
        <v>610</v>
      </c>
      <c r="S14" s="1" t="s">
        <v>612</v>
      </c>
      <c r="T14" s="1" t="s">
        <v>613</v>
      </c>
    </row>
    <row r="15" spans="1:20" x14ac:dyDescent="0.25">
      <c r="B15" s="2">
        <v>13</v>
      </c>
      <c r="C15" s="1" t="s">
        <v>30</v>
      </c>
      <c r="D15" t="s">
        <v>467</v>
      </c>
      <c r="E15"/>
      <c r="F15" t="s">
        <v>445</v>
      </c>
      <c r="G15"/>
      <c r="L15" s="2">
        <v>96242</v>
      </c>
      <c r="M15" s="2">
        <v>858972</v>
      </c>
      <c r="N15" s="2">
        <v>18286</v>
      </c>
      <c r="O15" s="2">
        <v>0</v>
      </c>
      <c r="P15" s="2">
        <v>973500</v>
      </c>
      <c r="Q15" s="2">
        <v>973500</v>
      </c>
      <c r="R15" t="s">
        <v>610</v>
      </c>
      <c r="S15" s="1" t="s">
        <v>612</v>
      </c>
      <c r="T15" s="1" t="s">
        <v>613</v>
      </c>
    </row>
    <row r="16" spans="1:20" x14ac:dyDescent="0.25">
      <c r="B16" s="2">
        <v>13</v>
      </c>
      <c r="C16" s="1" t="s">
        <v>31</v>
      </c>
      <c r="D16" t="s">
        <v>446</v>
      </c>
      <c r="E16" s="2" t="s">
        <v>468</v>
      </c>
      <c r="F16" t="s">
        <v>488</v>
      </c>
      <c r="G16" t="s">
        <v>501</v>
      </c>
      <c r="L16" s="2">
        <v>0</v>
      </c>
      <c r="M16" s="2">
        <v>169000</v>
      </c>
      <c r="N16" s="2">
        <v>0</v>
      </c>
      <c r="O16" s="2">
        <v>0</v>
      </c>
      <c r="P16" s="2">
        <v>169000</v>
      </c>
      <c r="Q16" s="2">
        <v>169000</v>
      </c>
      <c r="R16" t="s">
        <v>610</v>
      </c>
      <c r="S16" s="1" t="s">
        <v>612</v>
      </c>
      <c r="T16" s="1" t="s">
        <v>613</v>
      </c>
    </row>
    <row r="17" spans="2:20" x14ac:dyDescent="0.25">
      <c r="B17" s="2">
        <v>13</v>
      </c>
      <c r="C17" s="1" t="s">
        <v>32</v>
      </c>
      <c r="D17" t="s">
        <v>469</v>
      </c>
      <c r="E17"/>
      <c r="F17" t="s">
        <v>106</v>
      </c>
      <c r="G17" t="s">
        <v>421</v>
      </c>
      <c r="L17" s="2">
        <v>92500</v>
      </c>
      <c r="M17" s="2">
        <v>448324</v>
      </c>
      <c r="N17" s="2">
        <v>17575</v>
      </c>
      <c r="O17" s="2">
        <v>0</v>
      </c>
      <c r="P17" s="2">
        <v>558399</v>
      </c>
      <c r="Q17" s="2">
        <v>558399</v>
      </c>
      <c r="R17" t="s">
        <v>610</v>
      </c>
      <c r="S17" s="1" t="s">
        <v>612</v>
      </c>
      <c r="T17" s="1" t="s">
        <v>613</v>
      </c>
    </row>
    <row r="18" spans="2:20" x14ac:dyDescent="0.25">
      <c r="B18" s="2">
        <v>13</v>
      </c>
      <c r="C18" s="1" t="s">
        <v>33</v>
      </c>
      <c r="D18" t="s">
        <v>447</v>
      </c>
      <c r="E18" t="s">
        <v>470</v>
      </c>
      <c r="F18" t="s">
        <v>489</v>
      </c>
      <c r="G18"/>
      <c r="L18" s="2">
        <v>2343426</v>
      </c>
      <c r="M18" s="2">
        <v>28681348</v>
      </c>
      <c r="N18" s="2">
        <v>445251</v>
      </c>
      <c r="O18" s="2">
        <v>0</v>
      </c>
      <c r="P18" s="2">
        <v>31470025</v>
      </c>
      <c r="Q18" s="2">
        <v>31470025</v>
      </c>
      <c r="R18" t="s">
        <v>610</v>
      </c>
      <c r="S18" s="1" t="s">
        <v>612</v>
      </c>
      <c r="T18" s="1" t="s">
        <v>613</v>
      </c>
    </row>
    <row r="19" spans="2:20" x14ac:dyDescent="0.25">
      <c r="B19" s="2">
        <v>13</v>
      </c>
      <c r="C19" s="1" t="s">
        <v>34</v>
      </c>
      <c r="D19" t="s">
        <v>448</v>
      </c>
      <c r="E19" s="2" t="s">
        <v>471</v>
      </c>
      <c r="F19" t="s">
        <v>490</v>
      </c>
      <c r="G19" t="s">
        <v>502</v>
      </c>
      <c r="L19" s="2">
        <v>166463</v>
      </c>
      <c r="M19" s="2">
        <v>191809</v>
      </c>
      <c r="N19" s="2">
        <v>31628</v>
      </c>
      <c r="O19" s="2">
        <v>0</v>
      </c>
      <c r="P19" s="2">
        <v>389900</v>
      </c>
      <c r="Q19" s="2">
        <v>389900</v>
      </c>
      <c r="R19" t="s">
        <v>610</v>
      </c>
      <c r="S19" s="1" t="s">
        <v>612</v>
      </c>
      <c r="T19" s="1" t="s">
        <v>613</v>
      </c>
    </row>
    <row r="20" spans="2:20" x14ac:dyDescent="0.25">
      <c r="B20" s="2">
        <v>13</v>
      </c>
      <c r="C20" s="1" t="s">
        <v>35</v>
      </c>
      <c r="D20" t="s">
        <v>449</v>
      </c>
      <c r="E20" s="2" t="s">
        <v>472</v>
      </c>
      <c r="F20" t="s">
        <v>491</v>
      </c>
      <c r="G20" t="s">
        <v>503</v>
      </c>
      <c r="L20" s="2">
        <v>470900</v>
      </c>
      <c r="M20" s="2">
        <v>708890</v>
      </c>
      <c r="N20" s="2">
        <v>89471</v>
      </c>
      <c r="O20" s="2">
        <v>0</v>
      </c>
      <c r="P20" s="2">
        <v>1269261</v>
      </c>
      <c r="Q20" s="2">
        <v>1269261</v>
      </c>
      <c r="R20" t="s">
        <v>610</v>
      </c>
      <c r="S20" s="1" t="s">
        <v>612</v>
      </c>
      <c r="T20" s="1" t="s">
        <v>613</v>
      </c>
    </row>
    <row r="21" spans="2:20" x14ac:dyDescent="0.25">
      <c r="B21" s="2">
        <v>13</v>
      </c>
      <c r="C21" s="1" t="s">
        <v>36</v>
      </c>
      <c r="D21" t="s">
        <v>430</v>
      </c>
      <c r="E21" s="2" t="s">
        <v>606</v>
      </c>
      <c r="F21" t="s">
        <v>492</v>
      </c>
      <c r="G21" t="s">
        <v>504</v>
      </c>
      <c r="L21" s="2">
        <v>116705</v>
      </c>
      <c r="M21" s="2">
        <v>174021</v>
      </c>
      <c r="N21" s="2">
        <v>22174</v>
      </c>
      <c r="O21" s="2">
        <v>0</v>
      </c>
      <c r="P21" s="2">
        <v>312900</v>
      </c>
      <c r="Q21" s="2">
        <v>312900</v>
      </c>
      <c r="R21" t="s">
        <v>610</v>
      </c>
      <c r="S21" s="1" t="s">
        <v>612</v>
      </c>
      <c r="T21" s="1" t="s">
        <v>613</v>
      </c>
    </row>
    <row r="22" spans="2:20" x14ac:dyDescent="0.25">
      <c r="B22" s="2">
        <v>13</v>
      </c>
      <c r="C22" s="1" t="s">
        <v>37</v>
      </c>
      <c r="D22" t="s">
        <v>473</v>
      </c>
      <c r="E22"/>
      <c r="F22" t="s">
        <v>450</v>
      </c>
      <c r="G22"/>
      <c r="L22" s="2">
        <v>466568</v>
      </c>
      <c r="M22" s="2">
        <v>379085</v>
      </c>
      <c r="N22" s="2">
        <v>88648</v>
      </c>
      <c r="O22" s="2">
        <v>0</v>
      </c>
      <c r="P22" s="2">
        <v>934301</v>
      </c>
      <c r="Q22" s="2">
        <v>934301</v>
      </c>
      <c r="R22" t="s">
        <v>610</v>
      </c>
      <c r="S22" s="1" t="s">
        <v>612</v>
      </c>
      <c r="T22" s="1" t="s">
        <v>613</v>
      </c>
    </row>
    <row r="23" spans="2:20" x14ac:dyDescent="0.25">
      <c r="B23" s="2">
        <v>13</v>
      </c>
      <c r="C23" s="1" t="s">
        <v>38</v>
      </c>
      <c r="D23" t="s">
        <v>451</v>
      </c>
      <c r="E23" s="2" t="s">
        <v>443</v>
      </c>
      <c r="F23" t="s">
        <v>432</v>
      </c>
      <c r="G23" t="s">
        <v>505</v>
      </c>
      <c r="L23" s="2">
        <v>1001453</v>
      </c>
      <c r="M23" s="2">
        <v>2055191</v>
      </c>
      <c r="N23" s="2">
        <v>190276</v>
      </c>
      <c r="O23" s="2">
        <v>0</v>
      </c>
      <c r="P23" s="2">
        <v>3246920</v>
      </c>
      <c r="Q23" s="2">
        <v>3246920</v>
      </c>
      <c r="R23" t="s">
        <v>610</v>
      </c>
      <c r="S23" s="1" t="s">
        <v>612</v>
      </c>
      <c r="T23" s="1" t="s">
        <v>613</v>
      </c>
    </row>
    <row r="24" spans="2:20" x14ac:dyDescent="0.25">
      <c r="B24" s="2">
        <v>13</v>
      </c>
      <c r="C24" s="1" t="s">
        <v>39</v>
      </c>
      <c r="D24" t="s">
        <v>452</v>
      </c>
      <c r="E24" t="s">
        <v>474</v>
      </c>
      <c r="F24" t="s">
        <v>106</v>
      </c>
      <c r="G24"/>
      <c r="L24" s="2">
        <v>50342</v>
      </c>
      <c r="M24" s="2">
        <v>440193</v>
      </c>
      <c r="N24" s="2">
        <v>9565</v>
      </c>
      <c r="O24" s="2">
        <v>0</v>
      </c>
      <c r="P24" s="2">
        <v>500100</v>
      </c>
      <c r="Q24" s="2">
        <v>500100</v>
      </c>
      <c r="R24" t="s">
        <v>610</v>
      </c>
      <c r="S24" s="1" t="s">
        <v>612</v>
      </c>
      <c r="T24" s="1" t="s">
        <v>613</v>
      </c>
    </row>
    <row r="25" spans="2:20" x14ac:dyDescent="0.25">
      <c r="B25" s="2">
        <v>13</v>
      </c>
      <c r="C25" s="1" t="s">
        <v>40</v>
      </c>
      <c r="D25" t="s">
        <v>475</v>
      </c>
      <c r="E25"/>
      <c r="F25" t="s">
        <v>453</v>
      </c>
      <c r="G25"/>
      <c r="L25" s="2">
        <v>100963</v>
      </c>
      <c r="M25" s="2">
        <v>255855</v>
      </c>
      <c r="N25" s="2">
        <v>19183</v>
      </c>
      <c r="O25" s="2">
        <v>0</v>
      </c>
      <c r="P25" s="2">
        <v>376001</v>
      </c>
      <c r="Q25" s="2">
        <v>376001</v>
      </c>
      <c r="R25" t="s">
        <v>610</v>
      </c>
      <c r="S25" s="1" t="s">
        <v>612</v>
      </c>
      <c r="T25" s="1" t="s">
        <v>613</v>
      </c>
    </row>
    <row r="26" spans="2:20" x14ac:dyDescent="0.25">
      <c r="B26" s="2">
        <v>13</v>
      </c>
      <c r="C26" s="1" t="s">
        <v>41</v>
      </c>
      <c r="D26" t="s">
        <v>160</v>
      </c>
      <c r="E26" s="2" t="s">
        <v>476</v>
      </c>
      <c r="F26" t="s">
        <v>421</v>
      </c>
      <c r="G26" t="s">
        <v>440</v>
      </c>
      <c r="L26" s="2">
        <v>57895</v>
      </c>
      <c r="M26" s="2">
        <v>162105</v>
      </c>
      <c r="N26" s="2">
        <v>11000</v>
      </c>
      <c r="O26" s="2">
        <v>0</v>
      </c>
      <c r="P26" s="2">
        <v>231000</v>
      </c>
      <c r="Q26" s="2">
        <v>231000</v>
      </c>
      <c r="R26" t="s">
        <v>610</v>
      </c>
      <c r="S26" s="1" t="s">
        <v>612</v>
      </c>
      <c r="T26" s="1" t="s">
        <v>613</v>
      </c>
    </row>
    <row r="27" spans="2:20" x14ac:dyDescent="0.25">
      <c r="B27" s="2">
        <v>13</v>
      </c>
      <c r="C27" s="1" t="s">
        <v>42</v>
      </c>
      <c r="D27" t="s">
        <v>477</v>
      </c>
      <c r="E27"/>
      <c r="F27" t="s">
        <v>454</v>
      </c>
      <c r="G27"/>
      <c r="L27" s="2">
        <v>203195</v>
      </c>
      <c r="M27" s="2">
        <v>579098</v>
      </c>
      <c r="N27" s="2">
        <v>38607</v>
      </c>
      <c r="O27" s="2">
        <v>0</v>
      </c>
      <c r="P27" s="2">
        <v>820900</v>
      </c>
      <c r="Q27" s="2">
        <v>820900</v>
      </c>
      <c r="R27" t="s">
        <v>610</v>
      </c>
      <c r="S27" s="1" t="s">
        <v>612</v>
      </c>
      <c r="T27" s="1" t="s">
        <v>613</v>
      </c>
    </row>
    <row r="28" spans="2:20" x14ac:dyDescent="0.25">
      <c r="B28" s="2">
        <v>13</v>
      </c>
      <c r="C28" s="1" t="s">
        <v>43</v>
      </c>
      <c r="D28" t="s">
        <v>455</v>
      </c>
      <c r="E28" s="2" t="s">
        <v>478</v>
      </c>
      <c r="F28" t="s">
        <v>493</v>
      </c>
      <c r="G28" t="s">
        <v>506</v>
      </c>
      <c r="L28" s="2">
        <v>244158</v>
      </c>
      <c r="M28" s="2">
        <v>607552</v>
      </c>
      <c r="N28" s="2">
        <v>46390</v>
      </c>
      <c r="O28" s="2">
        <v>0</v>
      </c>
      <c r="P28" s="2">
        <v>898100</v>
      </c>
      <c r="Q28" s="2">
        <v>898100</v>
      </c>
      <c r="R28" t="s">
        <v>610</v>
      </c>
      <c r="S28" s="1" t="s">
        <v>612</v>
      </c>
      <c r="T28" s="1" t="s">
        <v>613</v>
      </c>
    </row>
    <row r="29" spans="2:20" x14ac:dyDescent="0.25">
      <c r="B29" s="2">
        <v>13</v>
      </c>
      <c r="C29" s="1" t="s">
        <v>44</v>
      </c>
      <c r="D29" t="s">
        <v>479</v>
      </c>
      <c r="E29"/>
      <c r="F29" t="s">
        <v>105</v>
      </c>
      <c r="G29"/>
      <c r="L29" s="2">
        <v>89163</v>
      </c>
      <c r="M29" s="2">
        <v>208896</v>
      </c>
      <c r="N29" s="2">
        <v>16941</v>
      </c>
      <c r="O29" s="2">
        <v>0</v>
      </c>
      <c r="P29" s="2">
        <v>315000</v>
      </c>
      <c r="Q29" s="2">
        <v>315000</v>
      </c>
      <c r="R29" t="s">
        <v>610</v>
      </c>
      <c r="S29" s="1" t="s">
        <v>612</v>
      </c>
      <c r="T29" s="1" t="s">
        <v>613</v>
      </c>
    </row>
    <row r="30" spans="2:20" x14ac:dyDescent="0.25">
      <c r="B30" s="2">
        <v>13</v>
      </c>
      <c r="C30" s="1" t="s">
        <v>45</v>
      </c>
      <c r="D30" t="s">
        <v>456</v>
      </c>
      <c r="E30" t="s">
        <v>480</v>
      </c>
      <c r="F30" t="s">
        <v>494</v>
      </c>
      <c r="G30"/>
      <c r="L30" s="2">
        <v>11179</v>
      </c>
      <c r="M30" s="2">
        <v>61297</v>
      </c>
      <c r="N30" s="2">
        <v>2124</v>
      </c>
      <c r="O30" s="2">
        <v>0</v>
      </c>
      <c r="P30" s="2">
        <v>74600</v>
      </c>
      <c r="Q30" s="2">
        <v>74600</v>
      </c>
      <c r="R30" t="s">
        <v>610</v>
      </c>
      <c r="S30" s="1" t="s">
        <v>612</v>
      </c>
      <c r="T30" s="1" t="s">
        <v>613</v>
      </c>
    </row>
    <row r="31" spans="2:20" x14ac:dyDescent="0.25">
      <c r="B31" s="2">
        <v>13</v>
      </c>
      <c r="C31" s="1" t="s">
        <v>46</v>
      </c>
      <c r="D31" t="s">
        <v>481</v>
      </c>
      <c r="E31" s="2"/>
      <c r="F31" t="s">
        <v>495</v>
      </c>
      <c r="G31" t="s">
        <v>457</v>
      </c>
      <c r="L31" s="2">
        <v>112568</v>
      </c>
      <c r="M31" s="2">
        <v>196244</v>
      </c>
      <c r="N31" s="2">
        <v>21388</v>
      </c>
      <c r="O31" s="2">
        <v>0</v>
      </c>
      <c r="P31" s="2">
        <v>330200</v>
      </c>
      <c r="Q31" s="2">
        <v>330200</v>
      </c>
      <c r="R31" t="s">
        <v>610</v>
      </c>
      <c r="S31" s="1" t="s">
        <v>612</v>
      </c>
      <c r="T31" s="1" t="s">
        <v>613</v>
      </c>
    </row>
    <row r="32" spans="2:20" x14ac:dyDescent="0.25">
      <c r="B32" s="2">
        <v>13</v>
      </c>
      <c r="C32" s="1" t="s">
        <v>47</v>
      </c>
      <c r="D32" t="s">
        <v>458</v>
      </c>
      <c r="E32" s="2" t="s">
        <v>433</v>
      </c>
      <c r="F32" t="s">
        <v>496</v>
      </c>
      <c r="G32" t="s">
        <v>507</v>
      </c>
      <c r="L32" s="2">
        <v>1184637</v>
      </c>
      <c r="M32" s="2">
        <v>704540</v>
      </c>
      <c r="N32" s="2">
        <v>225081</v>
      </c>
      <c r="O32" s="2">
        <v>0</v>
      </c>
      <c r="P32" s="2">
        <v>2114258</v>
      </c>
      <c r="Q32" s="2">
        <v>2114258</v>
      </c>
      <c r="R32" t="s">
        <v>610</v>
      </c>
      <c r="S32" s="1" t="s">
        <v>612</v>
      </c>
      <c r="T32" s="1" t="s">
        <v>613</v>
      </c>
    </row>
    <row r="33" spans="2:20" x14ac:dyDescent="0.25">
      <c r="B33" s="2">
        <v>13</v>
      </c>
      <c r="C33" s="1" t="s">
        <v>48</v>
      </c>
      <c r="D33" t="s">
        <v>513</v>
      </c>
      <c r="E33" s="2" t="s">
        <v>607</v>
      </c>
      <c r="F33" t="s">
        <v>497</v>
      </c>
      <c r="G33" t="s">
        <v>508</v>
      </c>
      <c r="L33" s="2">
        <v>67195</v>
      </c>
      <c r="M33" s="2">
        <v>322638</v>
      </c>
      <c r="N33" s="2">
        <v>12767</v>
      </c>
      <c r="O33" s="2">
        <v>0</v>
      </c>
      <c r="P33" s="2">
        <v>402600</v>
      </c>
      <c r="Q33" s="2">
        <v>402600</v>
      </c>
      <c r="R33" t="s">
        <v>610</v>
      </c>
      <c r="S33" s="1" t="s">
        <v>612</v>
      </c>
      <c r="T33" s="1" t="s">
        <v>613</v>
      </c>
    </row>
    <row r="34" spans="2:20" x14ac:dyDescent="0.25">
      <c r="B34" s="2">
        <v>13</v>
      </c>
      <c r="C34" s="1" t="s">
        <v>49</v>
      </c>
      <c r="D34" t="s">
        <v>459</v>
      </c>
      <c r="E34" s="2" t="s">
        <v>482</v>
      </c>
      <c r="F34" t="s">
        <v>105</v>
      </c>
      <c r="G34" t="s">
        <v>509</v>
      </c>
      <c r="L34" s="2">
        <v>461253</v>
      </c>
      <c r="M34" s="2">
        <v>144209</v>
      </c>
      <c r="N34" s="2">
        <v>87638</v>
      </c>
      <c r="O34" s="2">
        <v>0</v>
      </c>
      <c r="P34" s="2">
        <v>693100</v>
      </c>
      <c r="Q34" s="2">
        <v>693100</v>
      </c>
      <c r="R34" t="s">
        <v>610</v>
      </c>
      <c r="S34" s="1" t="s">
        <v>612</v>
      </c>
      <c r="T34" s="1" t="s">
        <v>613</v>
      </c>
    </row>
    <row r="35" spans="2:20" x14ac:dyDescent="0.25">
      <c r="B35" s="2">
        <v>13</v>
      </c>
      <c r="C35" s="1" t="s">
        <v>50</v>
      </c>
      <c r="D35" t="s">
        <v>460</v>
      </c>
      <c r="E35" s="2" t="s">
        <v>483</v>
      </c>
      <c r="F35" t="s">
        <v>498</v>
      </c>
      <c r="G35" t="s">
        <v>510</v>
      </c>
      <c r="L35" s="2">
        <v>0</v>
      </c>
      <c r="M35" s="2">
        <v>23500</v>
      </c>
      <c r="N35" s="2">
        <v>0</v>
      </c>
      <c r="O35" s="2">
        <v>0</v>
      </c>
      <c r="P35" s="2">
        <v>23500</v>
      </c>
      <c r="Q35" s="2">
        <v>23500</v>
      </c>
      <c r="R35" t="s">
        <v>610</v>
      </c>
      <c r="S35" s="1" t="s">
        <v>612</v>
      </c>
      <c r="T35" s="1" t="s">
        <v>613</v>
      </c>
    </row>
    <row r="36" spans="2:20" x14ac:dyDescent="0.25">
      <c r="B36" s="2">
        <v>13</v>
      </c>
      <c r="C36" s="1" t="s">
        <v>51</v>
      </c>
      <c r="D36" t="s">
        <v>452</v>
      </c>
      <c r="E36" s="2" t="s">
        <v>484</v>
      </c>
      <c r="F36" t="s">
        <v>490</v>
      </c>
      <c r="G36" t="s">
        <v>502</v>
      </c>
      <c r="L36" s="2">
        <v>12179</v>
      </c>
      <c r="M36" s="2">
        <v>128307</v>
      </c>
      <c r="N36" s="2">
        <v>2314</v>
      </c>
      <c r="O36" s="2">
        <v>0</v>
      </c>
      <c r="P36" s="2">
        <v>142800</v>
      </c>
      <c r="Q36" s="2">
        <v>142800</v>
      </c>
      <c r="R36" t="s">
        <v>610</v>
      </c>
      <c r="S36" s="1" t="s">
        <v>612</v>
      </c>
      <c r="T36" s="1" t="s">
        <v>613</v>
      </c>
    </row>
    <row r="37" spans="2:20" x14ac:dyDescent="0.25">
      <c r="B37" s="2">
        <v>31</v>
      </c>
      <c r="C37" s="1" t="s">
        <v>52</v>
      </c>
      <c r="D37"/>
      <c r="E37"/>
      <c r="F37"/>
      <c r="G37"/>
      <c r="L37" s="2">
        <v>168067</v>
      </c>
      <c r="M37" s="2">
        <v>0</v>
      </c>
      <c r="N37" s="2">
        <v>31933</v>
      </c>
      <c r="O37" s="2">
        <v>0</v>
      </c>
      <c r="P37" s="2">
        <v>200000</v>
      </c>
      <c r="Q37" s="2">
        <v>200000</v>
      </c>
      <c r="R37" t="s">
        <v>610</v>
      </c>
      <c r="S37" s="1" t="s">
        <v>612</v>
      </c>
      <c r="T37" s="1" t="s">
        <v>613</v>
      </c>
    </row>
    <row r="38" spans="2:20" x14ac:dyDescent="0.25">
      <c r="B38" s="2">
        <v>13</v>
      </c>
      <c r="C38" s="1" t="s">
        <v>53</v>
      </c>
      <c r="D38"/>
      <c r="E38"/>
      <c r="F38" t="s">
        <v>461</v>
      </c>
      <c r="G38" t="s">
        <v>437</v>
      </c>
      <c r="L38" s="2">
        <v>1189642</v>
      </c>
      <c r="M38" s="2">
        <v>1586875</v>
      </c>
      <c r="N38" s="2">
        <v>226032</v>
      </c>
      <c r="O38" s="2">
        <v>0</v>
      </c>
      <c r="P38" s="2">
        <v>3002549</v>
      </c>
      <c r="Q38" s="2">
        <v>3002549</v>
      </c>
      <c r="R38" t="s">
        <v>610</v>
      </c>
      <c r="S38" s="1" t="s">
        <v>612</v>
      </c>
      <c r="T38" s="1" t="s">
        <v>613</v>
      </c>
    </row>
    <row r="39" spans="2:20" x14ac:dyDescent="0.25">
      <c r="B39" s="2">
        <v>13</v>
      </c>
      <c r="C39" s="1" t="s">
        <v>54</v>
      </c>
      <c r="D39" t="s">
        <v>515</v>
      </c>
      <c r="E39" s="2" t="s">
        <v>516</v>
      </c>
      <c r="F39" t="s">
        <v>440</v>
      </c>
      <c r="G39" t="s">
        <v>514</v>
      </c>
      <c r="L39" s="2">
        <v>1043826</v>
      </c>
      <c r="M39" s="2">
        <v>2050777</v>
      </c>
      <c r="N39" s="2">
        <v>198327</v>
      </c>
      <c r="O39" s="2">
        <v>0</v>
      </c>
      <c r="P39" s="2">
        <v>3292930</v>
      </c>
      <c r="Q39" s="2">
        <v>3292930</v>
      </c>
      <c r="R39" t="s">
        <v>610</v>
      </c>
      <c r="S39" s="1" t="s">
        <v>612</v>
      </c>
      <c r="T39" s="1" t="s">
        <v>613</v>
      </c>
    </row>
    <row r="40" spans="2:20" x14ac:dyDescent="0.25">
      <c r="B40" s="2">
        <v>13</v>
      </c>
      <c r="C40" s="1" t="s">
        <v>55</v>
      </c>
      <c r="D40" t="s">
        <v>516</v>
      </c>
      <c r="E40"/>
      <c r="F40" t="s">
        <v>517</v>
      </c>
      <c r="G40"/>
      <c r="L40" s="2">
        <v>14637</v>
      </c>
      <c r="M40" s="2">
        <v>36182</v>
      </c>
      <c r="N40" s="2">
        <v>2781</v>
      </c>
      <c r="O40" s="2">
        <v>0</v>
      </c>
      <c r="P40" s="2">
        <v>53600</v>
      </c>
      <c r="Q40" s="2">
        <v>53600</v>
      </c>
      <c r="R40" t="s">
        <v>610</v>
      </c>
      <c r="S40" s="1" t="s">
        <v>612</v>
      </c>
      <c r="T40" s="1" t="s">
        <v>613</v>
      </c>
    </row>
    <row r="41" spans="2:20" x14ac:dyDescent="0.25">
      <c r="B41" s="2">
        <v>13</v>
      </c>
      <c r="C41" s="1" t="s">
        <v>56</v>
      </c>
      <c r="D41" t="s">
        <v>516</v>
      </c>
      <c r="E41" s="2" t="s">
        <v>520</v>
      </c>
      <c r="F41" t="s">
        <v>518</v>
      </c>
      <c r="G41" t="s">
        <v>519</v>
      </c>
      <c r="L41" s="2">
        <v>1196163</v>
      </c>
      <c r="M41" s="2">
        <v>3149166</v>
      </c>
      <c r="N41" s="2">
        <v>227271</v>
      </c>
      <c r="O41" s="2">
        <v>0</v>
      </c>
      <c r="P41" s="2">
        <v>4572600</v>
      </c>
      <c r="Q41" s="2">
        <v>4572600</v>
      </c>
      <c r="R41" t="s">
        <v>610</v>
      </c>
      <c r="S41" s="1" t="s">
        <v>612</v>
      </c>
      <c r="T41" s="1" t="s">
        <v>613</v>
      </c>
    </row>
    <row r="42" spans="2:20" x14ac:dyDescent="0.25">
      <c r="B42" s="2">
        <v>13</v>
      </c>
      <c r="C42" s="1" t="s">
        <v>57</v>
      </c>
      <c r="D42" t="s">
        <v>523</v>
      </c>
      <c r="E42" s="2" t="s">
        <v>456</v>
      </c>
      <c r="F42" t="s">
        <v>521</v>
      </c>
      <c r="G42" t="s">
        <v>522</v>
      </c>
      <c r="L42" s="2">
        <v>219100</v>
      </c>
      <c r="M42" s="2">
        <v>802901</v>
      </c>
      <c r="N42" s="2">
        <v>41629</v>
      </c>
      <c r="O42" s="2">
        <v>0</v>
      </c>
      <c r="P42" s="2">
        <v>1063630</v>
      </c>
      <c r="Q42" s="2">
        <v>1063630</v>
      </c>
      <c r="R42" t="s">
        <v>610</v>
      </c>
      <c r="S42" s="1" t="s">
        <v>612</v>
      </c>
      <c r="T42" s="1" t="s">
        <v>613</v>
      </c>
    </row>
    <row r="43" spans="2:20" x14ac:dyDescent="0.25">
      <c r="B43" s="2">
        <v>13</v>
      </c>
      <c r="C43" s="1" t="s">
        <v>58</v>
      </c>
      <c r="D43" t="s">
        <v>104</v>
      </c>
      <c r="E43" s="2" t="s">
        <v>524</v>
      </c>
      <c r="F43" t="s">
        <v>509</v>
      </c>
      <c r="G43" t="s">
        <v>442</v>
      </c>
      <c r="L43" s="2">
        <v>4863</v>
      </c>
      <c r="M43" s="2">
        <v>14213</v>
      </c>
      <c r="N43" s="2">
        <v>924</v>
      </c>
      <c r="O43" s="2">
        <v>0</v>
      </c>
      <c r="P43" s="2">
        <v>20000</v>
      </c>
      <c r="Q43" s="2">
        <v>20000</v>
      </c>
      <c r="R43" t="s">
        <v>610</v>
      </c>
      <c r="S43" s="1" t="s">
        <v>612</v>
      </c>
      <c r="T43" s="1" t="s">
        <v>613</v>
      </c>
    </row>
    <row r="44" spans="2:20" x14ac:dyDescent="0.25">
      <c r="B44" s="2">
        <v>13</v>
      </c>
      <c r="C44" s="1" t="s">
        <v>59</v>
      </c>
      <c r="D44"/>
      <c r="E44" s="2"/>
      <c r="F44" t="s">
        <v>525</v>
      </c>
      <c r="G44" t="s">
        <v>526</v>
      </c>
      <c r="L44" s="2">
        <v>19684</v>
      </c>
      <c r="M44" s="2">
        <v>15124</v>
      </c>
      <c r="N44" s="2">
        <v>3740</v>
      </c>
      <c r="O44" s="2">
        <v>0</v>
      </c>
      <c r="P44" s="2">
        <v>38548</v>
      </c>
      <c r="Q44" s="2">
        <v>38548</v>
      </c>
      <c r="R44" t="s">
        <v>610</v>
      </c>
      <c r="S44" s="1" t="s">
        <v>612</v>
      </c>
      <c r="T44" s="1" t="s">
        <v>613</v>
      </c>
    </row>
    <row r="45" spans="2:20" x14ac:dyDescent="0.25">
      <c r="B45" s="2">
        <v>13</v>
      </c>
      <c r="C45" s="1" t="s">
        <v>60</v>
      </c>
      <c r="D45" t="s">
        <v>529</v>
      </c>
      <c r="E45" s="2" t="s">
        <v>530</v>
      </c>
      <c r="F45" t="s">
        <v>527</v>
      </c>
      <c r="G45" t="s">
        <v>528</v>
      </c>
      <c r="L45" s="2">
        <v>353653</v>
      </c>
      <c r="M45" s="2">
        <v>445951</v>
      </c>
      <c r="N45" s="2">
        <v>67194</v>
      </c>
      <c r="O45" s="2">
        <v>0</v>
      </c>
      <c r="P45" s="2">
        <v>866798</v>
      </c>
      <c r="Q45" s="2">
        <v>866798</v>
      </c>
      <c r="R45" t="s">
        <v>610</v>
      </c>
      <c r="S45" s="1" t="s">
        <v>612</v>
      </c>
      <c r="T45" s="1" t="s">
        <v>613</v>
      </c>
    </row>
    <row r="46" spans="2:20" x14ac:dyDescent="0.25">
      <c r="B46" s="2">
        <v>13</v>
      </c>
      <c r="C46" s="1" t="s">
        <v>61</v>
      </c>
      <c r="D46" t="s">
        <v>533</v>
      </c>
      <c r="E46" s="2"/>
      <c r="F46" t="s">
        <v>531</v>
      </c>
      <c r="G46" t="s">
        <v>532</v>
      </c>
      <c r="L46" s="2">
        <v>36574</v>
      </c>
      <c r="M46" s="2">
        <v>30877</v>
      </c>
      <c r="N46" s="2">
        <v>6949</v>
      </c>
      <c r="O46" s="2">
        <v>0</v>
      </c>
      <c r="P46" s="2">
        <v>74400</v>
      </c>
      <c r="Q46" s="2">
        <v>74400</v>
      </c>
      <c r="R46" t="s">
        <v>610</v>
      </c>
      <c r="S46" s="1" t="s">
        <v>612</v>
      </c>
      <c r="T46" s="1" t="s">
        <v>613</v>
      </c>
    </row>
    <row r="47" spans="2:20" x14ac:dyDescent="0.25">
      <c r="B47" s="2">
        <v>13</v>
      </c>
      <c r="C47" s="1" t="s">
        <v>62</v>
      </c>
      <c r="D47"/>
      <c r="E47" s="2"/>
      <c r="F47" t="s">
        <v>534</v>
      </c>
      <c r="G47" t="s">
        <v>535</v>
      </c>
      <c r="L47" s="2">
        <v>1379000</v>
      </c>
      <c r="M47" s="2">
        <v>1825738</v>
      </c>
      <c r="N47" s="2">
        <v>262010</v>
      </c>
      <c r="O47" s="2">
        <v>0</v>
      </c>
      <c r="P47" s="2">
        <v>3466748</v>
      </c>
      <c r="Q47" s="2">
        <v>3466748</v>
      </c>
      <c r="R47" t="s">
        <v>610</v>
      </c>
      <c r="S47" s="1" t="s">
        <v>612</v>
      </c>
      <c r="T47" s="1" t="s">
        <v>613</v>
      </c>
    </row>
    <row r="48" spans="2:20" x14ac:dyDescent="0.25">
      <c r="B48" s="2">
        <v>13</v>
      </c>
      <c r="C48" s="1" t="s">
        <v>63</v>
      </c>
      <c r="D48" t="s">
        <v>538</v>
      </c>
      <c r="E48" s="2" t="s">
        <v>539</v>
      </c>
      <c r="F48" t="s">
        <v>536</v>
      </c>
      <c r="G48" t="s">
        <v>537</v>
      </c>
      <c r="L48" s="2">
        <v>40400</v>
      </c>
      <c r="M48" s="2">
        <v>137074</v>
      </c>
      <c r="N48" s="2">
        <v>7676</v>
      </c>
      <c r="O48" s="2">
        <v>0</v>
      </c>
      <c r="P48" s="2">
        <v>185150</v>
      </c>
      <c r="Q48" s="2">
        <v>185150</v>
      </c>
      <c r="R48" t="s">
        <v>610</v>
      </c>
      <c r="S48" s="1" t="s">
        <v>612</v>
      </c>
      <c r="T48" s="1" t="s">
        <v>613</v>
      </c>
    </row>
    <row r="49" spans="3:20" x14ac:dyDescent="0.25">
      <c r="C49" s="1" t="s">
        <v>64</v>
      </c>
      <c r="D49"/>
      <c r="E49"/>
      <c r="F49"/>
      <c r="G49"/>
      <c r="L49" s="2">
        <v>232098963</v>
      </c>
      <c r="M49" s="2">
        <v>379620310</v>
      </c>
      <c r="N49" s="2">
        <v>44098803</v>
      </c>
      <c r="O49" s="2">
        <v>0</v>
      </c>
      <c r="P49" s="2">
        <v>655818076</v>
      </c>
      <c r="Q49" s="2">
        <v>655818076</v>
      </c>
      <c r="R49" t="s">
        <v>610</v>
      </c>
      <c r="S49" s="1" t="s">
        <v>612</v>
      </c>
      <c r="T49" s="1" t="s">
        <v>613</v>
      </c>
    </row>
    <row r="50" spans="3:20" x14ac:dyDescent="0.25">
      <c r="C50" s="1" t="s">
        <v>65</v>
      </c>
      <c r="D50" t="s">
        <v>542</v>
      </c>
      <c r="E50" s="2" t="s">
        <v>524</v>
      </c>
      <c r="F50" t="s">
        <v>540</v>
      </c>
      <c r="G50" t="s">
        <v>541</v>
      </c>
      <c r="L50" s="2">
        <v>96374</v>
      </c>
      <c r="M50" s="2">
        <v>438714</v>
      </c>
      <c r="N50" s="2">
        <v>18311</v>
      </c>
      <c r="O50" s="2">
        <v>0</v>
      </c>
      <c r="P50" s="2">
        <v>553399</v>
      </c>
      <c r="Q50" s="2">
        <v>553399</v>
      </c>
      <c r="R50" t="s">
        <v>610</v>
      </c>
      <c r="S50" s="1" t="s">
        <v>612</v>
      </c>
      <c r="T50" s="1" t="s">
        <v>613</v>
      </c>
    </row>
    <row r="51" spans="3:20" x14ac:dyDescent="0.25">
      <c r="C51" s="1" t="s">
        <v>66</v>
      </c>
      <c r="D51" t="s">
        <v>545</v>
      </c>
      <c r="E51" s="2" t="s">
        <v>546</v>
      </c>
      <c r="F51" t="s">
        <v>543</v>
      </c>
      <c r="G51" t="s">
        <v>544</v>
      </c>
      <c r="L51" s="2">
        <v>4224558</v>
      </c>
      <c r="M51" s="2">
        <v>11480136</v>
      </c>
      <c r="N51" s="2">
        <v>802666</v>
      </c>
      <c r="O51" s="2">
        <v>0</v>
      </c>
      <c r="P51" s="2">
        <v>16507360</v>
      </c>
      <c r="Q51" s="2">
        <v>16507360</v>
      </c>
      <c r="R51" t="s">
        <v>610</v>
      </c>
      <c r="S51" s="1" t="s">
        <v>612</v>
      </c>
      <c r="T51" s="1" t="s">
        <v>613</v>
      </c>
    </row>
    <row r="52" spans="3:20" x14ac:dyDescent="0.25">
      <c r="C52" s="1" t="s">
        <v>67</v>
      </c>
      <c r="D52" t="s">
        <v>548</v>
      </c>
      <c r="E52" s="2" t="s">
        <v>470</v>
      </c>
      <c r="F52" t="s">
        <v>547</v>
      </c>
      <c r="G52" t="s">
        <v>504</v>
      </c>
      <c r="L52" s="2">
        <v>227816</v>
      </c>
      <c r="M52" s="2">
        <v>1100600</v>
      </c>
      <c r="N52" s="2">
        <v>43285</v>
      </c>
      <c r="O52" s="2">
        <v>0</v>
      </c>
      <c r="P52" s="2">
        <v>1371701</v>
      </c>
      <c r="Q52" s="2">
        <v>1371701</v>
      </c>
      <c r="R52" t="s">
        <v>610</v>
      </c>
      <c r="S52" s="1" t="s">
        <v>612</v>
      </c>
      <c r="T52" s="1" t="s">
        <v>613</v>
      </c>
    </row>
    <row r="53" spans="3:20" x14ac:dyDescent="0.25">
      <c r="C53" s="1" t="s">
        <v>68</v>
      </c>
      <c r="D53" t="s">
        <v>456</v>
      </c>
      <c r="E53" t="s">
        <v>455</v>
      </c>
      <c r="F53" t="s">
        <v>549</v>
      </c>
      <c r="G53"/>
      <c r="L53" s="2">
        <v>0</v>
      </c>
      <c r="M53" s="2">
        <v>62600</v>
      </c>
      <c r="N53" s="2">
        <v>0</v>
      </c>
      <c r="O53" s="2">
        <v>0</v>
      </c>
      <c r="P53" s="2">
        <v>62600</v>
      </c>
      <c r="Q53" s="2">
        <v>62600</v>
      </c>
      <c r="R53" t="s">
        <v>610</v>
      </c>
      <c r="S53" s="1" t="s">
        <v>612</v>
      </c>
      <c r="T53" s="1" t="s">
        <v>613</v>
      </c>
    </row>
    <row r="54" spans="3:20" x14ac:dyDescent="0.25">
      <c r="C54" s="1" t="s">
        <v>69</v>
      </c>
      <c r="D54" t="s">
        <v>421</v>
      </c>
      <c r="E54" t="s">
        <v>550</v>
      </c>
      <c r="F54" t="s">
        <v>470</v>
      </c>
      <c r="G54" s="2" t="s">
        <v>474</v>
      </c>
      <c r="L54" s="2">
        <v>896216</v>
      </c>
      <c r="M54" s="2">
        <v>13908693</v>
      </c>
      <c r="N54" s="2">
        <v>170281</v>
      </c>
      <c r="O54" s="2">
        <v>0</v>
      </c>
      <c r="P54" s="2">
        <v>14975190</v>
      </c>
      <c r="Q54" s="2">
        <v>14975190</v>
      </c>
      <c r="R54" t="s">
        <v>610</v>
      </c>
      <c r="S54" s="1" t="s">
        <v>612</v>
      </c>
      <c r="T54" s="1" t="s">
        <v>613</v>
      </c>
    </row>
    <row r="55" spans="3:20" x14ac:dyDescent="0.25">
      <c r="C55" s="1" t="s">
        <v>70</v>
      </c>
      <c r="D55" t="s">
        <v>551</v>
      </c>
      <c r="E55" t="s">
        <v>552</v>
      </c>
      <c r="F55" t="s">
        <v>425</v>
      </c>
      <c r="G55" s="2"/>
      <c r="L55" s="2">
        <v>3800000</v>
      </c>
      <c r="M55" s="2">
        <v>10947799</v>
      </c>
      <c r="N55" s="2">
        <v>722000</v>
      </c>
      <c r="O55" s="2">
        <v>0</v>
      </c>
      <c r="P55" s="2">
        <v>15469799</v>
      </c>
      <c r="Q55" s="2">
        <v>15469799</v>
      </c>
      <c r="R55" t="s">
        <v>610</v>
      </c>
      <c r="S55" s="1" t="s">
        <v>612</v>
      </c>
      <c r="T55" s="1" t="s">
        <v>613</v>
      </c>
    </row>
    <row r="56" spans="3:20" x14ac:dyDescent="0.25">
      <c r="C56" s="1" t="s">
        <v>71</v>
      </c>
      <c r="D56" t="s">
        <v>553</v>
      </c>
      <c r="E56" t="s">
        <v>442</v>
      </c>
      <c r="F56" t="s">
        <v>554</v>
      </c>
      <c r="G56" s="2" t="s">
        <v>555</v>
      </c>
      <c r="L56" s="2">
        <v>153384</v>
      </c>
      <c r="M56" s="2">
        <v>611663</v>
      </c>
      <c r="N56" s="2">
        <v>29143</v>
      </c>
      <c r="O56" s="2">
        <v>0</v>
      </c>
      <c r="P56" s="2">
        <v>794190</v>
      </c>
      <c r="Q56" s="2">
        <v>794190</v>
      </c>
      <c r="R56" t="s">
        <v>610</v>
      </c>
      <c r="S56" s="1" t="s">
        <v>612</v>
      </c>
      <c r="T56" s="1" t="s">
        <v>613</v>
      </c>
    </row>
    <row r="57" spans="3:20" x14ac:dyDescent="0.25">
      <c r="C57" s="1" t="s">
        <v>72</v>
      </c>
      <c r="D57" t="s">
        <v>556</v>
      </c>
      <c r="E57" t="s">
        <v>514</v>
      </c>
      <c r="F57" t="s">
        <v>557</v>
      </c>
      <c r="G57" s="2"/>
      <c r="L57" s="2">
        <v>10136121</v>
      </c>
      <c r="M57" s="2">
        <v>37640725</v>
      </c>
      <c r="N57" s="2">
        <v>1925863</v>
      </c>
      <c r="O57" s="2">
        <v>0</v>
      </c>
      <c r="P57" s="2">
        <v>49702709</v>
      </c>
      <c r="Q57" s="2">
        <v>49702709</v>
      </c>
      <c r="R57" t="s">
        <v>610</v>
      </c>
      <c r="S57" s="1" t="s">
        <v>612</v>
      </c>
      <c r="T57" s="1" t="s">
        <v>613</v>
      </c>
    </row>
    <row r="58" spans="3:20" x14ac:dyDescent="0.25">
      <c r="C58" s="1" t="s">
        <v>73</v>
      </c>
      <c r="D58" t="s">
        <v>558</v>
      </c>
      <c r="E58" t="s">
        <v>485</v>
      </c>
      <c r="F58" t="s">
        <v>479</v>
      </c>
      <c r="G58" s="2"/>
      <c r="L58" s="2">
        <v>215458</v>
      </c>
      <c r="M58" s="2">
        <v>493689</v>
      </c>
      <c r="N58" s="2">
        <v>40937</v>
      </c>
      <c r="O58" s="2">
        <v>0</v>
      </c>
      <c r="P58" s="2">
        <v>750084</v>
      </c>
      <c r="Q58" s="2">
        <v>750084</v>
      </c>
      <c r="R58" t="s">
        <v>610</v>
      </c>
      <c r="S58" s="1" t="s">
        <v>612</v>
      </c>
      <c r="T58" s="1" t="s">
        <v>613</v>
      </c>
    </row>
    <row r="59" spans="3:20" x14ac:dyDescent="0.25">
      <c r="C59" s="1" t="s">
        <v>74</v>
      </c>
      <c r="D59" t="s">
        <v>559</v>
      </c>
      <c r="E59" t="s">
        <v>555</v>
      </c>
      <c r="F59" t="s">
        <v>103</v>
      </c>
      <c r="G59" s="2"/>
      <c r="L59" s="2">
        <v>0</v>
      </c>
      <c r="M59" s="2">
        <v>200000</v>
      </c>
      <c r="N59" s="2">
        <v>0</v>
      </c>
      <c r="O59" s="2">
        <v>0</v>
      </c>
      <c r="P59" s="2">
        <v>200000</v>
      </c>
      <c r="Q59" s="2">
        <v>200000</v>
      </c>
      <c r="R59" t="s">
        <v>610</v>
      </c>
      <c r="S59" s="1" t="s">
        <v>612</v>
      </c>
      <c r="T59" s="1" t="s">
        <v>613</v>
      </c>
    </row>
    <row r="60" spans="3:20" x14ac:dyDescent="0.25">
      <c r="C60" s="1" t="s">
        <v>75</v>
      </c>
      <c r="D60" t="s">
        <v>560</v>
      </c>
      <c r="E60" t="s">
        <v>421</v>
      </c>
      <c r="F60" t="s">
        <v>561</v>
      </c>
      <c r="G60" s="2" t="s">
        <v>562</v>
      </c>
      <c r="L60" s="2">
        <v>2421537</v>
      </c>
      <c r="M60" s="2">
        <v>5716262</v>
      </c>
      <c r="N60" s="2">
        <v>460092</v>
      </c>
      <c r="O60" s="2">
        <v>0</v>
      </c>
      <c r="P60" s="2">
        <v>8597891</v>
      </c>
      <c r="Q60" s="2">
        <v>8597891</v>
      </c>
      <c r="R60" t="s">
        <v>610</v>
      </c>
      <c r="S60" s="1" t="s">
        <v>612</v>
      </c>
      <c r="T60" s="1" t="s">
        <v>613</v>
      </c>
    </row>
    <row r="61" spans="3:20" x14ac:dyDescent="0.25">
      <c r="C61" s="1" t="s">
        <v>76</v>
      </c>
      <c r="D61" t="s">
        <v>563</v>
      </c>
      <c r="E61" t="s">
        <v>564</v>
      </c>
      <c r="F61"/>
      <c r="G61" s="2"/>
      <c r="L61" s="2">
        <v>2521</v>
      </c>
      <c r="M61" s="2">
        <v>18100</v>
      </c>
      <c r="N61" s="2">
        <v>479</v>
      </c>
      <c r="O61" s="2">
        <v>0</v>
      </c>
      <c r="P61" s="2">
        <v>21100</v>
      </c>
      <c r="Q61" s="2">
        <v>21100</v>
      </c>
      <c r="R61" t="s">
        <v>610</v>
      </c>
      <c r="S61" s="1" t="s">
        <v>612</v>
      </c>
      <c r="T61" s="1" t="s">
        <v>613</v>
      </c>
    </row>
    <row r="62" spans="3:20" x14ac:dyDescent="0.25">
      <c r="C62" s="1" t="s">
        <v>77</v>
      </c>
      <c r="D62" t="s">
        <v>421</v>
      </c>
      <c r="E62" t="s">
        <v>565</v>
      </c>
      <c r="F62" t="s">
        <v>566</v>
      </c>
      <c r="G62" s="2"/>
      <c r="L62" s="2">
        <v>1683358</v>
      </c>
      <c r="M62" s="2">
        <v>7205815</v>
      </c>
      <c r="N62" s="2">
        <v>319838</v>
      </c>
      <c r="O62" s="2">
        <v>0</v>
      </c>
      <c r="P62" s="2">
        <v>9209011</v>
      </c>
      <c r="Q62" s="2">
        <v>9209011</v>
      </c>
      <c r="R62" t="s">
        <v>610</v>
      </c>
      <c r="S62" s="1" t="s">
        <v>612</v>
      </c>
      <c r="T62" s="1" t="s">
        <v>613</v>
      </c>
    </row>
    <row r="63" spans="3:20" x14ac:dyDescent="0.25">
      <c r="C63" s="1" t="s">
        <v>78</v>
      </c>
      <c r="D63" t="s">
        <v>567</v>
      </c>
      <c r="E63" t="s">
        <v>568</v>
      </c>
      <c r="F63"/>
      <c r="G63" s="2"/>
      <c r="L63" s="2">
        <v>309026</v>
      </c>
      <c r="M63" s="2">
        <v>5150760</v>
      </c>
      <c r="N63" s="2">
        <v>58715</v>
      </c>
      <c r="O63" s="2">
        <v>0</v>
      </c>
      <c r="P63" s="2">
        <v>5518501</v>
      </c>
      <c r="Q63" s="2">
        <v>5518501</v>
      </c>
      <c r="R63" t="s">
        <v>610</v>
      </c>
      <c r="S63" s="1" t="s">
        <v>612</v>
      </c>
      <c r="T63" s="1" t="s">
        <v>613</v>
      </c>
    </row>
    <row r="64" spans="3:20" x14ac:dyDescent="0.25">
      <c r="C64" s="1" t="s">
        <v>79</v>
      </c>
      <c r="D64" t="s">
        <v>569</v>
      </c>
      <c r="E64" t="s">
        <v>421</v>
      </c>
      <c r="F64" t="s">
        <v>520</v>
      </c>
      <c r="G64" s="2" t="s">
        <v>570</v>
      </c>
      <c r="L64" s="2">
        <v>67553</v>
      </c>
      <c r="M64" s="2">
        <v>98911</v>
      </c>
      <c r="N64" s="2">
        <v>12835</v>
      </c>
      <c r="O64" s="2">
        <v>0</v>
      </c>
      <c r="P64" s="2">
        <v>179299</v>
      </c>
      <c r="Q64" s="2">
        <v>179299</v>
      </c>
      <c r="R64" t="s">
        <v>610</v>
      </c>
      <c r="S64" s="1" t="s">
        <v>612</v>
      </c>
      <c r="T64" s="1" t="s">
        <v>613</v>
      </c>
    </row>
    <row r="65" spans="3:20" x14ac:dyDescent="0.25">
      <c r="C65" s="1" t="s">
        <v>80</v>
      </c>
      <c r="D65" t="s">
        <v>571</v>
      </c>
      <c r="E65" t="s">
        <v>422</v>
      </c>
      <c r="F65"/>
      <c r="G65" s="2"/>
      <c r="L65" s="2">
        <v>1529411</v>
      </c>
      <c r="M65" s="2">
        <v>1</v>
      </c>
      <c r="N65" s="2">
        <v>290588</v>
      </c>
      <c r="O65" s="2">
        <v>0</v>
      </c>
      <c r="P65" s="2">
        <v>1820000</v>
      </c>
      <c r="Q65" s="2">
        <v>1820000</v>
      </c>
      <c r="R65" t="s">
        <v>610</v>
      </c>
      <c r="S65" s="1" t="s">
        <v>612</v>
      </c>
      <c r="T65" s="1" t="s">
        <v>613</v>
      </c>
    </row>
    <row r="66" spans="3:20" x14ac:dyDescent="0.25">
      <c r="C66" s="1" t="s">
        <v>81</v>
      </c>
      <c r="D66" t="s">
        <v>609</v>
      </c>
      <c r="E66" t="s">
        <v>573</v>
      </c>
      <c r="F66" t="s">
        <v>572</v>
      </c>
      <c r="G66" s="2" t="s">
        <v>608</v>
      </c>
      <c r="L66" s="2">
        <v>3806126</v>
      </c>
      <c r="M66" s="2">
        <v>5894564</v>
      </c>
      <c r="N66" s="2">
        <v>723164</v>
      </c>
      <c r="O66" s="2">
        <v>0</v>
      </c>
      <c r="P66" s="2">
        <v>10423854</v>
      </c>
      <c r="Q66" s="2">
        <v>10423854</v>
      </c>
      <c r="R66" t="s">
        <v>610</v>
      </c>
      <c r="S66" s="1" t="s">
        <v>612</v>
      </c>
      <c r="T66" s="1" t="s">
        <v>613</v>
      </c>
    </row>
    <row r="67" spans="3:20" x14ac:dyDescent="0.25">
      <c r="C67" s="1" t="s">
        <v>82</v>
      </c>
      <c r="D67" t="s">
        <v>574</v>
      </c>
      <c r="E67" t="s">
        <v>456</v>
      </c>
      <c r="F67"/>
      <c r="G67" s="2"/>
      <c r="L67" s="2">
        <v>215379</v>
      </c>
      <c r="M67" s="2">
        <v>512001</v>
      </c>
      <c r="N67" s="2">
        <v>40922</v>
      </c>
      <c r="O67" s="2">
        <v>0</v>
      </c>
      <c r="P67" s="2">
        <v>768302</v>
      </c>
      <c r="Q67" s="2">
        <v>768302</v>
      </c>
      <c r="R67" t="s">
        <v>610</v>
      </c>
      <c r="S67" s="1" t="s">
        <v>612</v>
      </c>
      <c r="T67" s="1" t="s">
        <v>613</v>
      </c>
    </row>
    <row r="68" spans="3:20" x14ac:dyDescent="0.25">
      <c r="C68" s="1" t="s">
        <v>83</v>
      </c>
      <c r="D68" t="s">
        <v>575</v>
      </c>
      <c r="E68" t="s">
        <v>576</v>
      </c>
      <c r="F68"/>
      <c r="G68" s="2"/>
      <c r="L68" s="2">
        <v>593911</v>
      </c>
      <c r="M68" s="2">
        <v>436547</v>
      </c>
      <c r="N68" s="2">
        <v>112843</v>
      </c>
      <c r="O68" s="2">
        <v>0</v>
      </c>
      <c r="P68" s="2">
        <v>1143301</v>
      </c>
      <c r="Q68" s="2">
        <v>1143301</v>
      </c>
      <c r="R68" t="s">
        <v>610</v>
      </c>
      <c r="S68" s="1" t="s">
        <v>612</v>
      </c>
      <c r="T68" s="1" t="s">
        <v>613</v>
      </c>
    </row>
    <row r="69" spans="3:20" x14ac:dyDescent="0.25">
      <c r="C69" s="1" t="s">
        <v>84</v>
      </c>
      <c r="D69" t="s">
        <v>577</v>
      </c>
      <c r="E69" t="s">
        <v>442</v>
      </c>
      <c r="F69" t="s">
        <v>474</v>
      </c>
      <c r="G69" s="2" t="s">
        <v>578</v>
      </c>
      <c r="L69" s="2">
        <v>7923374</v>
      </c>
      <c r="M69" s="2">
        <v>15704641</v>
      </c>
      <c r="N69" s="2">
        <v>1505441</v>
      </c>
      <c r="O69" s="2">
        <v>0</v>
      </c>
      <c r="P69" s="2">
        <v>25133456</v>
      </c>
      <c r="Q69" s="2">
        <v>25133456</v>
      </c>
      <c r="R69" t="s">
        <v>610</v>
      </c>
      <c r="S69" s="1" t="s">
        <v>612</v>
      </c>
      <c r="T69" s="1" t="s">
        <v>613</v>
      </c>
    </row>
    <row r="70" spans="3:20" x14ac:dyDescent="0.25">
      <c r="C70" s="1" t="s">
        <v>85</v>
      </c>
      <c r="D70" t="s">
        <v>421</v>
      </c>
      <c r="E70" t="s">
        <v>485</v>
      </c>
      <c r="F70" t="s">
        <v>103</v>
      </c>
      <c r="G70" s="2" t="s">
        <v>579</v>
      </c>
      <c r="L70" s="2">
        <v>132368</v>
      </c>
      <c r="M70" s="2">
        <v>532479</v>
      </c>
      <c r="N70" s="2">
        <v>25150</v>
      </c>
      <c r="O70" s="2">
        <v>0</v>
      </c>
      <c r="P70" s="2">
        <v>689997</v>
      </c>
      <c r="Q70" s="2">
        <v>689997</v>
      </c>
      <c r="R70" t="s">
        <v>610</v>
      </c>
      <c r="S70" s="1" t="s">
        <v>612</v>
      </c>
      <c r="T70" s="1" t="s">
        <v>613</v>
      </c>
    </row>
    <row r="71" spans="3:20" x14ac:dyDescent="0.25">
      <c r="C71" s="1" t="s">
        <v>86</v>
      </c>
      <c r="D71" t="s">
        <v>580</v>
      </c>
      <c r="E71" t="s">
        <v>516</v>
      </c>
      <c r="F71" t="s">
        <v>581</v>
      </c>
      <c r="G71" s="2"/>
      <c r="L71" s="2">
        <v>17795</v>
      </c>
      <c r="M71" s="2">
        <v>145824</v>
      </c>
      <c r="N71" s="2">
        <v>3381</v>
      </c>
      <c r="O71" s="2">
        <v>0</v>
      </c>
      <c r="P71" s="2">
        <v>167000</v>
      </c>
      <c r="Q71" s="2">
        <v>167000</v>
      </c>
      <c r="R71" t="s">
        <v>610</v>
      </c>
      <c r="S71" s="1" t="s">
        <v>612</v>
      </c>
      <c r="T71" s="1" t="s">
        <v>613</v>
      </c>
    </row>
    <row r="72" spans="3:20" x14ac:dyDescent="0.25">
      <c r="C72" s="1" t="s">
        <v>87</v>
      </c>
      <c r="D72" t="s">
        <v>421</v>
      </c>
      <c r="E72" t="s">
        <v>555</v>
      </c>
      <c r="F72"/>
      <c r="G72" s="2"/>
      <c r="L72" s="2">
        <v>7516</v>
      </c>
      <c r="M72" s="2">
        <v>67044</v>
      </c>
      <c r="N72" s="2">
        <v>1428</v>
      </c>
      <c r="O72" s="2">
        <v>0</v>
      </c>
      <c r="P72" s="2">
        <v>75988</v>
      </c>
      <c r="Q72" s="2">
        <v>75988</v>
      </c>
      <c r="R72" t="s">
        <v>610</v>
      </c>
      <c r="S72" s="1" t="s">
        <v>612</v>
      </c>
      <c r="T72" s="1" t="s">
        <v>613</v>
      </c>
    </row>
    <row r="73" spans="3:20" x14ac:dyDescent="0.25">
      <c r="C73" s="1" t="s">
        <v>88</v>
      </c>
      <c r="D73" t="s">
        <v>531</v>
      </c>
      <c r="E73" t="s">
        <v>582</v>
      </c>
      <c r="F73" t="s">
        <v>583</v>
      </c>
      <c r="G73" s="2" t="s">
        <v>584</v>
      </c>
      <c r="L73" s="2">
        <v>59016</v>
      </c>
      <c r="M73" s="2">
        <v>333771</v>
      </c>
      <c r="N73" s="2">
        <v>11213</v>
      </c>
      <c r="O73" s="2">
        <v>0</v>
      </c>
      <c r="P73" s="2">
        <v>404000</v>
      </c>
      <c r="Q73" s="2">
        <v>404000</v>
      </c>
      <c r="R73" t="s">
        <v>610</v>
      </c>
      <c r="S73" s="1" t="s">
        <v>612</v>
      </c>
      <c r="T73" s="1" t="s">
        <v>613</v>
      </c>
    </row>
    <row r="74" spans="3:20" x14ac:dyDescent="0.25">
      <c r="C74" s="1" t="s">
        <v>89</v>
      </c>
      <c r="D74" t="s">
        <v>585</v>
      </c>
      <c r="E74" t="s">
        <v>586</v>
      </c>
      <c r="F74" t="s">
        <v>425</v>
      </c>
      <c r="G74" s="2"/>
      <c r="L74" s="2">
        <v>0</v>
      </c>
      <c r="M74" s="2">
        <v>280000</v>
      </c>
      <c r="N74" s="2">
        <v>0</v>
      </c>
      <c r="O74" s="2">
        <v>0</v>
      </c>
      <c r="P74" s="2">
        <v>280000</v>
      </c>
      <c r="Q74" s="2">
        <v>280000</v>
      </c>
      <c r="R74" t="s">
        <v>610</v>
      </c>
      <c r="S74" s="1" t="s">
        <v>612</v>
      </c>
      <c r="T74" s="1" t="s">
        <v>613</v>
      </c>
    </row>
    <row r="75" spans="3:20" x14ac:dyDescent="0.25">
      <c r="C75" s="1" t="s">
        <v>90</v>
      </c>
      <c r="D75" t="s">
        <v>587</v>
      </c>
      <c r="E75" t="s">
        <v>433</v>
      </c>
      <c r="F75" t="s">
        <v>588</v>
      </c>
      <c r="G75" s="2"/>
      <c r="L75" s="2">
        <v>211895</v>
      </c>
      <c r="M75" s="2">
        <v>336066</v>
      </c>
      <c r="N75" s="2">
        <v>40260</v>
      </c>
      <c r="O75" s="2">
        <v>0</v>
      </c>
      <c r="P75" s="2">
        <v>588221</v>
      </c>
      <c r="Q75" s="2">
        <v>588221</v>
      </c>
      <c r="R75" t="s">
        <v>610</v>
      </c>
      <c r="S75" s="1" t="s">
        <v>612</v>
      </c>
      <c r="T75" s="1" t="s">
        <v>613</v>
      </c>
    </row>
    <row r="76" spans="3:20" x14ac:dyDescent="0.25">
      <c r="C76" s="1" t="s">
        <v>91</v>
      </c>
      <c r="D76" t="s">
        <v>589</v>
      </c>
      <c r="E76" t="s">
        <v>590</v>
      </c>
      <c r="F76"/>
      <c r="G76" s="2"/>
      <c r="L76" s="2">
        <v>59242</v>
      </c>
      <c r="M76" s="2">
        <v>9202</v>
      </c>
      <c r="N76" s="2">
        <v>11256</v>
      </c>
      <c r="O76" s="2">
        <v>0</v>
      </c>
      <c r="P76" s="2">
        <v>79700</v>
      </c>
      <c r="Q76" s="2">
        <v>79700</v>
      </c>
      <c r="R76" t="s">
        <v>610</v>
      </c>
      <c r="S76" s="1" t="s">
        <v>612</v>
      </c>
      <c r="T76" s="1" t="s">
        <v>613</v>
      </c>
    </row>
    <row r="77" spans="3:20" x14ac:dyDescent="0.25">
      <c r="C77" s="1" t="s">
        <v>92</v>
      </c>
      <c r="D77" t="s">
        <v>591</v>
      </c>
      <c r="E77" t="s">
        <v>547</v>
      </c>
      <c r="F77" t="s">
        <v>516</v>
      </c>
      <c r="G77" s="2" t="s">
        <v>463</v>
      </c>
      <c r="L77" s="2">
        <v>313674</v>
      </c>
      <c r="M77" s="2">
        <v>1315048</v>
      </c>
      <c r="N77" s="2">
        <v>59598</v>
      </c>
      <c r="O77" s="2">
        <v>0</v>
      </c>
      <c r="P77" s="2">
        <v>1688320</v>
      </c>
      <c r="Q77" s="2">
        <v>1688320</v>
      </c>
      <c r="R77" t="s">
        <v>610</v>
      </c>
      <c r="S77" s="1" t="s">
        <v>612</v>
      </c>
      <c r="T77" s="1" t="s">
        <v>613</v>
      </c>
    </row>
    <row r="78" spans="3:20" x14ac:dyDescent="0.25">
      <c r="C78" s="1" t="s">
        <v>93</v>
      </c>
      <c r="D78" t="s">
        <v>592</v>
      </c>
      <c r="E78" t="s">
        <v>555</v>
      </c>
      <c r="F78" t="s">
        <v>593</v>
      </c>
      <c r="G78" s="2"/>
      <c r="L78" s="2">
        <v>5827495</v>
      </c>
      <c r="M78" s="2">
        <v>7102677</v>
      </c>
      <c r="N78" s="2">
        <v>1107224</v>
      </c>
      <c r="O78" s="2">
        <v>0</v>
      </c>
      <c r="P78" s="2">
        <v>14037396</v>
      </c>
      <c r="Q78" s="2">
        <v>14037396</v>
      </c>
      <c r="R78" t="s">
        <v>610</v>
      </c>
      <c r="S78" s="1" t="s">
        <v>612</v>
      </c>
      <c r="T78" s="1" t="s">
        <v>613</v>
      </c>
    </row>
    <row r="79" spans="3:20" x14ac:dyDescent="0.25">
      <c r="C79" s="1" t="s">
        <v>94</v>
      </c>
      <c r="D79" t="s">
        <v>594</v>
      </c>
      <c r="E79" t="s">
        <v>500</v>
      </c>
      <c r="F79" t="s">
        <v>595</v>
      </c>
      <c r="G79" s="2"/>
      <c r="L79" s="2">
        <v>130642</v>
      </c>
      <c r="M79" s="2">
        <v>606215</v>
      </c>
      <c r="N79" s="2">
        <v>24822</v>
      </c>
      <c r="O79" s="2">
        <v>0</v>
      </c>
      <c r="P79" s="2">
        <v>761679</v>
      </c>
      <c r="Q79" s="2">
        <v>761679</v>
      </c>
      <c r="R79" t="s">
        <v>610</v>
      </c>
      <c r="S79" s="1" t="s">
        <v>612</v>
      </c>
      <c r="T79" s="1" t="s">
        <v>613</v>
      </c>
    </row>
    <row r="80" spans="3:20" x14ac:dyDescent="0.25">
      <c r="C80" s="1" t="s">
        <v>95</v>
      </c>
      <c r="D80" t="s">
        <v>596</v>
      </c>
      <c r="E80" t="s">
        <v>597</v>
      </c>
      <c r="F80" t="s">
        <v>474</v>
      </c>
      <c r="G80" s="2" t="s">
        <v>598</v>
      </c>
      <c r="L80" s="2">
        <v>21081421</v>
      </c>
      <c r="M80" s="2">
        <v>31815119</v>
      </c>
      <c r="N80" s="2">
        <v>4005470</v>
      </c>
      <c r="O80" s="2">
        <v>0</v>
      </c>
      <c r="P80" s="2">
        <v>56902010</v>
      </c>
      <c r="Q80" s="2">
        <v>56902010</v>
      </c>
      <c r="R80" t="s">
        <v>610</v>
      </c>
      <c r="S80" s="1" t="s">
        <v>612</v>
      </c>
      <c r="T80" s="1" t="s">
        <v>613</v>
      </c>
    </row>
    <row r="81" spans="3:20" x14ac:dyDescent="0.25">
      <c r="C81" s="1" t="s">
        <v>96</v>
      </c>
      <c r="D81" t="s">
        <v>499</v>
      </c>
      <c r="E81" t="s">
        <v>539</v>
      </c>
      <c r="F81" t="s">
        <v>599</v>
      </c>
      <c r="G81" s="2"/>
      <c r="L81" s="2">
        <v>121705</v>
      </c>
      <c r="M81" s="2">
        <v>272468</v>
      </c>
      <c r="N81" s="2">
        <v>23124</v>
      </c>
      <c r="O81" s="2">
        <v>0</v>
      </c>
      <c r="P81" s="2">
        <v>417297</v>
      </c>
      <c r="Q81" s="2">
        <v>417297</v>
      </c>
      <c r="R81" t="s">
        <v>610</v>
      </c>
      <c r="S81" s="1" t="s">
        <v>612</v>
      </c>
      <c r="T81" s="1" t="s">
        <v>613</v>
      </c>
    </row>
    <row r="82" spans="3:20" x14ac:dyDescent="0.25">
      <c r="C82" s="1" t="s">
        <v>97</v>
      </c>
      <c r="D82" t="s">
        <v>427</v>
      </c>
      <c r="E82" t="s">
        <v>600</v>
      </c>
      <c r="F82" t="s">
        <v>103</v>
      </c>
      <c r="G82" s="2" t="s">
        <v>601</v>
      </c>
      <c r="L82" s="2">
        <v>127542</v>
      </c>
      <c r="M82" s="2">
        <v>470925</v>
      </c>
      <c r="N82" s="2">
        <v>24233</v>
      </c>
      <c r="O82" s="2">
        <v>0</v>
      </c>
      <c r="P82" s="2">
        <v>622700</v>
      </c>
      <c r="Q82" s="2">
        <v>622700</v>
      </c>
      <c r="R82" t="s">
        <v>610</v>
      </c>
      <c r="S82" s="1" t="s">
        <v>612</v>
      </c>
      <c r="T82" s="1" t="s">
        <v>613</v>
      </c>
    </row>
    <row r="83" spans="3:20" x14ac:dyDescent="0.25">
      <c r="C83" s="1" t="s">
        <v>98</v>
      </c>
      <c r="D83" t="s">
        <v>602</v>
      </c>
      <c r="E83" t="s">
        <v>576</v>
      </c>
      <c r="F83"/>
      <c r="G83" s="2"/>
      <c r="L83" s="2">
        <v>0</v>
      </c>
      <c r="M83" s="2">
        <v>23920</v>
      </c>
      <c r="N83" s="2">
        <v>0</v>
      </c>
      <c r="O83" s="2">
        <v>0</v>
      </c>
      <c r="P83" s="2">
        <v>23920</v>
      </c>
      <c r="Q83" s="2">
        <v>23920</v>
      </c>
      <c r="R83" t="s">
        <v>610</v>
      </c>
      <c r="S83" s="1" t="s">
        <v>612</v>
      </c>
      <c r="T83" s="1" t="s">
        <v>613</v>
      </c>
    </row>
    <row r="84" spans="3:20" x14ac:dyDescent="0.25">
      <c r="C84" s="1" t="s">
        <v>99</v>
      </c>
      <c r="D84" t="s">
        <v>603</v>
      </c>
      <c r="E84" t="s">
        <v>456</v>
      </c>
      <c r="F84" t="s">
        <v>576</v>
      </c>
      <c r="G84" s="2"/>
      <c r="L84" s="2">
        <v>256595</v>
      </c>
      <c r="M84" s="2">
        <v>8306453</v>
      </c>
      <c r="N84" s="2">
        <v>48753</v>
      </c>
      <c r="O84" s="2">
        <v>0</v>
      </c>
      <c r="P84" s="2">
        <v>8611801</v>
      </c>
      <c r="Q84" s="2">
        <v>8611801</v>
      </c>
      <c r="R84" t="s">
        <v>610</v>
      </c>
      <c r="S84" s="1" t="s">
        <v>612</v>
      </c>
      <c r="T84" s="1" t="s">
        <v>613</v>
      </c>
    </row>
    <row r="85" spans="3:20" x14ac:dyDescent="0.25">
      <c r="C85" s="1" t="s">
        <v>100</v>
      </c>
      <c r="D85" t="s">
        <v>604</v>
      </c>
      <c r="E85" t="s">
        <v>605</v>
      </c>
      <c r="F85"/>
      <c r="G85" s="2"/>
      <c r="L85" s="2">
        <v>18016</v>
      </c>
      <c r="M85" s="2">
        <v>44561</v>
      </c>
      <c r="N85" s="2">
        <v>3423</v>
      </c>
      <c r="O85" s="2">
        <v>0</v>
      </c>
      <c r="P85" s="2">
        <v>66000</v>
      </c>
      <c r="Q85" s="2">
        <v>66000</v>
      </c>
      <c r="R85" t="s">
        <v>610</v>
      </c>
      <c r="S85" s="1" t="s">
        <v>612</v>
      </c>
      <c r="T85" s="1" t="s">
        <v>613</v>
      </c>
    </row>
    <row r="86" spans="3:20" x14ac:dyDescent="0.25">
      <c r="C86" s="1" t="s">
        <v>101</v>
      </c>
      <c r="D86" t="s">
        <v>103</v>
      </c>
      <c r="E86" t="s">
        <v>104</v>
      </c>
      <c r="F86" t="s">
        <v>105</v>
      </c>
      <c r="G86" t="s">
        <v>106</v>
      </c>
      <c r="L86" s="2">
        <v>249063</v>
      </c>
      <c r="M86" s="2">
        <v>164715</v>
      </c>
      <c r="N86" s="2">
        <v>47322</v>
      </c>
      <c r="O86" s="2">
        <v>0</v>
      </c>
      <c r="P86" s="2">
        <v>461100</v>
      </c>
      <c r="Q86" s="2">
        <v>461100</v>
      </c>
      <c r="R86" t="s">
        <v>107</v>
      </c>
      <c r="S86" s="1" t="s">
        <v>612</v>
      </c>
      <c r="T86" s="1" t="s">
        <v>613</v>
      </c>
    </row>
    <row r="87" spans="3:20" x14ac:dyDescent="0.25">
      <c r="C87" s="1" t="s">
        <v>108</v>
      </c>
      <c r="D87" t="s">
        <v>110</v>
      </c>
      <c r="E87" t="s">
        <v>111</v>
      </c>
      <c r="F87" t="s">
        <v>112</v>
      </c>
      <c r="G87" t="s">
        <v>113</v>
      </c>
      <c r="L87" s="2">
        <v>204511</v>
      </c>
      <c r="M87" s="2">
        <v>28870932</v>
      </c>
      <c r="N87" s="2">
        <v>38857</v>
      </c>
      <c r="O87" s="2">
        <v>0</v>
      </c>
      <c r="P87" s="2">
        <v>29114300</v>
      </c>
      <c r="Q87" s="2">
        <v>29114300</v>
      </c>
      <c r="R87" t="s">
        <v>610</v>
      </c>
      <c r="S87" s="1" t="s">
        <v>612</v>
      </c>
      <c r="T87" s="1" t="s">
        <v>613</v>
      </c>
    </row>
    <row r="88" spans="3:20" x14ac:dyDescent="0.25">
      <c r="C88" s="1" t="s">
        <v>114</v>
      </c>
      <c r="D88"/>
      <c r="E88"/>
      <c r="F88"/>
      <c r="G88"/>
      <c r="H88" t="s">
        <v>115</v>
      </c>
      <c r="L88" s="2">
        <v>2941</v>
      </c>
      <c r="M88" s="2">
        <v>0</v>
      </c>
      <c r="N88" s="2">
        <v>559</v>
      </c>
      <c r="O88" s="2">
        <v>0</v>
      </c>
      <c r="P88" s="2">
        <v>3500</v>
      </c>
      <c r="Q88" s="2">
        <v>3500</v>
      </c>
      <c r="R88" t="s">
        <v>611</v>
      </c>
      <c r="S88" s="1" t="s">
        <v>116</v>
      </c>
      <c r="T88" s="1" t="s">
        <v>117</v>
      </c>
    </row>
    <row r="89" spans="3:20" x14ac:dyDescent="0.25">
      <c r="C89" s="1" t="s">
        <v>118</v>
      </c>
      <c r="D89"/>
      <c r="E89"/>
      <c r="F89"/>
      <c r="G89"/>
      <c r="H89" t="s">
        <v>119</v>
      </c>
      <c r="L89" s="2">
        <v>0</v>
      </c>
      <c r="M89" s="2">
        <v>21000</v>
      </c>
      <c r="N89" s="2">
        <v>0</v>
      </c>
      <c r="O89" s="2">
        <v>0</v>
      </c>
      <c r="P89" s="2">
        <v>21000</v>
      </c>
      <c r="Q89" s="2">
        <v>21000</v>
      </c>
      <c r="R89" t="s">
        <v>610</v>
      </c>
      <c r="S89" s="1" t="s">
        <v>612</v>
      </c>
      <c r="T89" s="1" t="s">
        <v>613</v>
      </c>
    </row>
    <row r="90" spans="3:20" x14ac:dyDescent="0.25">
      <c r="C90" s="1" t="s">
        <v>120</v>
      </c>
      <c r="D90"/>
      <c r="E90"/>
      <c r="F90"/>
      <c r="G90"/>
      <c r="H90" t="s">
        <v>121</v>
      </c>
      <c r="L90" s="2">
        <v>7649805</v>
      </c>
      <c r="M90" s="2">
        <v>7012232</v>
      </c>
      <c r="N90" s="2">
        <v>1453463</v>
      </c>
      <c r="O90" s="2">
        <v>0</v>
      </c>
      <c r="P90" s="2">
        <v>16115500</v>
      </c>
      <c r="Q90" s="2">
        <v>16115500</v>
      </c>
      <c r="R90" t="s">
        <v>122</v>
      </c>
      <c r="S90" s="1" t="s">
        <v>612</v>
      </c>
      <c r="T90" s="1" t="s">
        <v>613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7"/>
  <sheetViews>
    <sheetView workbookViewId="0"/>
  </sheetViews>
  <sheetFormatPr baseColWidth="10" defaultRowHeight="15" x14ac:dyDescent="0.25"/>
  <cols>
    <col min="1" max="1" width="13.42578125" customWidth="1"/>
    <col min="2" max="2" width="67" customWidth="1"/>
  </cols>
  <sheetData>
    <row r="2" spans="1:2" x14ac:dyDescent="0.25">
      <c r="A2" s="9">
        <v>900297830</v>
      </c>
      <c r="B2" s="9" t="s">
        <v>167</v>
      </c>
    </row>
    <row r="3" spans="1:2" x14ac:dyDescent="0.25">
      <c r="A3" s="9">
        <v>800020220</v>
      </c>
      <c r="B3" s="9" t="s">
        <v>277</v>
      </c>
    </row>
    <row r="4" spans="1:2" x14ac:dyDescent="0.25">
      <c r="A4" s="9">
        <v>860013771</v>
      </c>
      <c r="B4" s="9" t="s">
        <v>170</v>
      </c>
    </row>
    <row r="5" spans="1:2" x14ac:dyDescent="0.25">
      <c r="A5" s="9">
        <v>830006735</v>
      </c>
      <c r="B5" s="9" t="s">
        <v>172</v>
      </c>
    </row>
    <row r="6" spans="1:2" x14ac:dyDescent="0.25">
      <c r="A6" s="9">
        <v>890900608</v>
      </c>
      <c r="B6" s="9" t="s">
        <v>278</v>
      </c>
    </row>
    <row r="7" spans="1:2" x14ac:dyDescent="0.25">
      <c r="A7" s="9">
        <v>1053005061</v>
      </c>
      <c r="B7" s="9" t="s">
        <v>279</v>
      </c>
    </row>
    <row r="8" spans="1:2" x14ac:dyDescent="0.25">
      <c r="A8" s="9">
        <v>890911625</v>
      </c>
      <c r="B8" s="9" t="s">
        <v>280</v>
      </c>
    </row>
    <row r="9" spans="1:2" x14ac:dyDescent="0.25">
      <c r="A9" s="9">
        <v>860002184</v>
      </c>
      <c r="B9" s="9" t="s">
        <v>281</v>
      </c>
    </row>
    <row r="10" spans="1:2" x14ac:dyDescent="0.25">
      <c r="A10" s="9">
        <v>860000135</v>
      </c>
      <c r="B10" s="9" t="s">
        <v>178</v>
      </c>
    </row>
    <row r="11" spans="1:2" x14ac:dyDescent="0.25">
      <c r="A11" s="9">
        <v>901976263</v>
      </c>
      <c r="B11" s="9" t="s">
        <v>282</v>
      </c>
    </row>
    <row r="12" spans="1:2" x14ac:dyDescent="0.25">
      <c r="A12" s="9">
        <v>70697476</v>
      </c>
      <c r="B12" s="9" t="s">
        <v>283</v>
      </c>
    </row>
    <row r="13" spans="1:2" x14ac:dyDescent="0.25">
      <c r="A13" s="9">
        <v>890900943</v>
      </c>
      <c r="B13" s="9" t="s">
        <v>284</v>
      </c>
    </row>
    <row r="14" spans="1:2" x14ac:dyDescent="0.25">
      <c r="A14" s="9">
        <v>900341086</v>
      </c>
      <c r="B14" s="9" t="s">
        <v>285</v>
      </c>
    </row>
    <row r="15" spans="1:2" x14ac:dyDescent="0.25">
      <c r="A15" s="9">
        <v>901148822</v>
      </c>
      <c r="B15" s="9" t="s">
        <v>286</v>
      </c>
    </row>
    <row r="16" spans="1:2" x14ac:dyDescent="0.25">
      <c r="A16" s="9">
        <v>900713171</v>
      </c>
      <c r="B16" s="9" t="s">
        <v>287</v>
      </c>
    </row>
    <row r="17" spans="1:2" x14ac:dyDescent="0.25">
      <c r="A17" s="9">
        <v>823002532</v>
      </c>
      <c r="B17" s="9" t="s">
        <v>288</v>
      </c>
    </row>
    <row r="18" spans="1:2" x14ac:dyDescent="0.25">
      <c r="A18" s="9">
        <v>900580962</v>
      </c>
      <c r="B18" s="9" t="s">
        <v>195</v>
      </c>
    </row>
    <row r="19" spans="1:2" x14ac:dyDescent="0.25">
      <c r="A19" s="9">
        <v>901142940</v>
      </c>
      <c r="B19" s="9" t="s">
        <v>198</v>
      </c>
    </row>
    <row r="20" spans="1:2" x14ac:dyDescent="0.25">
      <c r="A20" s="9">
        <v>900121594</v>
      </c>
      <c r="B20" s="9" t="s">
        <v>289</v>
      </c>
    </row>
    <row r="21" spans="1:2" x14ac:dyDescent="0.25">
      <c r="A21" s="9">
        <v>901366214</v>
      </c>
      <c r="B21" s="9" t="s">
        <v>290</v>
      </c>
    </row>
    <row r="22" spans="1:2" x14ac:dyDescent="0.25">
      <c r="A22" s="9">
        <v>822007117</v>
      </c>
      <c r="B22" s="9" t="s">
        <v>291</v>
      </c>
    </row>
    <row r="23" spans="1:2" x14ac:dyDescent="0.25">
      <c r="A23" s="9">
        <v>900925115</v>
      </c>
      <c r="B23" s="9" t="s">
        <v>292</v>
      </c>
    </row>
    <row r="24" spans="1:2" x14ac:dyDescent="0.25">
      <c r="A24" s="9">
        <v>806016023</v>
      </c>
      <c r="B24" s="9" t="s">
        <v>293</v>
      </c>
    </row>
    <row r="25" spans="1:2" x14ac:dyDescent="0.25">
      <c r="A25" s="9">
        <v>806006113</v>
      </c>
      <c r="B25" s="9" t="s">
        <v>294</v>
      </c>
    </row>
    <row r="26" spans="1:2" x14ac:dyDescent="0.25">
      <c r="A26" s="9">
        <v>890916575</v>
      </c>
      <c r="B26" s="9" t="s">
        <v>202</v>
      </c>
    </row>
    <row r="27" spans="1:2" x14ac:dyDescent="0.25">
      <c r="A27" s="9">
        <v>901020012</v>
      </c>
      <c r="B27" s="9" t="s">
        <v>295</v>
      </c>
    </row>
    <row r="28" spans="1:2" x14ac:dyDescent="0.25">
      <c r="A28" s="9">
        <v>800156889</v>
      </c>
      <c r="B28" s="9" t="s">
        <v>205</v>
      </c>
    </row>
    <row r="29" spans="1:2" x14ac:dyDescent="0.25">
      <c r="A29" s="9">
        <v>800043910</v>
      </c>
      <c r="B29" s="9" t="s">
        <v>296</v>
      </c>
    </row>
    <row r="30" spans="1:2" x14ac:dyDescent="0.25">
      <c r="A30" s="9">
        <v>892201114</v>
      </c>
      <c r="B30" s="9" t="s">
        <v>297</v>
      </c>
    </row>
    <row r="31" spans="1:2" x14ac:dyDescent="0.25">
      <c r="A31" s="9">
        <v>1101820152</v>
      </c>
      <c r="B31" s="9" t="s">
        <v>298</v>
      </c>
    </row>
    <row r="32" spans="1:2" x14ac:dyDescent="0.25">
      <c r="A32" s="9">
        <v>901638858</v>
      </c>
      <c r="B32" s="9" t="s">
        <v>299</v>
      </c>
    </row>
    <row r="33" spans="1:2" x14ac:dyDescent="0.25">
      <c r="A33" s="9">
        <v>1052085372</v>
      </c>
      <c r="B33" s="9" t="s">
        <v>300</v>
      </c>
    </row>
    <row r="34" spans="1:2" x14ac:dyDescent="0.25">
      <c r="A34" s="9">
        <v>900233015</v>
      </c>
      <c r="B34" s="9" t="s">
        <v>215</v>
      </c>
    </row>
    <row r="35" spans="1:2" x14ac:dyDescent="0.25">
      <c r="A35" s="9">
        <v>892300678</v>
      </c>
      <c r="B35" s="9" t="s">
        <v>301</v>
      </c>
    </row>
    <row r="36" spans="1:2" x14ac:dyDescent="0.25">
      <c r="A36" s="9">
        <v>892300678</v>
      </c>
      <c r="B36" s="9" t="s">
        <v>217</v>
      </c>
    </row>
    <row r="37" spans="1:2" x14ac:dyDescent="0.25">
      <c r="A37" s="9">
        <v>901008327</v>
      </c>
      <c r="B37" s="9" t="s">
        <v>220</v>
      </c>
    </row>
    <row r="38" spans="1:2" x14ac:dyDescent="0.25">
      <c r="A38" s="9">
        <v>901390015</v>
      </c>
      <c r="B38" s="9" t="s">
        <v>302</v>
      </c>
    </row>
    <row r="39" spans="1:2" x14ac:dyDescent="0.25">
      <c r="A39" s="9">
        <v>800060880</v>
      </c>
      <c r="B39" s="9" t="s">
        <v>303</v>
      </c>
    </row>
    <row r="40" spans="1:2" x14ac:dyDescent="0.25">
      <c r="A40" s="9">
        <v>901234880</v>
      </c>
      <c r="B40" s="9" t="s">
        <v>304</v>
      </c>
    </row>
    <row r="41" spans="1:2" x14ac:dyDescent="0.25">
      <c r="A41" s="9">
        <v>900725152</v>
      </c>
      <c r="B41" s="9" t="s">
        <v>305</v>
      </c>
    </row>
    <row r="42" spans="1:2" x14ac:dyDescent="0.25">
      <c r="A42" s="9">
        <v>890106814</v>
      </c>
      <c r="B42" s="9" t="s">
        <v>306</v>
      </c>
    </row>
    <row r="43" spans="1:2" x14ac:dyDescent="0.25">
      <c r="A43" s="9">
        <v>860508462</v>
      </c>
      <c r="B43" s="9" t="s">
        <v>232</v>
      </c>
    </row>
    <row r="44" spans="1:2" x14ac:dyDescent="0.25">
      <c r="A44" s="9">
        <v>901714299</v>
      </c>
      <c r="B44" s="9" t="s">
        <v>307</v>
      </c>
    </row>
    <row r="45" spans="1:2" x14ac:dyDescent="0.25">
      <c r="A45" s="9">
        <v>890903858</v>
      </c>
      <c r="B45" s="9" t="s">
        <v>234</v>
      </c>
    </row>
    <row r="46" spans="1:2" x14ac:dyDescent="0.25">
      <c r="A46" s="9">
        <v>890903858</v>
      </c>
      <c r="B46" s="9" t="s">
        <v>308</v>
      </c>
    </row>
    <row r="47" spans="1:2" x14ac:dyDescent="0.25">
      <c r="A47" s="9">
        <v>890104719</v>
      </c>
      <c r="B47" s="9" t="s">
        <v>237</v>
      </c>
    </row>
    <row r="48" spans="1:2" x14ac:dyDescent="0.25">
      <c r="A48" s="9">
        <v>900139483</v>
      </c>
      <c r="B48" s="9" t="s">
        <v>309</v>
      </c>
    </row>
    <row r="49" spans="1:2" x14ac:dyDescent="0.25">
      <c r="A49" s="9">
        <v>901103498</v>
      </c>
      <c r="B49" s="9" t="s">
        <v>239</v>
      </c>
    </row>
    <row r="50" spans="1:2" x14ac:dyDescent="0.25">
      <c r="A50" s="9">
        <v>70142980</v>
      </c>
      <c r="B50" s="9" t="s">
        <v>158</v>
      </c>
    </row>
    <row r="51" spans="1:2" x14ac:dyDescent="0.25">
      <c r="A51" s="9">
        <v>9173123</v>
      </c>
      <c r="B51" s="9" t="s">
        <v>310</v>
      </c>
    </row>
    <row r="52" spans="1:2" x14ac:dyDescent="0.25">
      <c r="A52" s="9">
        <v>900818921</v>
      </c>
      <c r="B52" s="9" t="s">
        <v>311</v>
      </c>
    </row>
    <row r="53" spans="1:2" x14ac:dyDescent="0.25">
      <c r="A53" s="9">
        <v>901152124</v>
      </c>
      <c r="B53" s="9" t="s">
        <v>312</v>
      </c>
    </row>
    <row r="54" spans="1:2" x14ac:dyDescent="0.25">
      <c r="A54" s="9">
        <v>1129574347</v>
      </c>
      <c r="B54" s="9" t="s">
        <v>313</v>
      </c>
    </row>
    <row r="55" spans="1:2" x14ac:dyDescent="0.25">
      <c r="A55" s="9">
        <v>900414280</v>
      </c>
      <c r="B55" s="9" t="s">
        <v>314</v>
      </c>
    </row>
    <row r="56" spans="1:2" x14ac:dyDescent="0.25">
      <c r="A56" s="9">
        <v>802001105</v>
      </c>
      <c r="B56" s="9" t="s">
        <v>315</v>
      </c>
    </row>
    <row r="57" spans="1:2" x14ac:dyDescent="0.25">
      <c r="A57" s="9">
        <v>802001105</v>
      </c>
      <c r="B57" s="9" t="s">
        <v>316</v>
      </c>
    </row>
    <row r="58" spans="1:2" x14ac:dyDescent="0.25">
      <c r="A58" s="9">
        <v>901280096</v>
      </c>
      <c r="B58" s="9" t="s">
        <v>317</v>
      </c>
    </row>
    <row r="59" spans="1:2" x14ac:dyDescent="0.25">
      <c r="A59" s="9">
        <v>901766926</v>
      </c>
      <c r="B59" s="9" t="s">
        <v>318</v>
      </c>
    </row>
    <row r="60" spans="1:2" x14ac:dyDescent="0.25">
      <c r="A60" s="9">
        <v>901832567</v>
      </c>
      <c r="B60" s="9" t="s">
        <v>319</v>
      </c>
    </row>
    <row r="61" spans="1:2" x14ac:dyDescent="0.25">
      <c r="A61" s="9">
        <v>812007194</v>
      </c>
      <c r="B61" s="9" t="s">
        <v>320</v>
      </c>
    </row>
    <row r="62" spans="1:2" x14ac:dyDescent="0.25">
      <c r="A62" s="9">
        <v>891100445</v>
      </c>
      <c r="B62" s="9" t="s">
        <v>321</v>
      </c>
    </row>
    <row r="63" spans="1:2" x14ac:dyDescent="0.25">
      <c r="A63" s="9">
        <v>860503159</v>
      </c>
      <c r="B63" s="9" t="s">
        <v>322</v>
      </c>
    </row>
    <row r="64" spans="1:2" x14ac:dyDescent="0.25">
      <c r="A64" s="9">
        <v>890919160</v>
      </c>
      <c r="B64" s="9" t="s">
        <v>323</v>
      </c>
    </row>
    <row r="65" spans="1:2" x14ac:dyDescent="0.25">
      <c r="A65" s="9">
        <v>800197463</v>
      </c>
      <c r="B65" s="9" t="s">
        <v>324</v>
      </c>
    </row>
    <row r="66" spans="1:2" x14ac:dyDescent="0.25">
      <c r="A66" s="9">
        <v>890903939</v>
      </c>
      <c r="B66" s="9" t="s">
        <v>253</v>
      </c>
    </row>
    <row r="67" spans="1:2" x14ac:dyDescent="0.25">
      <c r="A67" s="9">
        <v>73550509</v>
      </c>
      <c r="B67" s="9" t="s">
        <v>325</v>
      </c>
    </row>
    <row r="68" spans="1:2" x14ac:dyDescent="0.25">
      <c r="A68" s="9">
        <v>900872769</v>
      </c>
      <c r="B68" s="9" t="s">
        <v>256</v>
      </c>
    </row>
    <row r="69" spans="1:2" x14ac:dyDescent="0.25">
      <c r="A69" s="9">
        <v>890800718</v>
      </c>
      <c r="B69" s="9" t="s">
        <v>258</v>
      </c>
    </row>
    <row r="70" spans="1:2" x14ac:dyDescent="0.25">
      <c r="A70" s="9">
        <v>890107487</v>
      </c>
      <c r="B70" s="9" t="s">
        <v>326</v>
      </c>
    </row>
    <row r="71" spans="1:2" x14ac:dyDescent="0.25">
      <c r="A71" s="9">
        <v>900855360</v>
      </c>
      <c r="B71" s="9" t="s">
        <v>260</v>
      </c>
    </row>
    <row r="72" spans="1:2" x14ac:dyDescent="0.25">
      <c r="A72" s="9">
        <v>800094742</v>
      </c>
      <c r="B72" s="9" t="s">
        <v>327</v>
      </c>
    </row>
    <row r="73" spans="1:2" x14ac:dyDescent="0.25">
      <c r="A73" s="9">
        <v>800087565</v>
      </c>
      <c r="B73" s="9" t="s">
        <v>328</v>
      </c>
    </row>
    <row r="74" spans="1:2" x14ac:dyDescent="0.25">
      <c r="A74" s="9">
        <v>890300466</v>
      </c>
      <c r="B74" s="9" t="s">
        <v>266</v>
      </c>
    </row>
    <row r="75" spans="1:2" x14ac:dyDescent="0.25">
      <c r="A75" s="9">
        <v>811025446</v>
      </c>
      <c r="B75" s="9" t="s">
        <v>269</v>
      </c>
    </row>
    <row r="76" spans="1:2" x14ac:dyDescent="0.25">
      <c r="A76" s="9">
        <v>900330819</v>
      </c>
      <c r="B76" s="9" t="s">
        <v>329</v>
      </c>
    </row>
    <row r="77" spans="1:2" x14ac:dyDescent="0.25">
      <c r="A77" s="9">
        <v>800003765</v>
      </c>
      <c r="B77" s="9" t="s">
        <v>330</v>
      </c>
    </row>
    <row r="78" spans="1:2" x14ac:dyDescent="0.25">
      <c r="A78" s="9">
        <v>900534356</v>
      </c>
      <c r="B78" s="9" t="s">
        <v>331</v>
      </c>
    </row>
    <row r="79" spans="1:2" x14ac:dyDescent="0.25">
      <c r="A79" s="9">
        <v>800256605</v>
      </c>
      <c r="B79" s="9" t="s">
        <v>332</v>
      </c>
    </row>
    <row r="80" spans="1:2" x14ac:dyDescent="0.25">
      <c r="A80" s="9">
        <v>3918382</v>
      </c>
      <c r="B80" s="9" t="s">
        <v>333</v>
      </c>
    </row>
    <row r="81" spans="1:2" x14ac:dyDescent="0.25">
      <c r="A81" s="9">
        <v>8766184</v>
      </c>
      <c r="B81" s="9" t="s">
        <v>334</v>
      </c>
    </row>
    <row r="82" spans="1:2" x14ac:dyDescent="0.25">
      <c r="A82" s="9">
        <v>9109383</v>
      </c>
      <c r="B82" s="9" t="s">
        <v>335</v>
      </c>
    </row>
    <row r="83" spans="1:2" x14ac:dyDescent="0.25">
      <c r="A83" s="9">
        <v>9109691</v>
      </c>
      <c r="B83" s="9" t="s">
        <v>336</v>
      </c>
    </row>
    <row r="84" spans="1:2" x14ac:dyDescent="0.25">
      <c r="A84" s="9">
        <v>9109801</v>
      </c>
      <c r="B84" s="9" t="s">
        <v>337</v>
      </c>
    </row>
    <row r="85" spans="1:2" x14ac:dyDescent="0.25">
      <c r="A85" s="9">
        <v>9110265</v>
      </c>
      <c r="B85" s="9" t="s">
        <v>338</v>
      </c>
    </row>
    <row r="86" spans="1:2" x14ac:dyDescent="0.25">
      <c r="A86" s="9">
        <v>9110270</v>
      </c>
      <c r="B86" s="9" t="s">
        <v>339</v>
      </c>
    </row>
    <row r="87" spans="1:2" x14ac:dyDescent="0.25">
      <c r="A87" s="9">
        <v>9111847</v>
      </c>
      <c r="B87" s="9" t="s">
        <v>340</v>
      </c>
    </row>
    <row r="88" spans="1:2" x14ac:dyDescent="0.25">
      <c r="A88" s="9">
        <v>9112661</v>
      </c>
      <c r="B88" s="9" t="s">
        <v>341</v>
      </c>
    </row>
    <row r="89" spans="1:2" x14ac:dyDescent="0.25">
      <c r="A89" s="9">
        <v>9112946</v>
      </c>
      <c r="B89" s="9" t="s">
        <v>102</v>
      </c>
    </row>
    <row r="90" spans="1:2" x14ac:dyDescent="0.25">
      <c r="A90" s="9">
        <v>9174538</v>
      </c>
      <c r="B90" s="9" t="s">
        <v>342</v>
      </c>
    </row>
    <row r="91" spans="1:2" x14ac:dyDescent="0.25">
      <c r="A91" s="9">
        <v>12597591</v>
      </c>
      <c r="B91" s="9" t="s">
        <v>343</v>
      </c>
    </row>
    <row r="92" spans="1:2" x14ac:dyDescent="0.25">
      <c r="A92" s="9">
        <v>18876469</v>
      </c>
      <c r="B92" s="9" t="s">
        <v>344</v>
      </c>
    </row>
    <row r="93" spans="1:2" x14ac:dyDescent="0.25">
      <c r="A93" s="9">
        <v>22547869</v>
      </c>
      <c r="B93" s="9" t="s">
        <v>345</v>
      </c>
    </row>
    <row r="94" spans="1:2" x14ac:dyDescent="0.25">
      <c r="A94" s="9">
        <v>26035974</v>
      </c>
      <c r="B94" s="9" t="s">
        <v>346</v>
      </c>
    </row>
    <row r="95" spans="1:2" x14ac:dyDescent="0.25">
      <c r="A95" s="9">
        <v>32436137</v>
      </c>
      <c r="B95" s="9" t="s">
        <v>347</v>
      </c>
    </row>
    <row r="96" spans="1:2" x14ac:dyDescent="0.25">
      <c r="A96" s="9">
        <v>33108871</v>
      </c>
      <c r="B96" s="9" t="s">
        <v>348</v>
      </c>
    </row>
    <row r="97" spans="1:2" x14ac:dyDescent="0.25">
      <c r="A97" s="9">
        <v>33279558</v>
      </c>
      <c r="B97" s="9" t="s">
        <v>349</v>
      </c>
    </row>
    <row r="98" spans="1:2" x14ac:dyDescent="0.25">
      <c r="A98" s="9">
        <v>33284326</v>
      </c>
      <c r="B98" s="9" t="s">
        <v>350</v>
      </c>
    </row>
    <row r="99" spans="1:2" x14ac:dyDescent="0.25">
      <c r="A99" s="9">
        <v>34979498</v>
      </c>
      <c r="B99" s="9" t="s">
        <v>351</v>
      </c>
    </row>
    <row r="100" spans="1:2" x14ac:dyDescent="0.25">
      <c r="A100" s="9">
        <v>39089851</v>
      </c>
      <c r="B100" s="9" t="s">
        <v>352</v>
      </c>
    </row>
    <row r="101" spans="1:2" x14ac:dyDescent="0.25">
      <c r="A101" s="9">
        <v>42658555</v>
      </c>
      <c r="B101" s="9" t="s">
        <v>353</v>
      </c>
    </row>
    <row r="102" spans="1:2" x14ac:dyDescent="0.25">
      <c r="A102" s="9">
        <v>45508503</v>
      </c>
      <c r="B102" s="9" t="s">
        <v>354</v>
      </c>
    </row>
    <row r="103" spans="1:2" x14ac:dyDescent="0.25">
      <c r="A103" s="9">
        <v>45576585</v>
      </c>
      <c r="B103" s="9" t="s">
        <v>355</v>
      </c>
    </row>
    <row r="104" spans="1:2" x14ac:dyDescent="0.25">
      <c r="A104" s="9">
        <v>45582906</v>
      </c>
      <c r="B104" s="9" t="s">
        <v>356</v>
      </c>
    </row>
    <row r="105" spans="1:2" x14ac:dyDescent="0.25">
      <c r="A105" s="9">
        <v>45583674</v>
      </c>
      <c r="B105" s="9" t="s">
        <v>357</v>
      </c>
    </row>
    <row r="106" spans="1:2" x14ac:dyDescent="0.25">
      <c r="A106" s="9">
        <v>45646956</v>
      </c>
      <c r="B106" s="9" t="s">
        <v>358</v>
      </c>
    </row>
    <row r="107" spans="1:2" x14ac:dyDescent="0.25">
      <c r="A107" s="9">
        <v>64890106</v>
      </c>
      <c r="B107" s="9" t="s">
        <v>359</v>
      </c>
    </row>
    <row r="108" spans="1:2" x14ac:dyDescent="0.25">
      <c r="A108" s="9">
        <v>70695929</v>
      </c>
      <c r="B108" s="9" t="s">
        <v>109</v>
      </c>
    </row>
    <row r="109" spans="1:2" x14ac:dyDescent="0.25">
      <c r="A109" s="9">
        <v>70928192</v>
      </c>
      <c r="B109" s="9" t="s">
        <v>360</v>
      </c>
    </row>
    <row r="110" spans="1:2" x14ac:dyDescent="0.25">
      <c r="A110" s="9">
        <v>72169927</v>
      </c>
      <c r="B110" s="9" t="s">
        <v>361</v>
      </c>
    </row>
    <row r="111" spans="1:2" x14ac:dyDescent="0.25">
      <c r="A111" s="9">
        <v>72329883</v>
      </c>
      <c r="B111" s="9" t="s">
        <v>362</v>
      </c>
    </row>
    <row r="112" spans="1:2" x14ac:dyDescent="0.25">
      <c r="A112" s="9">
        <v>73316432</v>
      </c>
      <c r="B112" s="9" t="s">
        <v>363</v>
      </c>
    </row>
    <row r="113" spans="1:2" x14ac:dyDescent="0.25">
      <c r="A113" s="9">
        <v>73429948</v>
      </c>
      <c r="B113" s="9" t="s">
        <v>364</v>
      </c>
    </row>
    <row r="114" spans="1:2" x14ac:dyDescent="0.25">
      <c r="A114" s="9">
        <v>73430309</v>
      </c>
      <c r="B114" s="9" t="s">
        <v>365</v>
      </c>
    </row>
    <row r="115" spans="1:2" x14ac:dyDescent="0.25">
      <c r="A115" s="9">
        <v>73430942</v>
      </c>
      <c r="B115" s="9" t="s">
        <v>366</v>
      </c>
    </row>
    <row r="116" spans="1:2" x14ac:dyDescent="0.25">
      <c r="A116" s="9">
        <v>73431277</v>
      </c>
      <c r="B116" s="9" t="s">
        <v>367</v>
      </c>
    </row>
    <row r="117" spans="1:2" x14ac:dyDescent="0.25">
      <c r="A117" s="9">
        <v>73431585</v>
      </c>
      <c r="B117" s="9" t="s">
        <v>368</v>
      </c>
    </row>
    <row r="118" spans="1:2" x14ac:dyDescent="0.25">
      <c r="A118" s="9">
        <v>73432957</v>
      </c>
      <c r="B118" s="9" t="s">
        <v>369</v>
      </c>
    </row>
    <row r="119" spans="1:2" x14ac:dyDescent="0.25">
      <c r="A119" s="9">
        <v>73432986</v>
      </c>
      <c r="B119" s="9" t="s">
        <v>370</v>
      </c>
    </row>
    <row r="120" spans="1:2" x14ac:dyDescent="0.25">
      <c r="A120" s="9">
        <v>73434464</v>
      </c>
      <c r="B120" s="9" t="s">
        <v>371</v>
      </c>
    </row>
    <row r="121" spans="1:2" x14ac:dyDescent="0.25">
      <c r="A121" s="9">
        <v>73435268</v>
      </c>
      <c r="B121" s="9" t="s">
        <v>372</v>
      </c>
    </row>
    <row r="122" spans="1:2" x14ac:dyDescent="0.25">
      <c r="A122" s="9">
        <v>73454970</v>
      </c>
      <c r="B122" s="9" t="s">
        <v>373</v>
      </c>
    </row>
    <row r="123" spans="1:2" x14ac:dyDescent="0.25">
      <c r="A123" s="9">
        <v>73543804</v>
      </c>
      <c r="B123" s="9" t="s">
        <v>374</v>
      </c>
    </row>
    <row r="124" spans="1:2" x14ac:dyDescent="0.25">
      <c r="A124" s="9">
        <v>73544160</v>
      </c>
      <c r="B124" s="9" t="s">
        <v>375</v>
      </c>
    </row>
    <row r="125" spans="1:2" x14ac:dyDescent="0.25">
      <c r="A125" s="9">
        <v>73544370</v>
      </c>
      <c r="B125" s="9" t="s">
        <v>376</v>
      </c>
    </row>
    <row r="126" spans="1:2" x14ac:dyDescent="0.25">
      <c r="A126" s="9">
        <v>73544532</v>
      </c>
      <c r="B126" s="9" t="s">
        <v>377</v>
      </c>
    </row>
    <row r="127" spans="1:2" x14ac:dyDescent="0.25">
      <c r="A127" s="9">
        <v>73545635</v>
      </c>
      <c r="B127" s="9" t="s">
        <v>378</v>
      </c>
    </row>
    <row r="128" spans="1:2" x14ac:dyDescent="0.25">
      <c r="A128" s="9">
        <v>73545982</v>
      </c>
      <c r="B128" s="9" t="s">
        <v>379</v>
      </c>
    </row>
    <row r="129" spans="1:2" x14ac:dyDescent="0.25">
      <c r="A129" s="9">
        <v>73548179</v>
      </c>
      <c r="B129" s="9" t="s">
        <v>380</v>
      </c>
    </row>
    <row r="130" spans="1:2" x14ac:dyDescent="0.25">
      <c r="A130" s="9">
        <v>73548485</v>
      </c>
      <c r="B130" s="9" t="s">
        <v>381</v>
      </c>
    </row>
    <row r="131" spans="1:2" x14ac:dyDescent="0.25">
      <c r="A131" s="9">
        <v>73549010</v>
      </c>
      <c r="B131" s="9" t="s">
        <v>382</v>
      </c>
    </row>
    <row r="132" spans="1:2" x14ac:dyDescent="0.25">
      <c r="A132" s="9">
        <v>73549138</v>
      </c>
      <c r="B132" s="9" t="s">
        <v>383</v>
      </c>
    </row>
    <row r="133" spans="1:2" x14ac:dyDescent="0.25">
      <c r="A133" s="9">
        <v>73550833</v>
      </c>
      <c r="B133" s="9" t="s">
        <v>384</v>
      </c>
    </row>
    <row r="134" spans="1:2" x14ac:dyDescent="0.25">
      <c r="A134" s="9">
        <v>74751777</v>
      </c>
      <c r="B134" s="9" t="s">
        <v>385</v>
      </c>
    </row>
    <row r="135" spans="1:2" x14ac:dyDescent="0.25">
      <c r="A135" s="9">
        <v>78026988</v>
      </c>
      <c r="B135" s="9" t="s">
        <v>386</v>
      </c>
    </row>
    <row r="136" spans="1:2" x14ac:dyDescent="0.25">
      <c r="A136" s="9">
        <v>806012960</v>
      </c>
      <c r="B136" s="9" t="s">
        <v>387</v>
      </c>
    </row>
    <row r="137" spans="1:2" x14ac:dyDescent="0.25">
      <c r="A137" s="9">
        <v>811009788</v>
      </c>
      <c r="B137" s="9" t="s">
        <v>388</v>
      </c>
    </row>
    <row r="138" spans="1:2" x14ac:dyDescent="0.25">
      <c r="A138" s="9">
        <v>830053105</v>
      </c>
      <c r="B138" s="9" t="s">
        <v>389</v>
      </c>
    </row>
    <row r="139" spans="1:2" x14ac:dyDescent="0.25">
      <c r="A139" s="9">
        <v>890480123</v>
      </c>
      <c r="B139" s="9" t="s">
        <v>390</v>
      </c>
    </row>
    <row r="140" spans="1:2" x14ac:dyDescent="0.25">
      <c r="A140" s="9">
        <v>890927276</v>
      </c>
      <c r="B140" s="9" t="s">
        <v>391</v>
      </c>
    </row>
    <row r="141" spans="1:2" x14ac:dyDescent="0.25">
      <c r="A141" s="9">
        <v>900078998</v>
      </c>
      <c r="B141" s="9" t="s">
        <v>392</v>
      </c>
    </row>
    <row r="142" spans="1:2" x14ac:dyDescent="0.25">
      <c r="A142" s="9">
        <v>900329928</v>
      </c>
      <c r="B142" s="9" t="s">
        <v>393</v>
      </c>
    </row>
    <row r="143" spans="1:2" x14ac:dyDescent="0.25">
      <c r="A143" s="9">
        <v>901411504</v>
      </c>
      <c r="B143" s="9" t="s">
        <v>394</v>
      </c>
    </row>
    <row r="144" spans="1:2" x14ac:dyDescent="0.25">
      <c r="A144" s="9">
        <v>901419381</v>
      </c>
      <c r="B144" s="9" t="s">
        <v>395</v>
      </c>
    </row>
    <row r="145" spans="1:2" x14ac:dyDescent="0.25">
      <c r="A145" s="9">
        <v>1002343952</v>
      </c>
      <c r="B145" s="9" t="s">
        <v>396</v>
      </c>
    </row>
    <row r="146" spans="1:2" x14ac:dyDescent="0.25">
      <c r="A146" s="9">
        <v>1002344936</v>
      </c>
      <c r="B146" s="9" t="s">
        <v>397</v>
      </c>
    </row>
    <row r="147" spans="1:2" x14ac:dyDescent="0.25">
      <c r="A147" s="9">
        <v>1002440810</v>
      </c>
      <c r="B147" s="9" t="s">
        <v>398</v>
      </c>
    </row>
    <row r="148" spans="1:2" x14ac:dyDescent="0.25">
      <c r="A148" s="9">
        <v>1002441917</v>
      </c>
      <c r="B148" s="9" t="s">
        <v>399</v>
      </c>
    </row>
    <row r="149" spans="1:2" x14ac:dyDescent="0.25">
      <c r="A149" s="9">
        <v>1010099857</v>
      </c>
      <c r="B149" s="9" t="s">
        <v>400</v>
      </c>
    </row>
    <row r="150" spans="1:2" x14ac:dyDescent="0.25">
      <c r="A150" s="9">
        <v>1045701488</v>
      </c>
      <c r="B150" s="9" t="s">
        <v>401</v>
      </c>
    </row>
    <row r="151" spans="1:2" x14ac:dyDescent="0.25">
      <c r="A151" s="9">
        <v>1052066892</v>
      </c>
      <c r="B151" s="9" t="s">
        <v>402</v>
      </c>
    </row>
    <row r="152" spans="1:2" x14ac:dyDescent="0.25">
      <c r="A152" s="9">
        <v>1052069064</v>
      </c>
      <c r="B152" s="9" t="s">
        <v>403</v>
      </c>
    </row>
    <row r="153" spans="1:2" x14ac:dyDescent="0.25">
      <c r="A153" s="9">
        <v>1052069663</v>
      </c>
      <c r="B153" s="9" t="s">
        <v>404</v>
      </c>
    </row>
    <row r="154" spans="1:2" x14ac:dyDescent="0.25">
      <c r="A154" s="9">
        <v>1052071569</v>
      </c>
      <c r="B154" s="9" t="s">
        <v>405</v>
      </c>
    </row>
    <row r="155" spans="1:2" x14ac:dyDescent="0.25">
      <c r="A155" s="9">
        <v>1052074748</v>
      </c>
      <c r="B155" s="9" t="s">
        <v>406</v>
      </c>
    </row>
    <row r="156" spans="1:2" x14ac:dyDescent="0.25">
      <c r="A156" s="9">
        <v>1052077320</v>
      </c>
      <c r="B156" s="9" t="s">
        <v>407</v>
      </c>
    </row>
    <row r="157" spans="1:2" x14ac:dyDescent="0.25">
      <c r="A157" s="9">
        <v>1052077971</v>
      </c>
      <c r="B157" s="9" t="s">
        <v>408</v>
      </c>
    </row>
    <row r="158" spans="1:2" x14ac:dyDescent="0.25">
      <c r="A158" s="9">
        <v>1052080484</v>
      </c>
      <c r="B158" s="9" t="s">
        <v>409</v>
      </c>
    </row>
    <row r="159" spans="1:2" x14ac:dyDescent="0.25">
      <c r="A159" s="9">
        <v>1052082667</v>
      </c>
      <c r="B159" s="9" t="s">
        <v>410</v>
      </c>
    </row>
    <row r="160" spans="1:2" x14ac:dyDescent="0.25">
      <c r="A160" s="9">
        <v>1052083356</v>
      </c>
      <c r="B160" s="9" t="s">
        <v>411</v>
      </c>
    </row>
    <row r="161" spans="1:2" x14ac:dyDescent="0.25">
      <c r="A161" s="9">
        <v>1052084016</v>
      </c>
      <c r="B161" s="9" t="s">
        <v>412</v>
      </c>
    </row>
    <row r="162" spans="1:2" x14ac:dyDescent="0.25">
      <c r="A162" s="9">
        <v>1052090906</v>
      </c>
      <c r="B162" s="9" t="s">
        <v>413</v>
      </c>
    </row>
    <row r="163" spans="1:2" x14ac:dyDescent="0.25">
      <c r="A163" s="9">
        <v>1052093239</v>
      </c>
      <c r="B163" s="9" t="s">
        <v>414</v>
      </c>
    </row>
    <row r="164" spans="1:2" x14ac:dyDescent="0.25">
      <c r="A164" s="9">
        <v>1052300256</v>
      </c>
      <c r="B164" s="9" t="s">
        <v>415</v>
      </c>
    </row>
    <row r="165" spans="1:2" x14ac:dyDescent="0.25">
      <c r="A165" s="9">
        <v>1192741908</v>
      </c>
      <c r="B165" s="9" t="s">
        <v>416</v>
      </c>
    </row>
    <row r="166" spans="1:2" x14ac:dyDescent="0.25">
      <c r="A166" s="9">
        <v>1193118833</v>
      </c>
      <c r="B166" s="9" t="s">
        <v>417</v>
      </c>
    </row>
    <row r="167" spans="1:2" x14ac:dyDescent="0.25">
      <c r="A167" s="9">
        <v>2222222222</v>
      </c>
      <c r="B167" s="9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4fd35a-00bc-4219-be19-1dc386b71a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6C2B79BC06F246B15CF9D2FF0C9031" ma:contentTypeVersion="6" ma:contentTypeDescription="Create a new document." ma:contentTypeScope="" ma:versionID="7ecf391e804c635aa1860499060bc33a">
  <xsd:schema xmlns:xsd="http://www.w3.org/2001/XMLSchema" xmlns:xs="http://www.w3.org/2001/XMLSchema" xmlns:p="http://schemas.microsoft.com/office/2006/metadata/properties" xmlns:ns3="974fd35a-00bc-4219-be19-1dc386b71a00" targetNamespace="http://schemas.microsoft.com/office/2006/metadata/properties" ma:root="true" ma:fieldsID="0774964ef227cae42b83adeda432cf9f" ns3:_="">
    <xsd:import namespace="974fd35a-00bc-4219-be19-1dc386b71a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fd35a-00bc-4219-be19-1dc386b71a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E92551-A63F-45D7-BDD8-E1908866BED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974fd35a-00bc-4219-be19-1dc386b71a00"/>
  </ds:schemaRefs>
</ds:datastoreItem>
</file>

<file path=customXml/itemProps2.xml><?xml version="1.0" encoding="utf-8"?>
<ds:datastoreItem xmlns:ds="http://schemas.openxmlformats.org/officeDocument/2006/customXml" ds:itemID="{A45A6036-5513-4866-8C0E-FEA8FA419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fd35a-00bc-4219-be19-1dc386b71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0AF3C-E72D-485A-B8AF-CC85DE8521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F1001-compras</vt:lpstr>
      <vt:lpstr>F1007-Ventas</vt:lpstr>
      <vt:lpstr>CLIENTE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Ryzen</cp:lastModifiedBy>
  <dcterms:created xsi:type="dcterms:W3CDTF">2026-05-16T02:06:02Z</dcterms:created>
  <dcterms:modified xsi:type="dcterms:W3CDTF">2026-05-19T14:08:20Z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0x010100B06C2B79BC06F246B15CF9D2FF0C9031</vt:lpwstr>
  </property>
</Properties>
</file>