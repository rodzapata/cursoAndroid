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 GUTIERREZ\Desktop\"/>
    </mc:Choice>
  </mc:AlternateContent>
  <xr:revisionPtr revIDLastSave="0" documentId="8_{4E1B1A05-AD4C-4E0D-83DC-8AA372DCFABE}" xr6:coauthVersionLast="47" xr6:coauthVersionMax="47" xr10:uidLastSave="{00000000-0000-0000-0000-000000000000}"/>
  <bookViews>
    <workbookView xWindow="-108" yWindow="-108" windowWidth="23256" windowHeight="12456" xr2:uid="{C959EA86-6B8C-4D05-8370-492788B30946}"/>
  </bookViews>
  <sheets>
    <sheet name="COMPRAS (2)" sheetId="1" r:id="rId1"/>
  </sheets>
  <definedNames>
    <definedName name="_xlnm.Print_Area" localSheetId="0">'COMPRAS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0" i="1" l="1"/>
  <c r="V135" i="1"/>
  <c r="N1756" i="1"/>
  <c r="I1756" i="1"/>
  <c r="N1755" i="1"/>
  <c r="I1755" i="1"/>
  <c r="H1755" i="1" s="1"/>
  <c r="M1755" i="1" s="1"/>
  <c r="R1754" i="1"/>
  <c r="N1754" i="1"/>
  <c r="I1754" i="1"/>
  <c r="H1754" i="1" s="1"/>
  <c r="M1754" i="1" s="1"/>
  <c r="R1753" i="1"/>
  <c r="N1753" i="1"/>
  <c r="I1753" i="1"/>
  <c r="H1753" i="1" s="1"/>
  <c r="N1752" i="1"/>
  <c r="I1752" i="1"/>
  <c r="H1752" i="1" s="1"/>
  <c r="M1752" i="1" s="1"/>
  <c r="N1751" i="1"/>
  <c r="I1751" i="1"/>
  <c r="H1751" i="1" s="1"/>
  <c r="M1751" i="1" s="1"/>
  <c r="N1750" i="1"/>
  <c r="I1750" i="1"/>
  <c r="H1750" i="1" s="1"/>
  <c r="M1750" i="1" s="1"/>
  <c r="N1749" i="1"/>
  <c r="I1749" i="1"/>
  <c r="H1749" i="1" s="1"/>
  <c r="M1749" i="1" s="1"/>
  <c r="N1748" i="1"/>
  <c r="I1748" i="1"/>
  <c r="N1747" i="1"/>
  <c r="I1747" i="1"/>
  <c r="M1747" i="1" s="1"/>
  <c r="Q1747" i="1" s="1"/>
  <c r="R1747" i="1" s="1"/>
  <c r="N1746" i="1"/>
  <c r="I1746" i="1"/>
  <c r="M1746" i="1" s="1"/>
  <c r="Q1746" i="1" s="1"/>
  <c r="R1746" i="1" s="1"/>
  <c r="N1745" i="1"/>
  <c r="I1745" i="1"/>
  <c r="H1745" i="1" s="1"/>
  <c r="M1745" i="1" s="1"/>
  <c r="N1744" i="1"/>
  <c r="I1744" i="1"/>
  <c r="H1744" i="1" s="1"/>
  <c r="M1744" i="1" s="1"/>
  <c r="N1743" i="1"/>
  <c r="I1743" i="1"/>
  <c r="H1743" i="1"/>
  <c r="M1743" i="1" s="1"/>
  <c r="N1742" i="1"/>
  <c r="I1742" i="1"/>
  <c r="H1742" i="1" s="1"/>
  <c r="M1742" i="1" s="1"/>
  <c r="N1741" i="1"/>
  <c r="I1741" i="1"/>
  <c r="H1741" i="1" s="1"/>
  <c r="M1741" i="1" s="1"/>
  <c r="N1740" i="1"/>
  <c r="I1740" i="1"/>
  <c r="H1740" i="1" s="1"/>
  <c r="M1740" i="1" s="1"/>
  <c r="Q1740" i="1" s="1"/>
  <c r="R1740" i="1" s="1"/>
  <c r="R1739" i="1"/>
  <c r="N1739" i="1"/>
  <c r="I1739" i="1"/>
  <c r="H1739" i="1" s="1"/>
  <c r="M1739" i="1" s="1"/>
  <c r="N1738" i="1"/>
  <c r="I1738" i="1"/>
  <c r="H1738" i="1" s="1"/>
  <c r="M1738" i="1" s="1"/>
  <c r="R1737" i="1"/>
  <c r="N1737" i="1"/>
  <c r="I1737" i="1"/>
  <c r="H1737" i="1" s="1"/>
  <c r="M1737" i="1" s="1"/>
  <c r="O1737" i="1" s="1"/>
  <c r="R1736" i="1"/>
  <c r="N1736" i="1"/>
  <c r="I1736" i="1"/>
  <c r="M1736" i="1" s="1"/>
  <c r="R1735" i="1"/>
  <c r="N1735" i="1"/>
  <c r="I1735" i="1"/>
  <c r="H1735" i="1" s="1"/>
  <c r="M1735" i="1" s="1"/>
  <c r="R1734" i="1"/>
  <c r="N1734" i="1"/>
  <c r="I1734" i="1"/>
  <c r="H1734" i="1" s="1"/>
  <c r="M1734" i="1" s="1"/>
  <c r="R1733" i="1"/>
  <c r="N1733" i="1"/>
  <c r="I1733" i="1"/>
  <c r="H1733" i="1" s="1"/>
  <c r="M1733" i="1" s="1"/>
  <c r="R1732" i="1"/>
  <c r="N1732" i="1"/>
  <c r="I1732" i="1"/>
  <c r="H1732" i="1" s="1"/>
  <c r="M1732" i="1" s="1"/>
  <c r="R1731" i="1"/>
  <c r="N1731" i="1"/>
  <c r="I1731" i="1"/>
  <c r="H1731" i="1" s="1"/>
  <c r="M1731" i="1" s="1"/>
  <c r="O1731" i="1" s="1"/>
  <c r="R1730" i="1"/>
  <c r="N1730" i="1"/>
  <c r="I1730" i="1"/>
  <c r="H1730" i="1" s="1"/>
  <c r="M1730" i="1" s="1"/>
  <c r="O1730" i="1" s="1"/>
  <c r="R1729" i="1"/>
  <c r="N1729" i="1"/>
  <c r="I1729" i="1"/>
  <c r="H1729" i="1" s="1"/>
  <c r="M1729" i="1" s="1"/>
  <c r="O1729" i="1" s="1"/>
  <c r="R1728" i="1"/>
  <c r="N1728" i="1"/>
  <c r="I1728" i="1"/>
  <c r="H1728" i="1" s="1"/>
  <c r="M1728" i="1" s="1"/>
  <c r="R1727" i="1"/>
  <c r="N1727" i="1"/>
  <c r="I1727" i="1"/>
  <c r="H1727" i="1" s="1"/>
  <c r="M1727" i="1" s="1"/>
  <c r="O1727" i="1" s="1"/>
  <c r="R1726" i="1"/>
  <c r="N1726" i="1"/>
  <c r="I1726" i="1"/>
  <c r="H1726" i="1" s="1"/>
  <c r="M1726" i="1" s="1"/>
  <c r="R1725" i="1"/>
  <c r="N1725" i="1"/>
  <c r="I1725" i="1"/>
  <c r="H1725" i="1" s="1"/>
  <c r="M1725" i="1" s="1"/>
  <c r="R1724" i="1"/>
  <c r="N1724" i="1"/>
  <c r="I1724" i="1"/>
  <c r="H1724" i="1" s="1"/>
  <c r="R1723" i="1"/>
  <c r="N1723" i="1"/>
  <c r="I1723" i="1"/>
  <c r="H1723" i="1" s="1"/>
  <c r="R1722" i="1"/>
  <c r="N1722" i="1"/>
  <c r="I1722" i="1"/>
  <c r="M1722" i="1" s="1"/>
  <c r="R1721" i="1"/>
  <c r="N1721" i="1"/>
  <c r="I1721" i="1"/>
  <c r="M1721" i="1" s="1"/>
  <c r="N1720" i="1"/>
  <c r="I1720" i="1"/>
  <c r="H1720" i="1" s="1"/>
  <c r="M1720" i="1" s="1"/>
  <c r="Q1720" i="1" s="1"/>
  <c r="R1720" i="1" s="1"/>
  <c r="N1719" i="1"/>
  <c r="I1719" i="1"/>
  <c r="H1719" i="1" s="1"/>
  <c r="M1719" i="1" s="1"/>
  <c r="N1718" i="1"/>
  <c r="I1718" i="1"/>
  <c r="M1718" i="1" s="1"/>
  <c r="R1717" i="1"/>
  <c r="N1717" i="1"/>
  <c r="I1717" i="1"/>
  <c r="M1717" i="1" s="1"/>
  <c r="R1716" i="1"/>
  <c r="N1716" i="1"/>
  <c r="I1716" i="1"/>
  <c r="M1716" i="1" s="1"/>
  <c r="O1716" i="1" s="1"/>
  <c r="R1715" i="1"/>
  <c r="N1715" i="1"/>
  <c r="I1715" i="1"/>
  <c r="M1715" i="1" s="1"/>
  <c r="O1715" i="1" s="1"/>
  <c r="R1714" i="1"/>
  <c r="N1714" i="1"/>
  <c r="I1714" i="1"/>
  <c r="N1713" i="1"/>
  <c r="I1713" i="1"/>
  <c r="H1713" i="1" s="1"/>
  <c r="M1713" i="1" s="1"/>
  <c r="R1712" i="1"/>
  <c r="N1712" i="1"/>
  <c r="I1712" i="1"/>
  <c r="H1712" i="1" s="1"/>
  <c r="M1712" i="1" s="1"/>
  <c r="R1711" i="1"/>
  <c r="N1711" i="1"/>
  <c r="I1711" i="1"/>
  <c r="M1711" i="1" s="1"/>
  <c r="R1710" i="1"/>
  <c r="N1710" i="1"/>
  <c r="I1710" i="1"/>
  <c r="H1710" i="1" s="1"/>
  <c r="M1710" i="1" s="1"/>
  <c r="R1709" i="1"/>
  <c r="N1709" i="1"/>
  <c r="I1709" i="1"/>
  <c r="H1709" i="1" s="1"/>
  <c r="M1709" i="1" s="1"/>
  <c r="R1708" i="1"/>
  <c r="N1708" i="1"/>
  <c r="I1708" i="1"/>
  <c r="H1708" i="1" s="1"/>
  <c r="M1708" i="1" s="1"/>
  <c r="O1708" i="1" s="1"/>
  <c r="R1707" i="1"/>
  <c r="N1707" i="1"/>
  <c r="I1707" i="1"/>
  <c r="H1707" i="1" s="1"/>
  <c r="M1707" i="1" s="1"/>
  <c r="O1707" i="1" s="1"/>
  <c r="R1706" i="1"/>
  <c r="N1706" i="1"/>
  <c r="I1706" i="1"/>
  <c r="H1706" i="1" s="1"/>
  <c r="M1706" i="1" s="1"/>
  <c r="R1705" i="1"/>
  <c r="N1705" i="1"/>
  <c r="I1705" i="1"/>
  <c r="R1704" i="1"/>
  <c r="N1704" i="1"/>
  <c r="I1704" i="1"/>
  <c r="H1704" i="1" s="1"/>
  <c r="R1703" i="1"/>
  <c r="N1703" i="1"/>
  <c r="I1703" i="1"/>
  <c r="M1703" i="1" s="1"/>
  <c r="R1702" i="1"/>
  <c r="N1702" i="1"/>
  <c r="I1702" i="1"/>
  <c r="M1702" i="1" s="1"/>
  <c r="N1701" i="1"/>
  <c r="I1701" i="1"/>
  <c r="M1701" i="1" s="1"/>
  <c r="N1700" i="1"/>
  <c r="I1700" i="1"/>
  <c r="M1700" i="1" s="1"/>
  <c r="N1699" i="1"/>
  <c r="I1699" i="1"/>
  <c r="M1699" i="1" s="1"/>
  <c r="N1698" i="1"/>
  <c r="I1698" i="1"/>
  <c r="H1698" i="1" s="1"/>
  <c r="M1698" i="1" s="1"/>
  <c r="R1697" i="1"/>
  <c r="N1697" i="1"/>
  <c r="I1697" i="1"/>
  <c r="H1697" i="1" s="1"/>
  <c r="M1697" i="1" s="1"/>
  <c r="R1696" i="1"/>
  <c r="N1696" i="1"/>
  <c r="I1696" i="1"/>
  <c r="M1696" i="1" s="1"/>
  <c r="O1696" i="1" s="1"/>
  <c r="N1695" i="1"/>
  <c r="I1695" i="1"/>
  <c r="H1695" i="1" s="1"/>
  <c r="M1695" i="1" s="1"/>
  <c r="N1694" i="1"/>
  <c r="I1694" i="1"/>
  <c r="H1694" i="1" s="1"/>
  <c r="M1694" i="1" s="1"/>
  <c r="Q1694" i="1" s="1"/>
  <c r="R1694" i="1" s="1"/>
  <c r="N1693" i="1"/>
  <c r="I1693" i="1"/>
  <c r="H1693" i="1" s="1"/>
  <c r="R1692" i="1"/>
  <c r="N1692" i="1"/>
  <c r="I1692" i="1"/>
  <c r="H1692" i="1" s="1"/>
  <c r="M1692" i="1" s="1"/>
  <c r="R1691" i="1"/>
  <c r="N1691" i="1"/>
  <c r="I1691" i="1"/>
  <c r="H1691" i="1" s="1"/>
  <c r="M1691" i="1" s="1"/>
  <c r="R1690" i="1"/>
  <c r="N1690" i="1"/>
  <c r="I1690" i="1"/>
  <c r="H1690" i="1" s="1"/>
  <c r="M1690" i="1" s="1"/>
  <c r="R1689" i="1"/>
  <c r="N1689" i="1"/>
  <c r="I1689" i="1"/>
  <c r="H1689" i="1" s="1"/>
  <c r="M1689" i="1" s="1"/>
  <c r="R1688" i="1"/>
  <c r="N1688" i="1"/>
  <c r="I1688" i="1"/>
  <c r="H1688" i="1" s="1"/>
  <c r="M1688" i="1" s="1"/>
  <c r="O1688" i="1" s="1"/>
  <c r="R1687" i="1"/>
  <c r="N1687" i="1"/>
  <c r="I1687" i="1"/>
  <c r="H1687" i="1" s="1"/>
  <c r="M1687" i="1" s="1"/>
  <c r="O1687" i="1" s="1"/>
  <c r="R1686" i="1"/>
  <c r="N1686" i="1"/>
  <c r="I1686" i="1"/>
  <c r="H1686" i="1" s="1"/>
  <c r="M1686" i="1" s="1"/>
  <c r="R1685" i="1"/>
  <c r="N1685" i="1"/>
  <c r="I1685" i="1"/>
  <c r="M1685" i="1" s="1"/>
  <c r="R1684" i="1"/>
  <c r="N1684" i="1"/>
  <c r="I1684" i="1"/>
  <c r="M1684" i="1" s="1"/>
  <c r="R1683" i="1"/>
  <c r="N1683" i="1"/>
  <c r="I1683" i="1"/>
  <c r="H1683" i="1" s="1"/>
  <c r="M1683" i="1" s="1"/>
  <c r="R1682" i="1"/>
  <c r="N1682" i="1"/>
  <c r="I1682" i="1"/>
  <c r="H1682" i="1" s="1"/>
  <c r="M1682" i="1" s="1"/>
  <c r="R1681" i="1"/>
  <c r="N1681" i="1"/>
  <c r="I1681" i="1"/>
  <c r="H1681" i="1" s="1"/>
  <c r="M1681" i="1" s="1"/>
  <c r="R1680" i="1"/>
  <c r="N1680" i="1"/>
  <c r="I1680" i="1"/>
  <c r="H1680" i="1" s="1"/>
  <c r="M1680" i="1" s="1"/>
  <c r="R1679" i="1"/>
  <c r="N1679" i="1"/>
  <c r="I1679" i="1"/>
  <c r="H1679" i="1" s="1"/>
  <c r="M1679" i="1" s="1"/>
  <c r="O1679" i="1" s="1"/>
  <c r="R1678" i="1"/>
  <c r="N1678" i="1"/>
  <c r="I1678" i="1"/>
  <c r="H1678" i="1" s="1"/>
  <c r="M1678" i="1" s="1"/>
  <c r="R1677" i="1"/>
  <c r="N1677" i="1"/>
  <c r="I1677" i="1"/>
  <c r="H1677" i="1" s="1"/>
  <c r="M1677" i="1" s="1"/>
  <c r="R1676" i="1"/>
  <c r="N1676" i="1"/>
  <c r="I1676" i="1"/>
  <c r="H1676" i="1" s="1"/>
  <c r="M1676" i="1" s="1"/>
  <c r="R1675" i="1"/>
  <c r="N1675" i="1"/>
  <c r="I1675" i="1"/>
  <c r="H1675" i="1" s="1"/>
  <c r="M1675" i="1" s="1"/>
  <c r="R1674" i="1"/>
  <c r="N1674" i="1"/>
  <c r="I1674" i="1"/>
  <c r="H1674" i="1" s="1"/>
  <c r="M1674" i="1" s="1"/>
  <c r="O1674" i="1" s="1"/>
  <c r="R1673" i="1"/>
  <c r="N1673" i="1"/>
  <c r="I1673" i="1"/>
  <c r="H1673" i="1" s="1"/>
  <c r="M1673" i="1" s="1"/>
  <c r="R1672" i="1"/>
  <c r="N1672" i="1"/>
  <c r="I1672" i="1"/>
  <c r="H1672" i="1" s="1"/>
  <c r="M1672" i="1" s="1"/>
  <c r="R1671" i="1"/>
  <c r="N1671" i="1"/>
  <c r="I1671" i="1"/>
  <c r="H1671" i="1" s="1"/>
  <c r="R1670" i="1"/>
  <c r="N1670" i="1"/>
  <c r="I1670" i="1"/>
  <c r="H1670" i="1" s="1"/>
  <c r="M1670" i="1" s="1"/>
  <c r="O1670" i="1" s="1"/>
  <c r="R1669" i="1"/>
  <c r="N1669" i="1"/>
  <c r="I1669" i="1"/>
  <c r="H1669" i="1" s="1"/>
  <c r="M1669" i="1" s="1"/>
  <c r="O1669" i="1" s="1"/>
  <c r="R1668" i="1"/>
  <c r="N1668" i="1"/>
  <c r="I1668" i="1"/>
  <c r="H1668" i="1" s="1"/>
  <c r="M1668" i="1" s="1"/>
  <c r="R1667" i="1"/>
  <c r="N1667" i="1"/>
  <c r="I1667" i="1"/>
  <c r="H1667" i="1" s="1"/>
  <c r="M1667" i="1" s="1"/>
  <c r="R1666" i="1"/>
  <c r="N1666" i="1"/>
  <c r="I1666" i="1"/>
  <c r="H1666" i="1" s="1"/>
  <c r="M1666" i="1" s="1"/>
  <c r="O1666" i="1" s="1"/>
  <c r="R1665" i="1"/>
  <c r="N1665" i="1"/>
  <c r="I1665" i="1"/>
  <c r="H1665" i="1" s="1"/>
  <c r="M1665" i="1" s="1"/>
  <c r="R1664" i="1"/>
  <c r="N1664" i="1"/>
  <c r="I1664" i="1"/>
  <c r="H1664" i="1" s="1"/>
  <c r="M1664" i="1" s="1"/>
  <c r="R1663" i="1"/>
  <c r="N1663" i="1"/>
  <c r="I1663" i="1"/>
  <c r="H1663" i="1" s="1"/>
  <c r="M1663" i="1" s="1"/>
  <c r="O1663" i="1" s="1"/>
  <c r="R1662" i="1"/>
  <c r="N1662" i="1"/>
  <c r="I1662" i="1"/>
  <c r="H1662" i="1" s="1"/>
  <c r="M1662" i="1" s="1"/>
  <c r="R1661" i="1"/>
  <c r="N1661" i="1"/>
  <c r="I1661" i="1"/>
  <c r="H1661" i="1" s="1"/>
  <c r="M1661" i="1" s="1"/>
  <c r="O1661" i="1" s="1"/>
  <c r="R1660" i="1"/>
  <c r="N1660" i="1"/>
  <c r="I1660" i="1"/>
  <c r="H1660" i="1" s="1"/>
  <c r="M1660" i="1" s="1"/>
  <c r="R1659" i="1"/>
  <c r="N1659" i="1"/>
  <c r="I1659" i="1"/>
  <c r="H1659" i="1" s="1"/>
  <c r="M1659" i="1" s="1"/>
  <c r="R1658" i="1"/>
  <c r="N1658" i="1"/>
  <c r="I1658" i="1"/>
  <c r="H1658" i="1" s="1"/>
  <c r="M1658" i="1" s="1"/>
  <c r="O1658" i="1" s="1"/>
  <c r="R1657" i="1"/>
  <c r="N1657" i="1"/>
  <c r="I1657" i="1"/>
  <c r="H1657" i="1" s="1"/>
  <c r="M1657" i="1" s="1"/>
  <c r="R1656" i="1"/>
  <c r="N1656" i="1"/>
  <c r="I1656" i="1"/>
  <c r="H1656" i="1" s="1"/>
  <c r="M1656" i="1" s="1"/>
  <c r="R1655" i="1"/>
  <c r="N1655" i="1"/>
  <c r="I1655" i="1"/>
  <c r="H1655" i="1" s="1"/>
  <c r="M1655" i="1" s="1"/>
  <c r="R1654" i="1"/>
  <c r="N1654" i="1"/>
  <c r="I1654" i="1"/>
  <c r="H1654" i="1" s="1"/>
  <c r="M1654" i="1" s="1"/>
  <c r="R1653" i="1"/>
  <c r="N1653" i="1"/>
  <c r="I1653" i="1"/>
  <c r="H1653" i="1" s="1"/>
  <c r="M1653" i="1" s="1"/>
  <c r="R1652" i="1"/>
  <c r="N1652" i="1"/>
  <c r="I1652" i="1"/>
  <c r="H1652" i="1" s="1"/>
  <c r="M1652" i="1" s="1"/>
  <c r="O1652" i="1" s="1"/>
  <c r="R1651" i="1"/>
  <c r="N1651" i="1"/>
  <c r="I1651" i="1"/>
  <c r="H1651" i="1" s="1"/>
  <c r="R1650" i="1"/>
  <c r="N1650" i="1"/>
  <c r="I1650" i="1"/>
  <c r="H1650" i="1" s="1"/>
  <c r="R1649" i="1"/>
  <c r="N1649" i="1"/>
  <c r="I1649" i="1"/>
  <c r="H1649" i="1" s="1"/>
  <c r="R1648" i="1"/>
  <c r="N1648" i="1"/>
  <c r="I1648" i="1"/>
  <c r="H1648" i="1" s="1"/>
  <c r="R1647" i="1"/>
  <c r="N1647" i="1"/>
  <c r="I1647" i="1"/>
  <c r="R1646" i="1"/>
  <c r="N1646" i="1"/>
  <c r="I1646" i="1"/>
  <c r="H1646" i="1" s="1"/>
  <c r="R1645" i="1"/>
  <c r="N1645" i="1"/>
  <c r="I1645" i="1"/>
  <c r="M1645" i="1" s="1"/>
  <c r="R1644" i="1"/>
  <c r="N1644" i="1"/>
  <c r="I1644" i="1"/>
  <c r="M1644" i="1" s="1"/>
  <c r="R1643" i="1"/>
  <c r="N1643" i="1"/>
  <c r="I1643" i="1"/>
  <c r="M1643" i="1" s="1"/>
  <c r="R1642" i="1"/>
  <c r="N1642" i="1"/>
  <c r="I1642" i="1"/>
  <c r="M1642" i="1" s="1"/>
  <c r="R1641" i="1"/>
  <c r="N1641" i="1"/>
  <c r="I1641" i="1"/>
  <c r="M1641" i="1" s="1"/>
  <c r="R1640" i="1"/>
  <c r="N1640" i="1"/>
  <c r="I1640" i="1"/>
  <c r="M1640" i="1" s="1"/>
  <c r="R1639" i="1"/>
  <c r="N1639" i="1"/>
  <c r="I1639" i="1"/>
  <c r="M1639" i="1" s="1"/>
  <c r="R1638" i="1"/>
  <c r="N1638" i="1"/>
  <c r="I1638" i="1"/>
  <c r="N1637" i="1"/>
  <c r="I1637" i="1"/>
  <c r="M1637" i="1" s="1"/>
  <c r="O1637" i="1" s="1"/>
  <c r="Q1637" i="1" s="1"/>
  <c r="R1637" i="1" s="1"/>
  <c r="N1636" i="1"/>
  <c r="I1636" i="1"/>
  <c r="H1636" i="1" s="1"/>
  <c r="M1636" i="1" s="1"/>
  <c r="N1635" i="1"/>
  <c r="I1635" i="1"/>
  <c r="H1635" i="1" s="1"/>
  <c r="N1634" i="1"/>
  <c r="I1634" i="1"/>
  <c r="M1634" i="1" s="1"/>
  <c r="N1633" i="1"/>
  <c r="I1633" i="1"/>
  <c r="M1633" i="1" s="1"/>
  <c r="N1632" i="1"/>
  <c r="I1632" i="1"/>
  <c r="M1632" i="1" s="1"/>
  <c r="N1631" i="1"/>
  <c r="I1631" i="1"/>
  <c r="M1631" i="1" s="1"/>
  <c r="Q1631" i="1" s="1"/>
  <c r="R1631" i="1" s="1"/>
  <c r="N1630" i="1"/>
  <c r="I1630" i="1"/>
  <c r="M1630" i="1" s="1"/>
  <c r="Q1630" i="1" s="1"/>
  <c r="R1630" i="1" s="1"/>
  <c r="N1629" i="1"/>
  <c r="I1629" i="1"/>
  <c r="H1629" i="1" s="1"/>
  <c r="N1628" i="1"/>
  <c r="I1628" i="1"/>
  <c r="H1628" i="1" s="1"/>
  <c r="M1628" i="1" s="1"/>
  <c r="N1627" i="1"/>
  <c r="I1627" i="1"/>
  <c r="M1627" i="1" s="1"/>
  <c r="Q1627" i="1" s="1"/>
  <c r="R1627" i="1" s="1"/>
  <c r="N1626" i="1"/>
  <c r="I1626" i="1"/>
  <c r="H1626" i="1" s="1"/>
  <c r="M1626" i="1" s="1"/>
  <c r="Q1626" i="1" s="1"/>
  <c r="R1626" i="1" s="1"/>
  <c r="N1625" i="1"/>
  <c r="I1625" i="1"/>
  <c r="H1625" i="1" s="1"/>
  <c r="M1625" i="1" s="1"/>
  <c r="N1624" i="1"/>
  <c r="I1624" i="1"/>
  <c r="H1624" i="1" s="1"/>
  <c r="M1624" i="1" s="1"/>
  <c r="R1623" i="1"/>
  <c r="N1623" i="1"/>
  <c r="I1623" i="1"/>
  <c r="H1623" i="1" s="1"/>
  <c r="M1623" i="1" s="1"/>
  <c r="N1622" i="1"/>
  <c r="I1622" i="1"/>
  <c r="H1622" i="1" s="1"/>
  <c r="M1622" i="1" s="1"/>
  <c r="N1621" i="1"/>
  <c r="I1621" i="1"/>
  <c r="H1621" i="1" s="1"/>
  <c r="M1621" i="1" s="1"/>
  <c r="Q1621" i="1" s="1"/>
  <c r="R1621" i="1" s="1"/>
  <c r="N1620" i="1"/>
  <c r="I1620" i="1"/>
  <c r="H1620" i="1" s="1"/>
  <c r="M1620" i="1" s="1"/>
  <c r="N1619" i="1"/>
  <c r="I1619" i="1"/>
  <c r="H1619" i="1" s="1"/>
  <c r="M1619" i="1" s="1"/>
  <c r="N1618" i="1"/>
  <c r="I1618" i="1"/>
  <c r="H1618" i="1" s="1"/>
  <c r="M1618" i="1" s="1"/>
  <c r="N1617" i="1"/>
  <c r="I1617" i="1"/>
  <c r="H1617" i="1" s="1"/>
  <c r="M1617" i="1" s="1"/>
  <c r="N1616" i="1"/>
  <c r="I1616" i="1"/>
  <c r="H1616" i="1" s="1"/>
  <c r="M1616" i="1" s="1"/>
  <c r="N1615" i="1"/>
  <c r="I1615" i="1"/>
  <c r="H1615" i="1" s="1"/>
  <c r="M1615" i="1" s="1"/>
  <c r="N1614" i="1"/>
  <c r="I1614" i="1"/>
  <c r="H1614" i="1" s="1"/>
  <c r="N1613" i="1"/>
  <c r="I1613" i="1"/>
  <c r="N1612" i="1"/>
  <c r="I1612" i="1"/>
  <c r="M1612" i="1" s="1"/>
  <c r="N1611" i="1"/>
  <c r="I1611" i="1"/>
  <c r="H1611" i="1" s="1"/>
  <c r="M1611" i="1" s="1"/>
  <c r="Q1611" i="1" s="1"/>
  <c r="R1611" i="1" s="1"/>
  <c r="R1610" i="1"/>
  <c r="N1610" i="1"/>
  <c r="I1610" i="1"/>
  <c r="H1610" i="1" s="1"/>
  <c r="N1609" i="1"/>
  <c r="I1609" i="1"/>
  <c r="M1609" i="1" s="1"/>
  <c r="N1608" i="1"/>
  <c r="I1608" i="1"/>
  <c r="M1608" i="1" s="1"/>
  <c r="Q1608" i="1" s="1"/>
  <c r="R1608" i="1" s="1"/>
  <c r="R1607" i="1"/>
  <c r="N1607" i="1"/>
  <c r="I1607" i="1"/>
  <c r="H1607" i="1" s="1"/>
  <c r="M1607" i="1" s="1"/>
  <c r="N1606" i="1"/>
  <c r="I1606" i="1"/>
  <c r="H1606" i="1" s="1"/>
  <c r="M1606" i="1" s="1"/>
  <c r="N1605" i="1"/>
  <c r="I1605" i="1"/>
  <c r="H1605" i="1" s="1"/>
  <c r="M1605" i="1" s="1"/>
  <c r="R1604" i="1"/>
  <c r="N1604" i="1"/>
  <c r="I1604" i="1"/>
  <c r="H1604" i="1" s="1"/>
  <c r="M1604" i="1" s="1"/>
  <c r="N1603" i="1"/>
  <c r="I1603" i="1"/>
  <c r="H1603" i="1" s="1"/>
  <c r="M1603" i="1" s="1"/>
  <c r="N1602" i="1"/>
  <c r="I1602" i="1"/>
  <c r="H1602" i="1" s="1"/>
  <c r="M1602" i="1" s="1"/>
  <c r="N1601" i="1"/>
  <c r="I1601" i="1"/>
  <c r="H1601" i="1" s="1"/>
  <c r="M1601" i="1" s="1"/>
  <c r="Q1601" i="1" s="1"/>
  <c r="R1601" i="1" s="1"/>
  <c r="N1600" i="1"/>
  <c r="I1600" i="1"/>
  <c r="H1600" i="1" s="1"/>
  <c r="M1600" i="1" s="1"/>
  <c r="N1599" i="1"/>
  <c r="I1599" i="1"/>
  <c r="H1599" i="1" s="1"/>
  <c r="M1599" i="1" s="1"/>
  <c r="N1598" i="1"/>
  <c r="I1598" i="1"/>
  <c r="H1598" i="1" s="1"/>
  <c r="M1598" i="1" s="1"/>
  <c r="N1597" i="1"/>
  <c r="I1597" i="1"/>
  <c r="H1597" i="1" s="1"/>
  <c r="M1597" i="1" s="1"/>
  <c r="Q1597" i="1" s="1"/>
  <c r="R1597" i="1" s="1"/>
  <c r="R1596" i="1"/>
  <c r="N1596" i="1"/>
  <c r="I1596" i="1"/>
  <c r="H1596" i="1" s="1"/>
  <c r="M1596" i="1" s="1"/>
  <c r="R1595" i="1"/>
  <c r="N1595" i="1"/>
  <c r="I1595" i="1"/>
  <c r="H1595" i="1" s="1"/>
  <c r="M1595" i="1" s="1"/>
  <c r="N1594" i="1"/>
  <c r="I1594" i="1"/>
  <c r="H1594" i="1" s="1"/>
  <c r="M1594" i="1" s="1"/>
  <c r="N1593" i="1"/>
  <c r="I1593" i="1"/>
  <c r="H1593" i="1" s="1"/>
  <c r="M1593" i="1" s="1"/>
  <c r="Q1593" i="1" s="1"/>
  <c r="R1593" i="1" s="1"/>
  <c r="N1592" i="1"/>
  <c r="I1592" i="1"/>
  <c r="H1592" i="1" s="1"/>
  <c r="M1592" i="1" s="1"/>
  <c r="N1591" i="1"/>
  <c r="I1591" i="1"/>
  <c r="H1591" i="1" s="1"/>
  <c r="M1591" i="1" s="1"/>
  <c r="R1590" i="1"/>
  <c r="N1590" i="1"/>
  <c r="I1590" i="1"/>
  <c r="H1590" i="1" s="1"/>
  <c r="M1590" i="1" s="1"/>
  <c r="R1589" i="1"/>
  <c r="N1589" i="1"/>
  <c r="I1589" i="1"/>
  <c r="H1589" i="1" s="1"/>
  <c r="R1588" i="1"/>
  <c r="N1588" i="1"/>
  <c r="I1588" i="1"/>
  <c r="H1588" i="1" s="1"/>
  <c r="M1588" i="1" s="1"/>
  <c r="N1587" i="1"/>
  <c r="I1587" i="1"/>
  <c r="H1587" i="1" s="1"/>
  <c r="N1586" i="1"/>
  <c r="I1586" i="1"/>
  <c r="R1585" i="1"/>
  <c r="N1585" i="1"/>
  <c r="I1585" i="1"/>
  <c r="H1585" i="1" s="1"/>
  <c r="N1584" i="1"/>
  <c r="I1584" i="1"/>
  <c r="M1584" i="1" s="1"/>
  <c r="N1583" i="1"/>
  <c r="I1583" i="1"/>
  <c r="M1583" i="1" s="1"/>
  <c r="Q1583" i="1" s="1"/>
  <c r="R1583" i="1" s="1"/>
  <c r="N1582" i="1"/>
  <c r="I1582" i="1"/>
  <c r="M1582" i="1" s="1"/>
  <c r="N1581" i="1"/>
  <c r="I1581" i="1"/>
  <c r="M1581" i="1" s="1"/>
  <c r="N1580" i="1"/>
  <c r="I1580" i="1"/>
  <c r="M1580" i="1" s="1"/>
  <c r="N1579" i="1"/>
  <c r="I1579" i="1"/>
  <c r="M1579" i="1" s="1"/>
  <c r="Q1579" i="1" s="1"/>
  <c r="R1579" i="1" s="1"/>
  <c r="N1578" i="1"/>
  <c r="I1578" i="1"/>
  <c r="N1577" i="1"/>
  <c r="I1577" i="1"/>
  <c r="M1577" i="1" s="1"/>
  <c r="N1576" i="1"/>
  <c r="I1576" i="1"/>
  <c r="M1576" i="1" s="1"/>
  <c r="R1575" i="1"/>
  <c r="N1575" i="1"/>
  <c r="I1575" i="1"/>
  <c r="M1575" i="1" s="1"/>
  <c r="R1574" i="1"/>
  <c r="N1574" i="1"/>
  <c r="I1574" i="1"/>
  <c r="M1574" i="1" s="1"/>
  <c r="N1573" i="1"/>
  <c r="I1573" i="1"/>
  <c r="M1573" i="1" s="1"/>
  <c r="N1572" i="1"/>
  <c r="I1572" i="1"/>
  <c r="M1572" i="1" s="1"/>
  <c r="Q1572" i="1" s="1"/>
  <c r="R1572" i="1" s="1"/>
  <c r="N1571" i="1"/>
  <c r="I1571" i="1"/>
  <c r="M1571" i="1" s="1"/>
  <c r="Q1571" i="1" s="1"/>
  <c r="R1571" i="1" s="1"/>
  <c r="N1570" i="1"/>
  <c r="I1570" i="1"/>
  <c r="M1570" i="1" s="1"/>
  <c r="N1569" i="1"/>
  <c r="I1569" i="1"/>
  <c r="M1569" i="1" s="1"/>
  <c r="Q1569" i="1" s="1"/>
  <c r="R1569" i="1" s="1"/>
  <c r="N1568" i="1"/>
  <c r="I1568" i="1"/>
  <c r="M1568" i="1" s="1"/>
  <c r="R1567" i="1"/>
  <c r="N1567" i="1"/>
  <c r="I1567" i="1"/>
  <c r="M1567" i="1" s="1"/>
  <c r="R1566" i="1"/>
  <c r="N1566" i="1"/>
  <c r="I1566" i="1"/>
  <c r="M1566" i="1" s="1"/>
  <c r="R1565" i="1"/>
  <c r="N1565" i="1"/>
  <c r="I1565" i="1"/>
  <c r="M1565" i="1" s="1"/>
  <c r="N1564" i="1"/>
  <c r="I1564" i="1"/>
  <c r="H1564" i="1" s="1"/>
  <c r="M1564" i="1" s="1"/>
  <c r="R1563" i="1"/>
  <c r="N1563" i="1"/>
  <c r="I1563" i="1"/>
  <c r="H1563" i="1" s="1"/>
  <c r="M1563" i="1" s="1"/>
  <c r="N1562" i="1"/>
  <c r="I1562" i="1"/>
  <c r="M1562" i="1" s="1"/>
  <c r="N1561" i="1"/>
  <c r="I1561" i="1"/>
  <c r="M1561" i="1" s="1"/>
  <c r="Q1561" i="1" s="1"/>
  <c r="R1561" i="1" s="1"/>
  <c r="N1560" i="1"/>
  <c r="I1560" i="1"/>
  <c r="M1560" i="1" s="1"/>
  <c r="Q1560" i="1" s="1"/>
  <c r="R1560" i="1" s="1"/>
  <c r="N1559" i="1"/>
  <c r="I1559" i="1"/>
  <c r="M1559" i="1" s="1"/>
  <c r="N1558" i="1"/>
  <c r="I1558" i="1"/>
  <c r="M1558" i="1" s="1"/>
  <c r="N1557" i="1"/>
  <c r="I1557" i="1"/>
  <c r="H1557" i="1" s="1"/>
  <c r="M1557" i="1" s="1"/>
  <c r="N1556" i="1"/>
  <c r="I1556" i="1"/>
  <c r="H1556" i="1" s="1"/>
  <c r="M1556" i="1" s="1"/>
  <c r="Q1556" i="1" s="1"/>
  <c r="R1556" i="1" s="1"/>
  <c r="N1555" i="1"/>
  <c r="I1555" i="1"/>
  <c r="H1555" i="1" s="1"/>
  <c r="M1555" i="1" s="1"/>
  <c r="Q1555" i="1" s="1"/>
  <c r="R1555" i="1" s="1"/>
  <c r="N1554" i="1"/>
  <c r="I1554" i="1"/>
  <c r="H1554" i="1" s="1"/>
  <c r="M1554" i="1" s="1"/>
  <c r="N1553" i="1"/>
  <c r="I1553" i="1"/>
  <c r="H1553" i="1" s="1"/>
  <c r="M1553" i="1" s="1"/>
  <c r="N1552" i="1"/>
  <c r="I1552" i="1"/>
  <c r="H1552" i="1" s="1"/>
  <c r="M1552" i="1" s="1"/>
  <c r="N1551" i="1"/>
  <c r="I1551" i="1"/>
  <c r="H1551" i="1" s="1"/>
  <c r="M1551" i="1" s="1"/>
  <c r="N1550" i="1"/>
  <c r="I1550" i="1"/>
  <c r="H1550" i="1" s="1"/>
  <c r="M1550" i="1" s="1"/>
  <c r="N1549" i="1"/>
  <c r="I1549" i="1"/>
  <c r="H1549" i="1" s="1"/>
  <c r="M1549" i="1" s="1"/>
  <c r="Q1549" i="1" s="1"/>
  <c r="R1549" i="1" s="1"/>
  <c r="N1548" i="1"/>
  <c r="I1548" i="1"/>
  <c r="H1548" i="1" s="1"/>
  <c r="M1548" i="1" s="1"/>
  <c r="N1547" i="1"/>
  <c r="I1547" i="1"/>
  <c r="H1547" i="1" s="1"/>
  <c r="M1547" i="1" s="1"/>
  <c r="Q1547" i="1" s="1"/>
  <c r="R1547" i="1" s="1"/>
  <c r="N1546" i="1"/>
  <c r="I1546" i="1"/>
  <c r="H1546" i="1" s="1"/>
  <c r="N1545" i="1"/>
  <c r="I1545" i="1"/>
  <c r="H1545" i="1" s="1"/>
  <c r="M1545" i="1" s="1"/>
  <c r="N1544" i="1"/>
  <c r="I1544" i="1"/>
  <c r="H1544" i="1" s="1"/>
  <c r="M1544" i="1" s="1"/>
  <c r="N1543" i="1"/>
  <c r="I1543" i="1"/>
  <c r="H1543" i="1" s="1"/>
  <c r="M1543" i="1" s="1"/>
  <c r="R1542" i="1"/>
  <c r="N1542" i="1"/>
  <c r="I1542" i="1"/>
  <c r="H1542" i="1" s="1"/>
  <c r="M1542" i="1" s="1"/>
  <c r="O1542" i="1" s="1"/>
  <c r="N1541" i="1"/>
  <c r="I1541" i="1"/>
  <c r="H1541" i="1" s="1"/>
  <c r="M1541" i="1" s="1"/>
  <c r="Q1541" i="1" s="1"/>
  <c r="N1540" i="1"/>
  <c r="I1540" i="1"/>
  <c r="M1540" i="1" s="1"/>
  <c r="Q1540" i="1" s="1"/>
  <c r="R1540" i="1" s="1"/>
  <c r="R1539" i="1"/>
  <c r="N1539" i="1"/>
  <c r="I1539" i="1"/>
  <c r="H1539" i="1" s="1"/>
  <c r="M1539" i="1" s="1"/>
  <c r="N1538" i="1"/>
  <c r="I1538" i="1"/>
  <c r="H1538" i="1" s="1"/>
  <c r="M1538" i="1" s="1"/>
  <c r="R1537" i="1"/>
  <c r="N1537" i="1"/>
  <c r="I1537" i="1"/>
  <c r="M1537" i="1" s="1"/>
  <c r="R1536" i="1"/>
  <c r="N1536" i="1"/>
  <c r="I1536" i="1"/>
  <c r="M1536" i="1" s="1"/>
  <c r="R1535" i="1"/>
  <c r="N1535" i="1"/>
  <c r="I1535" i="1"/>
  <c r="H1535" i="1" s="1"/>
  <c r="M1535" i="1" s="1"/>
  <c r="R1534" i="1"/>
  <c r="N1534" i="1"/>
  <c r="I1534" i="1"/>
  <c r="H1534" i="1" s="1"/>
  <c r="M1534" i="1" s="1"/>
  <c r="R1533" i="1"/>
  <c r="N1533" i="1"/>
  <c r="I1533" i="1"/>
  <c r="M1533" i="1" s="1"/>
  <c r="R1532" i="1"/>
  <c r="N1532" i="1"/>
  <c r="I1532" i="1"/>
  <c r="M1532" i="1" s="1"/>
  <c r="R1531" i="1"/>
  <c r="N1531" i="1"/>
  <c r="I1531" i="1"/>
  <c r="M1531" i="1" s="1"/>
  <c r="N1530" i="1"/>
  <c r="I1530" i="1"/>
  <c r="M1530" i="1" s="1"/>
  <c r="Q1530" i="1" s="1"/>
  <c r="R1529" i="1"/>
  <c r="N1529" i="1"/>
  <c r="I1529" i="1"/>
  <c r="H1529" i="1" s="1"/>
  <c r="M1529" i="1" s="1"/>
  <c r="R1528" i="1"/>
  <c r="N1528" i="1"/>
  <c r="I1528" i="1"/>
  <c r="H1528" i="1" s="1"/>
  <c r="M1528" i="1" s="1"/>
  <c r="R1527" i="1"/>
  <c r="N1527" i="1"/>
  <c r="I1527" i="1"/>
  <c r="H1527" i="1" s="1"/>
  <c r="M1527" i="1" s="1"/>
  <c r="N1526" i="1"/>
  <c r="I1526" i="1"/>
  <c r="M1526" i="1" s="1"/>
  <c r="N1525" i="1"/>
  <c r="I1525" i="1"/>
  <c r="M1525" i="1" s="1"/>
  <c r="N1524" i="1"/>
  <c r="I1524" i="1"/>
  <c r="M1524" i="1" s="1"/>
  <c r="R1523" i="1"/>
  <c r="N1523" i="1"/>
  <c r="I1523" i="1"/>
  <c r="H1523" i="1" s="1"/>
  <c r="M1523" i="1" s="1"/>
  <c r="O1523" i="1" s="1"/>
  <c r="R1522" i="1"/>
  <c r="N1522" i="1"/>
  <c r="I1522" i="1"/>
  <c r="H1522" i="1" s="1"/>
  <c r="M1522" i="1" s="1"/>
  <c r="O1522" i="1" s="1"/>
  <c r="R1521" i="1"/>
  <c r="N1521" i="1"/>
  <c r="I1521" i="1"/>
  <c r="H1521" i="1" s="1"/>
  <c r="M1521" i="1" s="1"/>
  <c r="O1521" i="1" s="1"/>
  <c r="R1520" i="1"/>
  <c r="N1520" i="1"/>
  <c r="I1520" i="1"/>
  <c r="M1520" i="1" s="1"/>
  <c r="N1519" i="1"/>
  <c r="I1519" i="1"/>
  <c r="M1519" i="1" s="1"/>
  <c r="Q1519" i="1" s="1"/>
  <c r="R1519" i="1" s="1"/>
  <c r="N1518" i="1"/>
  <c r="I1518" i="1"/>
  <c r="M1518" i="1" s="1"/>
  <c r="Q1518" i="1" s="1"/>
  <c r="R1518" i="1" s="1"/>
  <c r="N1517" i="1"/>
  <c r="I1517" i="1"/>
  <c r="H1517" i="1" s="1"/>
  <c r="M1517" i="1" s="1"/>
  <c r="R1516" i="1"/>
  <c r="N1516" i="1"/>
  <c r="I1516" i="1"/>
  <c r="H1516" i="1" s="1"/>
  <c r="M1516" i="1" s="1"/>
  <c r="N1515" i="1"/>
  <c r="I1515" i="1"/>
  <c r="H1515" i="1" s="1"/>
  <c r="M1515" i="1" s="1"/>
  <c r="N1514" i="1"/>
  <c r="I1514" i="1"/>
  <c r="H1514" i="1" s="1"/>
  <c r="M1514" i="1" s="1"/>
  <c r="R1513" i="1"/>
  <c r="N1513" i="1"/>
  <c r="I1513" i="1"/>
  <c r="H1513" i="1" s="1"/>
  <c r="M1513" i="1" s="1"/>
  <c r="N1512" i="1"/>
  <c r="I1512" i="1"/>
  <c r="H1512" i="1" s="1"/>
  <c r="M1512" i="1" s="1"/>
  <c r="Q1512" i="1" s="1"/>
  <c r="R1512" i="1" s="1"/>
  <c r="N1511" i="1"/>
  <c r="I1511" i="1"/>
  <c r="H1511" i="1" s="1"/>
  <c r="M1511" i="1" s="1"/>
  <c r="N1510" i="1"/>
  <c r="I1510" i="1"/>
  <c r="H1510" i="1" s="1"/>
  <c r="M1510" i="1" s="1"/>
  <c r="N1509" i="1"/>
  <c r="I1509" i="1"/>
  <c r="H1509" i="1" s="1"/>
  <c r="M1509" i="1" s="1"/>
  <c r="N1508" i="1"/>
  <c r="I1508" i="1"/>
  <c r="H1508" i="1" s="1"/>
  <c r="M1508" i="1" s="1"/>
  <c r="N1507" i="1"/>
  <c r="I1507" i="1"/>
  <c r="H1507" i="1" s="1"/>
  <c r="M1507" i="1" s="1"/>
  <c r="N1506" i="1"/>
  <c r="I1506" i="1"/>
  <c r="H1506" i="1" s="1"/>
  <c r="M1506" i="1" s="1"/>
  <c r="N1505" i="1"/>
  <c r="I1505" i="1"/>
  <c r="H1505" i="1" s="1"/>
  <c r="M1505" i="1" s="1"/>
  <c r="Q1505" i="1" s="1"/>
  <c r="R1505" i="1" s="1"/>
  <c r="N1504" i="1"/>
  <c r="I1504" i="1"/>
  <c r="H1504" i="1" s="1"/>
  <c r="M1504" i="1" s="1"/>
  <c r="R1503" i="1"/>
  <c r="N1503" i="1"/>
  <c r="I1503" i="1"/>
  <c r="H1503" i="1" s="1"/>
  <c r="M1503" i="1" s="1"/>
  <c r="N1502" i="1"/>
  <c r="I1502" i="1"/>
  <c r="M1502" i="1" s="1"/>
  <c r="N1501" i="1"/>
  <c r="I1501" i="1"/>
  <c r="H1501" i="1" s="1"/>
  <c r="M1501" i="1" s="1"/>
  <c r="N1500" i="1"/>
  <c r="I1500" i="1"/>
  <c r="H1500" i="1" s="1"/>
  <c r="M1500" i="1" s="1"/>
  <c r="R1499" i="1"/>
  <c r="N1499" i="1"/>
  <c r="I1499" i="1"/>
  <c r="N1498" i="1"/>
  <c r="I1498" i="1"/>
  <c r="M1498" i="1" s="1"/>
  <c r="R1497" i="1"/>
  <c r="N1497" i="1"/>
  <c r="I1497" i="1"/>
  <c r="M1497" i="1" s="1"/>
  <c r="R1496" i="1"/>
  <c r="N1496" i="1"/>
  <c r="I1496" i="1"/>
  <c r="M1496" i="1" s="1"/>
  <c r="R1495" i="1"/>
  <c r="N1495" i="1"/>
  <c r="I1495" i="1"/>
  <c r="M1495" i="1" s="1"/>
  <c r="R1494" i="1"/>
  <c r="N1494" i="1"/>
  <c r="I1494" i="1"/>
  <c r="H1494" i="1" s="1"/>
  <c r="M1494" i="1" s="1"/>
  <c r="R1493" i="1"/>
  <c r="N1493" i="1"/>
  <c r="I1493" i="1"/>
  <c r="M1493" i="1" s="1"/>
  <c r="R1492" i="1"/>
  <c r="N1492" i="1"/>
  <c r="I1492" i="1"/>
  <c r="H1492" i="1" s="1"/>
  <c r="M1492" i="1" s="1"/>
  <c r="R1491" i="1"/>
  <c r="N1491" i="1"/>
  <c r="I1491" i="1"/>
  <c r="H1491" i="1" s="1"/>
  <c r="M1491" i="1" s="1"/>
  <c r="R1490" i="1"/>
  <c r="N1490" i="1"/>
  <c r="I1490" i="1"/>
  <c r="H1490" i="1" s="1"/>
  <c r="M1490" i="1" s="1"/>
  <c r="O1490" i="1" s="1"/>
  <c r="R1489" i="1"/>
  <c r="N1489" i="1"/>
  <c r="I1489" i="1"/>
  <c r="H1489" i="1" s="1"/>
  <c r="M1489" i="1" s="1"/>
  <c r="R1488" i="1"/>
  <c r="N1488" i="1"/>
  <c r="I1488" i="1"/>
  <c r="H1488" i="1"/>
  <c r="M1488" i="1" s="1"/>
  <c r="O1488" i="1" s="1"/>
  <c r="R1487" i="1"/>
  <c r="N1487" i="1"/>
  <c r="I1487" i="1"/>
  <c r="H1487" i="1" s="1"/>
  <c r="M1487" i="1" s="1"/>
  <c r="R1486" i="1"/>
  <c r="N1486" i="1"/>
  <c r="I1486" i="1"/>
  <c r="H1486" i="1" s="1"/>
  <c r="M1486" i="1" s="1"/>
  <c r="O1486" i="1" s="1"/>
  <c r="R1485" i="1"/>
  <c r="N1485" i="1"/>
  <c r="I1485" i="1"/>
  <c r="H1485" i="1" s="1"/>
  <c r="M1485" i="1" s="1"/>
  <c r="R1484" i="1"/>
  <c r="N1484" i="1"/>
  <c r="I1484" i="1"/>
  <c r="H1484" i="1" s="1"/>
  <c r="M1484" i="1" s="1"/>
  <c r="R1483" i="1"/>
  <c r="N1483" i="1"/>
  <c r="I1483" i="1"/>
  <c r="H1483" i="1" s="1"/>
  <c r="M1483" i="1" s="1"/>
  <c r="R1482" i="1"/>
  <c r="N1482" i="1"/>
  <c r="I1482" i="1"/>
  <c r="H1482" i="1" s="1"/>
  <c r="M1482" i="1" s="1"/>
  <c r="R1481" i="1"/>
  <c r="N1481" i="1"/>
  <c r="I1481" i="1"/>
  <c r="R1480" i="1"/>
  <c r="N1480" i="1"/>
  <c r="I1480" i="1"/>
  <c r="H1480" i="1" s="1"/>
  <c r="M1480" i="1" s="1"/>
  <c r="O1480" i="1" s="1"/>
  <c r="R1479" i="1"/>
  <c r="N1479" i="1"/>
  <c r="I1479" i="1"/>
  <c r="M1479" i="1" s="1"/>
  <c r="N1478" i="1"/>
  <c r="I1478" i="1"/>
  <c r="M1478" i="1" s="1"/>
  <c r="Q1478" i="1" s="1"/>
  <c r="N1477" i="1"/>
  <c r="I1477" i="1"/>
  <c r="H1477" i="1" s="1"/>
  <c r="M1477" i="1" s="1"/>
  <c r="N1476" i="1"/>
  <c r="I1476" i="1"/>
  <c r="H1476" i="1" s="1"/>
  <c r="M1476" i="1" s="1"/>
  <c r="N1475" i="1"/>
  <c r="I1475" i="1"/>
  <c r="H1475" i="1" s="1"/>
  <c r="M1475" i="1" s="1"/>
  <c r="R1474" i="1"/>
  <c r="N1474" i="1"/>
  <c r="I1474" i="1"/>
  <c r="H1474" i="1" s="1"/>
  <c r="M1474" i="1" s="1"/>
  <c r="O1474" i="1" s="1"/>
  <c r="N1473" i="1"/>
  <c r="I1473" i="1"/>
  <c r="H1473" i="1" s="1"/>
  <c r="M1473" i="1" s="1"/>
  <c r="R1472" i="1"/>
  <c r="N1472" i="1"/>
  <c r="I1472" i="1"/>
  <c r="H1472" i="1" s="1"/>
  <c r="M1472" i="1" s="1"/>
  <c r="N1471" i="1"/>
  <c r="I1471" i="1"/>
  <c r="M1471" i="1" s="1"/>
  <c r="N1470" i="1"/>
  <c r="I1470" i="1"/>
  <c r="N1469" i="1"/>
  <c r="I1469" i="1"/>
  <c r="H1469" i="1" s="1"/>
  <c r="M1469" i="1" s="1"/>
  <c r="N1468" i="1"/>
  <c r="I1468" i="1"/>
  <c r="H1468" i="1" s="1"/>
  <c r="M1468" i="1" s="1"/>
  <c r="N1467" i="1"/>
  <c r="I1467" i="1"/>
  <c r="H1467" i="1" s="1"/>
  <c r="M1467" i="1" s="1"/>
  <c r="N1466" i="1"/>
  <c r="I1466" i="1"/>
  <c r="H1466" i="1" s="1"/>
  <c r="R1465" i="1"/>
  <c r="N1465" i="1"/>
  <c r="I1465" i="1"/>
  <c r="H1465" i="1" s="1"/>
  <c r="M1465" i="1" s="1"/>
  <c r="R1464" i="1"/>
  <c r="N1464" i="1"/>
  <c r="I1464" i="1"/>
  <c r="H1464" i="1" s="1"/>
  <c r="M1464" i="1" s="1"/>
  <c r="R1463" i="1"/>
  <c r="N1463" i="1"/>
  <c r="I1463" i="1"/>
  <c r="H1463" i="1" s="1"/>
  <c r="M1463" i="1" s="1"/>
  <c r="O1463" i="1" s="1"/>
  <c r="R1462" i="1"/>
  <c r="N1462" i="1"/>
  <c r="I1462" i="1"/>
  <c r="H1462" i="1" s="1"/>
  <c r="M1462" i="1" s="1"/>
  <c r="R1461" i="1"/>
  <c r="N1461" i="1"/>
  <c r="I1461" i="1"/>
  <c r="H1461" i="1" s="1"/>
  <c r="R1460" i="1"/>
  <c r="N1460" i="1"/>
  <c r="I1460" i="1"/>
  <c r="H1460" i="1" s="1"/>
  <c r="M1460" i="1" s="1"/>
  <c r="R1459" i="1"/>
  <c r="N1459" i="1"/>
  <c r="I1459" i="1"/>
  <c r="N1458" i="1"/>
  <c r="I1458" i="1"/>
  <c r="H1458" i="1" s="1"/>
  <c r="M1458" i="1" s="1"/>
  <c r="N1457" i="1"/>
  <c r="I1457" i="1"/>
  <c r="M1457" i="1" s="1"/>
  <c r="Q1457" i="1" s="1"/>
  <c r="R1457" i="1" s="1"/>
  <c r="N1456" i="1"/>
  <c r="I1456" i="1"/>
  <c r="H1456" i="1" s="1"/>
  <c r="M1456" i="1" s="1"/>
  <c r="Q1456" i="1" s="1"/>
  <c r="R1456" i="1" s="1"/>
  <c r="N1455" i="1"/>
  <c r="I1455" i="1"/>
  <c r="H1455" i="1" s="1"/>
  <c r="M1455" i="1" s="1"/>
  <c r="N1454" i="1"/>
  <c r="I1454" i="1"/>
  <c r="H1454" i="1" s="1"/>
  <c r="M1454" i="1" s="1"/>
  <c r="N1453" i="1"/>
  <c r="I1453" i="1"/>
  <c r="H1453" i="1" s="1"/>
  <c r="M1453" i="1" s="1"/>
  <c r="N1452" i="1"/>
  <c r="I1452" i="1"/>
  <c r="H1452" i="1" s="1"/>
  <c r="M1452" i="1" s="1"/>
  <c r="O1452" i="1" s="1"/>
  <c r="N1451" i="1"/>
  <c r="I1451" i="1"/>
  <c r="H1451" i="1"/>
  <c r="M1451" i="1" s="1"/>
  <c r="Q1451" i="1" s="1"/>
  <c r="R1451" i="1" s="1"/>
  <c r="N1450" i="1"/>
  <c r="I1450" i="1"/>
  <c r="H1450" i="1" s="1"/>
  <c r="M1450" i="1" s="1"/>
  <c r="N1449" i="1"/>
  <c r="I1449" i="1"/>
  <c r="H1449" i="1" s="1"/>
  <c r="M1449" i="1" s="1"/>
  <c r="Q1449" i="1" s="1"/>
  <c r="R1449" i="1" s="1"/>
  <c r="N1448" i="1"/>
  <c r="I1448" i="1"/>
  <c r="H1448" i="1" s="1"/>
  <c r="M1448" i="1" s="1"/>
  <c r="Q1448" i="1" s="1"/>
  <c r="R1448" i="1" s="1"/>
  <c r="N1447" i="1"/>
  <c r="I1447" i="1"/>
  <c r="H1447" i="1" s="1"/>
  <c r="M1447" i="1" s="1"/>
  <c r="N1446" i="1"/>
  <c r="I1446" i="1"/>
  <c r="H1446" i="1" s="1"/>
  <c r="M1446" i="1" s="1"/>
  <c r="N1445" i="1"/>
  <c r="I1445" i="1"/>
  <c r="M1445" i="1" s="1"/>
  <c r="R1444" i="1"/>
  <c r="N1444" i="1"/>
  <c r="I1444" i="1"/>
  <c r="M1444" i="1" s="1"/>
  <c r="N1443" i="1"/>
  <c r="I1443" i="1"/>
  <c r="M1443" i="1" s="1"/>
  <c r="Q1443" i="1" s="1"/>
  <c r="R1443" i="1" s="1"/>
  <c r="N1442" i="1"/>
  <c r="I1442" i="1"/>
  <c r="H1442" i="1" s="1"/>
  <c r="M1442" i="1" s="1"/>
  <c r="N1441" i="1"/>
  <c r="I1441" i="1"/>
  <c r="H1441" i="1" s="1"/>
  <c r="M1441" i="1" s="1"/>
  <c r="N1440" i="1"/>
  <c r="I1440" i="1"/>
  <c r="M1440" i="1" s="1"/>
  <c r="N1439" i="1"/>
  <c r="I1439" i="1"/>
  <c r="H1439" i="1" s="1"/>
  <c r="M1439" i="1" s="1"/>
  <c r="N1438" i="1"/>
  <c r="I1438" i="1"/>
  <c r="M1438" i="1" s="1"/>
  <c r="N1437" i="1"/>
  <c r="I1437" i="1"/>
  <c r="H1437" i="1" s="1"/>
  <c r="M1437" i="1" s="1"/>
  <c r="N1436" i="1"/>
  <c r="I1436" i="1"/>
  <c r="H1436" i="1" s="1"/>
  <c r="M1436" i="1" s="1"/>
  <c r="N1435" i="1"/>
  <c r="I1435" i="1"/>
  <c r="H1435" i="1" s="1"/>
  <c r="M1435" i="1" s="1"/>
  <c r="N1434" i="1"/>
  <c r="I1434" i="1"/>
  <c r="H1434" i="1" s="1"/>
  <c r="M1434" i="1" s="1"/>
  <c r="N1433" i="1"/>
  <c r="I1433" i="1"/>
  <c r="H1433" i="1" s="1"/>
  <c r="M1433" i="1" s="1"/>
  <c r="N1432" i="1"/>
  <c r="I1432" i="1"/>
  <c r="H1432" i="1" s="1"/>
  <c r="M1432" i="1" s="1"/>
  <c r="N1431" i="1"/>
  <c r="I1431" i="1"/>
  <c r="H1431" i="1" s="1"/>
  <c r="M1431" i="1" s="1"/>
  <c r="Q1431" i="1" s="1"/>
  <c r="R1431" i="1" s="1"/>
  <c r="N1430" i="1"/>
  <c r="I1430" i="1"/>
  <c r="H1430" i="1" s="1"/>
  <c r="N1429" i="1"/>
  <c r="I1429" i="1"/>
  <c r="M1429" i="1" s="1"/>
  <c r="N1428" i="1"/>
  <c r="I1428" i="1"/>
  <c r="H1428" i="1" s="1"/>
  <c r="N1427" i="1"/>
  <c r="I1427" i="1"/>
  <c r="H1427" i="1" s="1"/>
  <c r="M1427" i="1" s="1"/>
  <c r="N1426" i="1"/>
  <c r="I1426" i="1"/>
  <c r="H1426" i="1" s="1"/>
  <c r="M1426" i="1" s="1"/>
  <c r="Q1426" i="1" s="1"/>
  <c r="R1426" i="1" s="1"/>
  <c r="N1425" i="1"/>
  <c r="I1425" i="1"/>
  <c r="H1425" i="1" s="1"/>
  <c r="M1425" i="1" s="1"/>
  <c r="R1424" i="1"/>
  <c r="N1424" i="1"/>
  <c r="I1424" i="1"/>
  <c r="H1424" i="1" s="1"/>
  <c r="R1423" i="1"/>
  <c r="N1423" i="1"/>
  <c r="I1423" i="1"/>
  <c r="H1423" i="1"/>
  <c r="M1423" i="1" s="1"/>
  <c r="R1422" i="1"/>
  <c r="N1422" i="1"/>
  <c r="I1422" i="1"/>
  <c r="H1422" i="1" s="1"/>
  <c r="M1422" i="1" s="1"/>
  <c r="R1421" i="1"/>
  <c r="N1421" i="1"/>
  <c r="I1421" i="1"/>
  <c r="H1421" i="1" s="1"/>
  <c r="M1421" i="1" s="1"/>
  <c r="R1420" i="1"/>
  <c r="N1420" i="1"/>
  <c r="I1420" i="1"/>
  <c r="H1420" i="1" s="1"/>
  <c r="M1420" i="1" s="1"/>
  <c r="R1419" i="1"/>
  <c r="N1419" i="1"/>
  <c r="I1419" i="1"/>
  <c r="H1419" i="1" s="1"/>
  <c r="M1419" i="1" s="1"/>
  <c r="R1418" i="1"/>
  <c r="N1418" i="1"/>
  <c r="I1418" i="1"/>
  <c r="H1418" i="1" s="1"/>
  <c r="M1418" i="1" s="1"/>
  <c r="R1417" i="1"/>
  <c r="N1417" i="1"/>
  <c r="I1417" i="1"/>
  <c r="M1417" i="1" s="1"/>
  <c r="R1416" i="1"/>
  <c r="N1416" i="1"/>
  <c r="I1416" i="1"/>
  <c r="M1416" i="1" s="1"/>
  <c r="R1415" i="1"/>
  <c r="N1415" i="1"/>
  <c r="I1415" i="1"/>
  <c r="M1415" i="1" s="1"/>
  <c r="R1414" i="1"/>
  <c r="N1414" i="1"/>
  <c r="I1414" i="1"/>
  <c r="H1414" i="1" s="1"/>
  <c r="M1414" i="1" s="1"/>
  <c r="R1413" i="1"/>
  <c r="N1413" i="1"/>
  <c r="I1413" i="1"/>
  <c r="H1413" i="1" s="1"/>
  <c r="M1413" i="1" s="1"/>
  <c r="O1413" i="1" s="1"/>
  <c r="R1412" i="1"/>
  <c r="N1412" i="1"/>
  <c r="I1412" i="1"/>
  <c r="H1412" i="1" s="1"/>
  <c r="M1412" i="1" s="1"/>
  <c r="R1411" i="1"/>
  <c r="N1411" i="1"/>
  <c r="I1411" i="1"/>
  <c r="H1411" i="1" s="1"/>
  <c r="M1411" i="1" s="1"/>
  <c r="R1410" i="1"/>
  <c r="N1410" i="1"/>
  <c r="I1410" i="1"/>
  <c r="H1410" i="1" s="1"/>
  <c r="M1410" i="1" s="1"/>
  <c r="R1409" i="1"/>
  <c r="N1409" i="1"/>
  <c r="I1409" i="1"/>
  <c r="H1409" i="1" s="1"/>
  <c r="M1409" i="1" s="1"/>
  <c r="R1408" i="1"/>
  <c r="N1408" i="1"/>
  <c r="I1408" i="1"/>
  <c r="H1408" i="1" s="1"/>
  <c r="M1408" i="1" s="1"/>
  <c r="R1407" i="1"/>
  <c r="N1407" i="1"/>
  <c r="I1407" i="1"/>
  <c r="H1407" i="1" s="1"/>
  <c r="M1407" i="1" s="1"/>
  <c r="R1406" i="1"/>
  <c r="N1406" i="1"/>
  <c r="I1406" i="1"/>
  <c r="H1406" i="1" s="1"/>
  <c r="M1406" i="1" s="1"/>
  <c r="R1405" i="1"/>
  <c r="N1405" i="1"/>
  <c r="I1405" i="1"/>
  <c r="H1405" i="1" s="1"/>
  <c r="M1405" i="1" s="1"/>
  <c r="R1404" i="1"/>
  <c r="N1404" i="1"/>
  <c r="I1404" i="1"/>
  <c r="H1404" i="1" s="1"/>
  <c r="M1404" i="1" s="1"/>
  <c r="R1403" i="1"/>
  <c r="N1403" i="1"/>
  <c r="I1403" i="1"/>
  <c r="H1403" i="1"/>
  <c r="M1403" i="1" s="1"/>
  <c r="R1402" i="1"/>
  <c r="N1402" i="1"/>
  <c r="I1402" i="1"/>
  <c r="H1402" i="1" s="1"/>
  <c r="M1402" i="1" s="1"/>
  <c r="O1402" i="1" s="1"/>
  <c r="R1401" i="1"/>
  <c r="N1401" i="1"/>
  <c r="I1401" i="1"/>
  <c r="H1401" i="1" s="1"/>
  <c r="M1401" i="1" s="1"/>
  <c r="R1400" i="1"/>
  <c r="N1400" i="1"/>
  <c r="I1400" i="1"/>
  <c r="H1400" i="1" s="1"/>
  <c r="M1400" i="1" s="1"/>
  <c r="R1399" i="1"/>
  <c r="N1399" i="1"/>
  <c r="I1399" i="1"/>
  <c r="H1399" i="1" s="1"/>
  <c r="M1399" i="1" s="1"/>
  <c r="R1398" i="1"/>
  <c r="N1398" i="1"/>
  <c r="I1398" i="1"/>
  <c r="H1398" i="1" s="1"/>
  <c r="M1398" i="1" s="1"/>
  <c r="R1397" i="1"/>
  <c r="N1397" i="1"/>
  <c r="I1397" i="1"/>
  <c r="H1397" i="1" s="1"/>
  <c r="M1397" i="1" s="1"/>
  <c r="R1396" i="1"/>
  <c r="N1396" i="1"/>
  <c r="I1396" i="1"/>
  <c r="H1396" i="1" s="1"/>
  <c r="M1396" i="1" s="1"/>
  <c r="R1395" i="1"/>
  <c r="N1395" i="1"/>
  <c r="I1395" i="1"/>
  <c r="H1395" i="1" s="1"/>
  <c r="M1395" i="1" s="1"/>
  <c r="R1394" i="1"/>
  <c r="N1394" i="1"/>
  <c r="I1394" i="1"/>
  <c r="H1394" i="1" s="1"/>
  <c r="M1394" i="1" s="1"/>
  <c r="R1393" i="1"/>
  <c r="N1393" i="1"/>
  <c r="I1393" i="1"/>
  <c r="H1393" i="1" s="1"/>
  <c r="M1393" i="1" s="1"/>
  <c r="R1392" i="1"/>
  <c r="N1392" i="1"/>
  <c r="I1392" i="1"/>
  <c r="H1392" i="1" s="1"/>
  <c r="M1392" i="1" s="1"/>
  <c r="O1392" i="1" s="1"/>
  <c r="R1391" i="1"/>
  <c r="N1391" i="1"/>
  <c r="I1391" i="1"/>
  <c r="H1391" i="1" s="1"/>
  <c r="M1391" i="1" s="1"/>
  <c r="R1390" i="1"/>
  <c r="N1390" i="1"/>
  <c r="I1390" i="1"/>
  <c r="H1390" i="1" s="1"/>
  <c r="M1390" i="1" s="1"/>
  <c r="R1389" i="1"/>
  <c r="N1389" i="1"/>
  <c r="I1389" i="1"/>
  <c r="H1389" i="1" s="1"/>
  <c r="M1389" i="1" s="1"/>
  <c r="R1388" i="1"/>
  <c r="N1388" i="1"/>
  <c r="I1388" i="1"/>
  <c r="H1388" i="1" s="1"/>
  <c r="R1387" i="1"/>
  <c r="N1387" i="1"/>
  <c r="I1387" i="1"/>
  <c r="H1387" i="1" s="1"/>
  <c r="R1386" i="1"/>
  <c r="N1386" i="1"/>
  <c r="I1386" i="1"/>
  <c r="H1386" i="1" s="1"/>
  <c r="M1386" i="1" s="1"/>
  <c r="R1385" i="1"/>
  <c r="N1385" i="1"/>
  <c r="I1385" i="1"/>
  <c r="M1385" i="1" s="1"/>
  <c r="O1385" i="1" s="1"/>
  <c r="R1384" i="1"/>
  <c r="N1384" i="1"/>
  <c r="I1384" i="1"/>
  <c r="M1384" i="1" s="1"/>
  <c r="R1383" i="1"/>
  <c r="N1383" i="1"/>
  <c r="I1383" i="1"/>
  <c r="M1383" i="1" s="1"/>
  <c r="N1382" i="1"/>
  <c r="I1382" i="1"/>
  <c r="H1382" i="1" s="1"/>
  <c r="M1382" i="1" s="1"/>
  <c r="Q1382" i="1" s="1"/>
  <c r="R1382" i="1" s="1"/>
  <c r="N1381" i="1"/>
  <c r="I1381" i="1"/>
  <c r="H1381" i="1" s="1"/>
  <c r="M1381" i="1" s="1"/>
  <c r="N1380" i="1"/>
  <c r="I1380" i="1"/>
  <c r="H1380" i="1" s="1"/>
  <c r="M1380" i="1" s="1"/>
  <c r="R1379" i="1"/>
  <c r="N1379" i="1"/>
  <c r="I1379" i="1"/>
  <c r="H1379" i="1" s="1"/>
  <c r="M1379" i="1" s="1"/>
  <c r="O1379" i="1" s="1"/>
  <c r="N1378" i="1"/>
  <c r="I1378" i="1"/>
  <c r="H1378" i="1" s="1"/>
  <c r="M1378" i="1" s="1"/>
  <c r="Q1378" i="1" s="1"/>
  <c r="R1378" i="1" s="1"/>
  <c r="N1377" i="1"/>
  <c r="I1377" i="1"/>
  <c r="H1377" i="1" s="1"/>
  <c r="M1377" i="1" s="1"/>
  <c r="R1376" i="1"/>
  <c r="N1376" i="1"/>
  <c r="I1376" i="1"/>
  <c r="H1376" i="1" s="1"/>
  <c r="M1376" i="1" s="1"/>
  <c r="O1376" i="1" s="1"/>
  <c r="N1375" i="1"/>
  <c r="I1375" i="1"/>
  <c r="M1375" i="1" s="1"/>
  <c r="Q1375" i="1" s="1"/>
  <c r="R1375" i="1" s="1"/>
  <c r="N1374" i="1"/>
  <c r="I1374" i="1"/>
  <c r="M1374" i="1" s="1"/>
  <c r="N1373" i="1"/>
  <c r="I1373" i="1"/>
  <c r="M1373" i="1" s="1"/>
  <c r="Q1373" i="1" s="1"/>
  <c r="R1373" i="1" s="1"/>
  <c r="N1372" i="1"/>
  <c r="I1372" i="1"/>
  <c r="H1372" i="1" s="1"/>
  <c r="M1372" i="1" s="1"/>
  <c r="N1371" i="1"/>
  <c r="I1371" i="1"/>
  <c r="H1371" i="1" s="1"/>
  <c r="M1371" i="1" s="1"/>
  <c r="Q1371" i="1" s="1"/>
  <c r="R1371" i="1" s="1"/>
  <c r="N1370" i="1"/>
  <c r="I1370" i="1"/>
  <c r="H1370" i="1" s="1"/>
  <c r="M1370" i="1" s="1"/>
  <c r="Q1370" i="1" s="1"/>
  <c r="R1370" i="1" s="1"/>
  <c r="N1369" i="1"/>
  <c r="I1369" i="1"/>
  <c r="H1369" i="1" s="1"/>
  <c r="M1369" i="1" s="1"/>
  <c r="N1368" i="1"/>
  <c r="I1368" i="1"/>
  <c r="H1368" i="1" s="1"/>
  <c r="M1368" i="1" s="1"/>
  <c r="N1367" i="1"/>
  <c r="I1367" i="1"/>
  <c r="H1367" i="1" s="1"/>
  <c r="M1367" i="1" s="1"/>
  <c r="N1366" i="1"/>
  <c r="I1366" i="1"/>
  <c r="H1366" i="1" s="1"/>
  <c r="M1366" i="1" s="1"/>
  <c r="Q1366" i="1" s="1"/>
  <c r="R1366" i="1" s="1"/>
  <c r="N1365" i="1"/>
  <c r="I1365" i="1"/>
  <c r="N1364" i="1"/>
  <c r="I1364" i="1"/>
  <c r="H1364" i="1" s="1"/>
  <c r="M1364" i="1" s="1"/>
  <c r="Q1364" i="1" s="1"/>
  <c r="R1364" i="1" s="1"/>
  <c r="N1363" i="1"/>
  <c r="I1363" i="1"/>
  <c r="H1363" i="1" s="1"/>
  <c r="M1363" i="1" s="1"/>
  <c r="N1362" i="1"/>
  <c r="I1362" i="1"/>
  <c r="H1362" i="1"/>
  <c r="M1362" i="1" s="1"/>
  <c r="N1361" i="1"/>
  <c r="I1361" i="1"/>
  <c r="H1361" i="1" s="1"/>
  <c r="M1361" i="1" s="1"/>
  <c r="N1360" i="1"/>
  <c r="I1360" i="1"/>
  <c r="H1360" i="1" s="1"/>
  <c r="M1360" i="1" s="1"/>
  <c r="N1359" i="1"/>
  <c r="I1359" i="1"/>
  <c r="H1359" i="1" s="1"/>
  <c r="M1359" i="1" s="1"/>
  <c r="Q1359" i="1" s="1"/>
  <c r="R1359" i="1" s="1"/>
  <c r="N1358" i="1"/>
  <c r="I1358" i="1"/>
  <c r="H1358" i="1" s="1"/>
  <c r="M1358" i="1" s="1"/>
  <c r="Q1358" i="1" s="1"/>
  <c r="R1358" i="1" s="1"/>
  <c r="N1357" i="1"/>
  <c r="I1357" i="1"/>
  <c r="H1357" i="1" s="1"/>
  <c r="M1357" i="1" s="1"/>
  <c r="Q1357" i="1" s="1"/>
  <c r="R1357" i="1" s="1"/>
  <c r="N1356" i="1"/>
  <c r="I1356" i="1"/>
  <c r="H1356" i="1" s="1"/>
  <c r="M1356" i="1" s="1"/>
  <c r="Q1356" i="1" s="1"/>
  <c r="R1356" i="1" s="1"/>
  <c r="N1355" i="1"/>
  <c r="I1355" i="1"/>
  <c r="H1355" i="1" s="1"/>
  <c r="M1355" i="1" s="1"/>
  <c r="N1354" i="1"/>
  <c r="I1354" i="1"/>
  <c r="H1354" i="1" s="1"/>
  <c r="M1354" i="1" s="1"/>
  <c r="Q1354" i="1" s="1"/>
  <c r="R1354" i="1" s="1"/>
  <c r="R1353" i="1"/>
  <c r="N1353" i="1"/>
  <c r="I1353" i="1"/>
  <c r="H1353" i="1" s="1"/>
  <c r="M1353" i="1" s="1"/>
  <c r="N1352" i="1"/>
  <c r="I1352" i="1"/>
  <c r="H1352" i="1" s="1"/>
  <c r="M1352" i="1" s="1"/>
  <c r="Q1352" i="1" s="1"/>
  <c r="R1352" i="1" s="1"/>
  <c r="N1351" i="1"/>
  <c r="I1351" i="1"/>
  <c r="H1351" i="1" s="1"/>
  <c r="M1351" i="1" s="1"/>
  <c r="N1350" i="1"/>
  <c r="I1350" i="1"/>
  <c r="H1350" i="1" s="1"/>
  <c r="M1350" i="1" s="1"/>
  <c r="N1349" i="1"/>
  <c r="I1349" i="1"/>
  <c r="H1349" i="1" s="1"/>
  <c r="M1349" i="1" s="1"/>
  <c r="Q1349" i="1" s="1"/>
  <c r="R1349" i="1" s="1"/>
  <c r="N1348" i="1"/>
  <c r="I1348" i="1"/>
  <c r="H1348" i="1" s="1"/>
  <c r="M1348" i="1" s="1"/>
  <c r="O1348" i="1" s="1"/>
  <c r="N1347" i="1"/>
  <c r="I1347" i="1"/>
  <c r="H1347" i="1" s="1"/>
  <c r="M1347" i="1" s="1"/>
  <c r="N1346" i="1"/>
  <c r="I1346" i="1"/>
  <c r="H1346" i="1"/>
  <c r="M1346" i="1" s="1"/>
  <c r="R1345" i="1"/>
  <c r="N1345" i="1"/>
  <c r="I1345" i="1"/>
  <c r="H1345" i="1" s="1"/>
  <c r="M1345" i="1" s="1"/>
  <c r="R1344" i="1"/>
  <c r="N1344" i="1"/>
  <c r="I1344" i="1"/>
  <c r="H1344" i="1" s="1"/>
  <c r="M1344" i="1" s="1"/>
  <c r="O1344" i="1" s="1"/>
  <c r="R1343" i="1"/>
  <c r="N1343" i="1"/>
  <c r="I1343" i="1"/>
  <c r="H1343" i="1" s="1"/>
  <c r="M1343" i="1" s="1"/>
  <c r="R1342" i="1"/>
  <c r="N1342" i="1"/>
  <c r="I1342" i="1"/>
  <c r="H1342" i="1" s="1"/>
  <c r="M1342" i="1" s="1"/>
  <c r="R1341" i="1"/>
  <c r="N1341" i="1"/>
  <c r="I1341" i="1"/>
  <c r="H1341" i="1" s="1"/>
  <c r="M1341" i="1" s="1"/>
  <c r="O1341" i="1" s="1"/>
  <c r="N1340" i="1"/>
  <c r="I1340" i="1"/>
  <c r="H1340" i="1" s="1"/>
  <c r="M1340" i="1" s="1"/>
  <c r="N1339" i="1"/>
  <c r="I1339" i="1"/>
  <c r="H1339" i="1" s="1"/>
  <c r="M1339" i="1" s="1"/>
  <c r="Q1339" i="1" s="1"/>
  <c r="R1339" i="1" s="1"/>
  <c r="N1338" i="1"/>
  <c r="I1338" i="1"/>
  <c r="H1338" i="1"/>
  <c r="M1338" i="1" s="1"/>
  <c r="N1337" i="1"/>
  <c r="I1337" i="1"/>
  <c r="H1337" i="1" s="1"/>
  <c r="M1337" i="1" s="1"/>
  <c r="Q1337" i="1" s="1"/>
  <c r="R1337" i="1" s="1"/>
  <c r="N1336" i="1"/>
  <c r="I1336" i="1"/>
  <c r="H1336" i="1" s="1"/>
  <c r="M1336" i="1" s="1"/>
  <c r="N1335" i="1"/>
  <c r="I1335" i="1"/>
  <c r="H1335" i="1" s="1"/>
  <c r="M1335" i="1" s="1"/>
  <c r="N1334" i="1"/>
  <c r="I1334" i="1"/>
  <c r="H1334" i="1" s="1"/>
  <c r="M1334" i="1" s="1"/>
  <c r="N1333" i="1"/>
  <c r="I1333" i="1"/>
  <c r="H1333" i="1" s="1"/>
  <c r="M1333" i="1" s="1"/>
  <c r="R1332" i="1"/>
  <c r="N1332" i="1"/>
  <c r="I1332" i="1"/>
  <c r="H1332" i="1" s="1"/>
  <c r="M1332" i="1" s="1"/>
  <c r="R1331" i="1"/>
  <c r="N1331" i="1"/>
  <c r="I1331" i="1"/>
  <c r="H1331" i="1" s="1"/>
  <c r="M1331" i="1" s="1"/>
  <c r="O1331" i="1" s="1"/>
  <c r="R1330" i="1"/>
  <c r="N1330" i="1"/>
  <c r="I1330" i="1"/>
  <c r="H1330" i="1" s="1"/>
  <c r="M1330" i="1" s="1"/>
  <c r="R1329" i="1"/>
  <c r="N1329" i="1"/>
  <c r="I1329" i="1"/>
  <c r="H1329" i="1" s="1"/>
  <c r="M1329" i="1" s="1"/>
  <c r="R1328" i="1"/>
  <c r="N1328" i="1"/>
  <c r="I1328" i="1"/>
  <c r="H1328" i="1" s="1"/>
  <c r="M1328" i="1" s="1"/>
  <c r="O1328" i="1" s="1"/>
  <c r="N1327" i="1"/>
  <c r="I1327" i="1"/>
  <c r="H1327" i="1" s="1"/>
  <c r="N1326" i="1"/>
  <c r="I1326" i="1"/>
  <c r="N1325" i="1"/>
  <c r="I1325" i="1"/>
  <c r="H1325" i="1" s="1"/>
  <c r="N1324" i="1"/>
  <c r="I1324" i="1"/>
  <c r="H1324" i="1" s="1"/>
  <c r="N1323" i="1"/>
  <c r="I1323" i="1"/>
  <c r="H1323" i="1" s="1"/>
  <c r="R1322" i="1"/>
  <c r="N1322" i="1"/>
  <c r="I1322" i="1"/>
  <c r="R1321" i="1"/>
  <c r="N1321" i="1"/>
  <c r="I1321" i="1"/>
  <c r="H1321" i="1" s="1"/>
  <c r="M1321" i="1" s="1"/>
  <c r="N1320" i="1"/>
  <c r="I1320" i="1"/>
  <c r="M1320" i="1" s="1"/>
  <c r="Q1320" i="1" s="1"/>
  <c r="R1320" i="1" s="1"/>
  <c r="N1319" i="1"/>
  <c r="I1319" i="1"/>
  <c r="M1319" i="1" s="1"/>
  <c r="N1318" i="1"/>
  <c r="I1318" i="1"/>
  <c r="M1318" i="1" s="1"/>
  <c r="Q1318" i="1" s="1"/>
  <c r="R1318" i="1" s="1"/>
  <c r="R1317" i="1"/>
  <c r="N1317" i="1"/>
  <c r="I1317" i="1"/>
  <c r="M1317" i="1" s="1"/>
  <c r="O1317" i="1" s="1"/>
  <c r="R1316" i="1"/>
  <c r="N1316" i="1"/>
  <c r="I1316" i="1"/>
  <c r="R1315" i="1"/>
  <c r="N1315" i="1"/>
  <c r="I1315" i="1"/>
  <c r="M1315" i="1" s="1"/>
  <c r="N1314" i="1"/>
  <c r="I1314" i="1"/>
  <c r="M1314" i="1" s="1"/>
  <c r="N1313" i="1"/>
  <c r="I1313" i="1"/>
  <c r="M1313" i="1" s="1"/>
  <c r="O1313" i="1" s="1"/>
  <c r="N1312" i="1"/>
  <c r="I1312" i="1"/>
  <c r="M1312" i="1" s="1"/>
  <c r="Q1312" i="1" s="1"/>
  <c r="R1312" i="1" s="1"/>
  <c r="N1311" i="1"/>
  <c r="I1311" i="1"/>
  <c r="M1311" i="1" s="1"/>
  <c r="Q1311" i="1" s="1"/>
  <c r="R1311" i="1" s="1"/>
  <c r="R1310" i="1"/>
  <c r="N1310" i="1"/>
  <c r="I1310" i="1"/>
  <c r="M1310" i="1" s="1"/>
  <c r="O1310" i="1" s="1"/>
  <c r="N1309" i="1"/>
  <c r="I1309" i="1"/>
  <c r="M1309" i="1" s="1"/>
  <c r="N1308" i="1"/>
  <c r="I1308" i="1"/>
  <c r="M1308" i="1" s="1"/>
  <c r="N1307" i="1"/>
  <c r="I1307" i="1"/>
  <c r="H1307" i="1" s="1"/>
  <c r="M1307" i="1" s="1"/>
  <c r="Q1307" i="1" s="1"/>
  <c r="R1307" i="1" s="1"/>
  <c r="N1306" i="1"/>
  <c r="I1306" i="1"/>
  <c r="M1306" i="1" s="1"/>
  <c r="Q1306" i="1" s="1"/>
  <c r="R1306" i="1" s="1"/>
  <c r="N1305" i="1"/>
  <c r="I1305" i="1"/>
  <c r="M1305" i="1" s="1"/>
  <c r="N1304" i="1"/>
  <c r="I1304" i="1"/>
  <c r="M1304" i="1" s="1"/>
  <c r="Q1304" i="1" s="1"/>
  <c r="R1304" i="1" s="1"/>
  <c r="N1303" i="1"/>
  <c r="I1303" i="1"/>
  <c r="M1303" i="1" s="1"/>
  <c r="Q1303" i="1" s="1"/>
  <c r="R1303" i="1" s="1"/>
  <c r="N1302" i="1"/>
  <c r="I1302" i="1"/>
  <c r="M1302" i="1" s="1"/>
  <c r="Q1302" i="1" s="1"/>
  <c r="R1302" i="1" s="1"/>
  <c r="N1301" i="1"/>
  <c r="I1301" i="1"/>
  <c r="M1301" i="1" s="1"/>
  <c r="N1300" i="1"/>
  <c r="I1300" i="1"/>
  <c r="M1300" i="1" s="1"/>
  <c r="Q1300" i="1" s="1"/>
  <c r="R1300" i="1" s="1"/>
  <c r="N1299" i="1"/>
  <c r="I1299" i="1"/>
  <c r="M1299" i="1" s="1"/>
  <c r="Q1299" i="1" s="1"/>
  <c r="R1299" i="1" s="1"/>
  <c r="N1298" i="1"/>
  <c r="I1298" i="1"/>
  <c r="H1298" i="1" s="1"/>
  <c r="M1298" i="1" s="1"/>
  <c r="N1297" i="1"/>
  <c r="I1297" i="1"/>
  <c r="H1297" i="1" s="1"/>
  <c r="M1297" i="1" s="1"/>
  <c r="Q1297" i="1" s="1"/>
  <c r="R1297" i="1" s="1"/>
  <c r="N1296" i="1"/>
  <c r="I1296" i="1"/>
  <c r="H1296" i="1" s="1"/>
  <c r="M1296" i="1" s="1"/>
  <c r="Q1296" i="1" s="1"/>
  <c r="R1296" i="1" s="1"/>
  <c r="N1295" i="1"/>
  <c r="I1295" i="1"/>
  <c r="H1295" i="1" s="1"/>
  <c r="M1295" i="1" s="1"/>
  <c r="N1294" i="1"/>
  <c r="I1294" i="1"/>
  <c r="H1294" i="1" s="1"/>
  <c r="M1294" i="1" s="1"/>
  <c r="N1293" i="1"/>
  <c r="I1293" i="1"/>
  <c r="H1293" i="1" s="1"/>
  <c r="M1293" i="1" s="1"/>
  <c r="N1292" i="1"/>
  <c r="I1292" i="1"/>
  <c r="H1292" i="1" s="1"/>
  <c r="M1292" i="1" s="1"/>
  <c r="Q1292" i="1" s="1"/>
  <c r="R1292" i="1" s="1"/>
  <c r="N1291" i="1"/>
  <c r="I1291" i="1"/>
  <c r="H1291" i="1" s="1"/>
  <c r="M1291" i="1" s="1"/>
  <c r="N1290" i="1"/>
  <c r="I1290" i="1"/>
  <c r="H1290" i="1" s="1"/>
  <c r="M1290" i="1" s="1"/>
  <c r="N1289" i="1"/>
  <c r="I1289" i="1"/>
  <c r="H1289" i="1" s="1"/>
  <c r="M1289" i="1" s="1"/>
  <c r="N1288" i="1"/>
  <c r="I1288" i="1"/>
  <c r="H1288" i="1" s="1"/>
  <c r="M1288" i="1" s="1"/>
  <c r="N1287" i="1"/>
  <c r="I1287" i="1"/>
  <c r="H1287" i="1" s="1"/>
  <c r="M1287" i="1" s="1"/>
  <c r="N1286" i="1"/>
  <c r="I1286" i="1"/>
  <c r="H1286" i="1" s="1"/>
  <c r="M1286" i="1" s="1"/>
  <c r="N1285" i="1"/>
  <c r="I1285" i="1"/>
  <c r="H1285" i="1" s="1"/>
  <c r="M1285" i="1" s="1"/>
  <c r="N1284" i="1"/>
  <c r="I1284" i="1"/>
  <c r="H1284" i="1" s="1"/>
  <c r="M1284" i="1" s="1"/>
  <c r="R1283" i="1"/>
  <c r="N1283" i="1"/>
  <c r="I1283" i="1"/>
  <c r="H1283" i="1" s="1"/>
  <c r="M1283" i="1" s="1"/>
  <c r="N1282" i="1"/>
  <c r="I1282" i="1"/>
  <c r="H1282" i="1" s="1"/>
  <c r="M1282" i="1" s="1"/>
  <c r="N1281" i="1"/>
  <c r="I1281" i="1"/>
  <c r="H1281" i="1" s="1"/>
  <c r="M1281" i="1" s="1"/>
  <c r="N1280" i="1"/>
  <c r="I1280" i="1"/>
  <c r="H1280" i="1" s="1"/>
  <c r="M1280" i="1" s="1"/>
  <c r="N1279" i="1"/>
  <c r="I1279" i="1"/>
  <c r="H1279" i="1" s="1"/>
  <c r="M1279" i="1" s="1"/>
  <c r="N1278" i="1"/>
  <c r="I1278" i="1"/>
  <c r="H1278" i="1" s="1"/>
  <c r="M1278" i="1" s="1"/>
  <c r="R1277" i="1"/>
  <c r="N1277" i="1"/>
  <c r="I1277" i="1"/>
  <c r="H1277" i="1" s="1"/>
  <c r="M1277" i="1" s="1"/>
  <c r="R1276" i="1"/>
  <c r="N1276" i="1"/>
  <c r="I1276" i="1"/>
  <c r="H1276" i="1" s="1"/>
  <c r="M1276" i="1" s="1"/>
  <c r="R1275" i="1"/>
  <c r="N1275" i="1"/>
  <c r="I1275" i="1"/>
  <c r="H1275" i="1" s="1"/>
  <c r="M1275" i="1" s="1"/>
  <c r="N1274" i="1"/>
  <c r="I1274" i="1"/>
  <c r="H1274" i="1" s="1"/>
  <c r="M1274" i="1" s="1"/>
  <c r="N1273" i="1"/>
  <c r="I1273" i="1"/>
  <c r="H1273" i="1" s="1"/>
  <c r="M1273" i="1" s="1"/>
  <c r="N1272" i="1"/>
  <c r="I1272" i="1"/>
  <c r="H1272" i="1" s="1"/>
  <c r="M1272" i="1" s="1"/>
  <c r="N1271" i="1"/>
  <c r="I1271" i="1"/>
  <c r="N1270" i="1"/>
  <c r="I1270" i="1"/>
  <c r="H1270" i="1" s="1"/>
  <c r="M1270" i="1" s="1"/>
  <c r="Q1270" i="1" s="1"/>
  <c r="R1270" i="1" s="1"/>
  <c r="N1269" i="1"/>
  <c r="I1269" i="1"/>
  <c r="H1269" i="1" s="1"/>
  <c r="M1269" i="1" s="1"/>
  <c r="N1268" i="1"/>
  <c r="I1268" i="1"/>
  <c r="H1268" i="1" s="1"/>
  <c r="M1268" i="1" s="1"/>
  <c r="R1267" i="1"/>
  <c r="N1267" i="1"/>
  <c r="I1267" i="1"/>
  <c r="H1267" i="1" s="1"/>
  <c r="M1267" i="1" s="1"/>
  <c r="N1266" i="1"/>
  <c r="I1266" i="1"/>
  <c r="H1266" i="1" s="1"/>
  <c r="M1266" i="1" s="1"/>
  <c r="R1265" i="1"/>
  <c r="N1265" i="1"/>
  <c r="I1265" i="1"/>
  <c r="M1265" i="1" s="1"/>
  <c r="N1264" i="1"/>
  <c r="I1264" i="1"/>
  <c r="M1264" i="1" s="1"/>
  <c r="R1263" i="1"/>
  <c r="N1263" i="1"/>
  <c r="I1263" i="1"/>
  <c r="H1263" i="1" s="1"/>
  <c r="M1263" i="1" s="1"/>
  <c r="O1263" i="1" s="1"/>
  <c r="R1262" i="1"/>
  <c r="N1262" i="1"/>
  <c r="I1262" i="1"/>
  <c r="H1262" i="1" s="1"/>
  <c r="M1262" i="1" s="1"/>
  <c r="R1261" i="1"/>
  <c r="N1261" i="1"/>
  <c r="I1261" i="1"/>
  <c r="H1261" i="1" s="1"/>
  <c r="M1261" i="1" s="1"/>
  <c r="R1260" i="1"/>
  <c r="N1260" i="1"/>
  <c r="I1260" i="1"/>
  <c r="H1260" i="1" s="1"/>
  <c r="M1260" i="1" s="1"/>
  <c r="R1259" i="1"/>
  <c r="N1259" i="1"/>
  <c r="I1259" i="1"/>
  <c r="H1259" i="1" s="1"/>
  <c r="M1259" i="1" s="1"/>
  <c r="R1258" i="1"/>
  <c r="N1258" i="1"/>
  <c r="I1258" i="1"/>
  <c r="H1258" i="1" s="1"/>
  <c r="M1258" i="1" s="1"/>
  <c r="R1257" i="1"/>
  <c r="N1257" i="1"/>
  <c r="I1257" i="1"/>
  <c r="H1257" i="1" s="1"/>
  <c r="M1257" i="1" s="1"/>
  <c r="R1256" i="1"/>
  <c r="N1256" i="1"/>
  <c r="I1256" i="1"/>
  <c r="R1255" i="1"/>
  <c r="N1255" i="1"/>
  <c r="I1255" i="1"/>
  <c r="H1255" i="1" s="1"/>
  <c r="M1255" i="1" s="1"/>
  <c r="O1255" i="1" s="1"/>
  <c r="R1254" i="1"/>
  <c r="N1254" i="1"/>
  <c r="I1254" i="1"/>
  <c r="H1254" i="1" s="1"/>
  <c r="M1254" i="1" s="1"/>
  <c r="R1253" i="1"/>
  <c r="N1253" i="1"/>
  <c r="I1253" i="1"/>
  <c r="H1253" i="1" s="1"/>
  <c r="M1253" i="1" s="1"/>
  <c r="R1252" i="1"/>
  <c r="N1252" i="1"/>
  <c r="I1252" i="1"/>
  <c r="H1252" i="1" s="1"/>
  <c r="M1252" i="1" s="1"/>
  <c r="O1252" i="1" s="1"/>
  <c r="R1251" i="1"/>
  <c r="N1251" i="1"/>
  <c r="I1251" i="1"/>
  <c r="H1251" i="1" s="1"/>
  <c r="M1251" i="1" s="1"/>
  <c r="O1251" i="1" s="1"/>
  <c r="R1250" i="1"/>
  <c r="N1250" i="1"/>
  <c r="I1250" i="1"/>
  <c r="H1250" i="1" s="1"/>
  <c r="M1250" i="1" s="1"/>
  <c r="R1249" i="1"/>
  <c r="N1249" i="1"/>
  <c r="I1249" i="1"/>
  <c r="H1249" i="1" s="1"/>
  <c r="M1249" i="1" s="1"/>
  <c r="R1248" i="1"/>
  <c r="N1248" i="1"/>
  <c r="I1248" i="1"/>
  <c r="H1248" i="1" s="1"/>
  <c r="M1248" i="1" s="1"/>
  <c r="R1247" i="1"/>
  <c r="N1247" i="1"/>
  <c r="I1247" i="1"/>
  <c r="H1247" i="1" s="1"/>
  <c r="M1247" i="1" s="1"/>
  <c r="R1246" i="1"/>
  <c r="N1246" i="1"/>
  <c r="I1246" i="1"/>
  <c r="H1246" i="1" s="1"/>
  <c r="R1245" i="1"/>
  <c r="N1245" i="1"/>
  <c r="I1245" i="1"/>
  <c r="M1245" i="1" s="1"/>
  <c r="R1244" i="1"/>
  <c r="N1244" i="1"/>
  <c r="I1244" i="1"/>
  <c r="M1244" i="1" s="1"/>
  <c r="O1244" i="1" s="1"/>
  <c r="R1243" i="1"/>
  <c r="N1243" i="1"/>
  <c r="I1243" i="1"/>
  <c r="M1243" i="1" s="1"/>
  <c r="R1242" i="1"/>
  <c r="N1242" i="1"/>
  <c r="I1242" i="1"/>
  <c r="M1242" i="1" s="1"/>
  <c r="R1241" i="1"/>
  <c r="N1241" i="1"/>
  <c r="I1241" i="1"/>
  <c r="M1241" i="1" s="1"/>
  <c r="R1240" i="1"/>
  <c r="N1240" i="1"/>
  <c r="I1240" i="1"/>
  <c r="M1240" i="1" s="1"/>
  <c r="R1239" i="1"/>
  <c r="N1239" i="1"/>
  <c r="I1239" i="1"/>
  <c r="M1239" i="1" s="1"/>
  <c r="O1239" i="1" s="1"/>
  <c r="N1238" i="1"/>
  <c r="I1238" i="1"/>
  <c r="M1238" i="1" s="1"/>
  <c r="R1237" i="1"/>
  <c r="N1237" i="1"/>
  <c r="I1237" i="1"/>
  <c r="H1237" i="1" s="1"/>
  <c r="M1237" i="1" s="1"/>
  <c r="O1237" i="1" s="1"/>
  <c r="R1236" i="1"/>
  <c r="N1236" i="1"/>
  <c r="I1236" i="1"/>
  <c r="H1236" i="1" s="1"/>
  <c r="M1236" i="1" s="1"/>
  <c r="R1235" i="1"/>
  <c r="N1235" i="1"/>
  <c r="I1235" i="1"/>
  <c r="H1235" i="1" s="1"/>
  <c r="M1235" i="1" s="1"/>
  <c r="R1234" i="1"/>
  <c r="N1234" i="1"/>
  <c r="I1234" i="1"/>
  <c r="H1234" i="1" s="1"/>
  <c r="M1234" i="1" s="1"/>
  <c r="R1233" i="1"/>
  <c r="N1233" i="1"/>
  <c r="I1233" i="1"/>
  <c r="H1233" i="1" s="1"/>
  <c r="M1233" i="1" s="1"/>
  <c r="R1232" i="1"/>
  <c r="N1232" i="1"/>
  <c r="I1232" i="1"/>
  <c r="H1232" i="1" s="1"/>
  <c r="M1232" i="1" s="1"/>
  <c r="R1231" i="1"/>
  <c r="N1231" i="1"/>
  <c r="I1231" i="1"/>
  <c r="H1231" i="1" s="1"/>
  <c r="M1231" i="1" s="1"/>
  <c r="R1230" i="1"/>
  <c r="N1230" i="1"/>
  <c r="I1230" i="1"/>
  <c r="H1230" i="1" s="1"/>
  <c r="M1230" i="1" s="1"/>
  <c r="R1229" i="1"/>
  <c r="N1229" i="1"/>
  <c r="I1229" i="1"/>
  <c r="H1229" i="1" s="1"/>
  <c r="M1229" i="1" s="1"/>
  <c r="R1228" i="1"/>
  <c r="N1228" i="1"/>
  <c r="I1228" i="1"/>
  <c r="M1228" i="1" s="1"/>
  <c r="R1227" i="1"/>
  <c r="N1227" i="1"/>
  <c r="I1227" i="1"/>
  <c r="M1227" i="1" s="1"/>
  <c r="O1227" i="1" s="1"/>
  <c r="N1226" i="1"/>
  <c r="I1226" i="1"/>
  <c r="H1226" i="1" s="1"/>
  <c r="M1226" i="1" s="1"/>
  <c r="R1225" i="1"/>
  <c r="N1225" i="1"/>
  <c r="I1225" i="1"/>
  <c r="M1225" i="1" s="1"/>
  <c r="R1224" i="1"/>
  <c r="N1224" i="1"/>
  <c r="I1224" i="1"/>
  <c r="H1224" i="1" s="1"/>
  <c r="M1224" i="1" s="1"/>
  <c r="O1224" i="1" s="1"/>
  <c r="R1223" i="1"/>
  <c r="N1223" i="1"/>
  <c r="I1223" i="1"/>
  <c r="H1223" i="1" s="1"/>
  <c r="M1223" i="1" s="1"/>
  <c r="R1222" i="1"/>
  <c r="N1222" i="1"/>
  <c r="I1222" i="1"/>
  <c r="H1222" i="1"/>
  <c r="M1222" i="1" s="1"/>
  <c r="R1221" i="1"/>
  <c r="N1221" i="1"/>
  <c r="I1221" i="1"/>
  <c r="H1221" i="1" s="1"/>
  <c r="M1221" i="1" s="1"/>
  <c r="O1221" i="1" s="1"/>
  <c r="R1220" i="1"/>
  <c r="N1220" i="1"/>
  <c r="I1220" i="1"/>
  <c r="M1220" i="1" s="1"/>
  <c r="O1220" i="1" s="1"/>
  <c r="R1219" i="1"/>
  <c r="N1219" i="1"/>
  <c r="I1219" i="1"/>
  <c r="M1219" i="1" s="1"/>
  <c r="R1218" i="1"/>
  <c r="N1218" i="1"/>
  <c r="I1218" i="1"/>
  <c r="M1218" i="1" s="1"/>
  <c r="R1217" i="1"/>
  <c r="N1217" i="1"/>
  <c r="I1217" i="1"/>
  <c r="M1217" i="1" s="1"/>
  <c r="O1217" i="1" s="1"/>
  <c r="R1216" i="1"/>
  <c r="N1216" i="1"/>
  <c r="I1216" i="1"/>
  <c r="H1216" i="1" s="1"/>
  <c r="M1216" i="1" s="1"/>
  <c r="R1215" i="1"/>
  <c r="N1215" i="1"/>
  <c r="I1215" i="1"/>
  <c r="H1215" i="1" s="1"/>
  <c r="M1215" i="1" s="1"/>
  <c r="R1214" i="1"/>
  <c r="N1214" i="1"/>
  <c r="I1214" i="1"/>
  <c r="H1214" i="1" s="1"/>
  <c r="R1213" i="1"/>
  <c r="N1213" i="1"/>
  <c r="I1213" i="1"/>
  <c r="H1213" i="1" s="1"/>
  <c r="M1213" i="1" s="1"/>
  <c r="R1212" i="1"/>
  <c r="N1212" i="1"/>
  <c r="I1212" i="1"/>
  <c r="H1212" i="1" s="1"/>
  <c r="M1212" i="1" s="1"/>
  <c r="O1212" i="1" s="1"/>
  <c r="R1211" i="1"/>
  <c r="N1211" i="1"/>
  <c r="I1211" i="1"/>
  <c r="H1211" i="1" s="1"/>
  <c r="M1211" i="1" s="1"/>
  <c r="R1210" i="1"/>
  <c r="N1210" i="1"/>
  <c r="I1210" i="1"/>
  <c r="H1210" i="1" s="1"/>
  <c r="M1210" i="1" s="1"/>
  <c r="R1209" i="1"/>
  <c r="N1209" i="1"/>
  <c r="I1209" i="1"/>
  <c r="H1209" i="1" s="1"/>
  <c r="M1209" i="1" s="1"/>
  <c r="O1209" i="1" s="1"/>
  <c r="R1208" i="1"/>
  <c r="N1208" i="1"/>
  <c r="I1208" i="1"/>
  <c r="H1208" i="1" s="1"/>
  <c r="M1208" i="1" s="1"/>
  <c r="R1207" i="1"/>
  <c r="N1207" i="1"/>
  <c r="I1207" i="1"/>
  <c r="H1207" i="1" s="1"/>
  <c r="M1207" i="1" s="1"/>
  <c r="R1206" i="1"/>
  <c r="N1206" i="1"/>
  <c r="I1206" i="1"/>
  <c r="H1206" i="1" s="1"/>
  <c r="M1206" i="1" s="1"/>
  <c r="R1205" i="1"/>
  <c r="N1205" i="1"/>
  <c r="I1205" i="1"/>
  <c r="H1205" i="1" s="1"/>
  <c r="M1205" i="1" s="1"/>
  <c r="R1204" i="1"/>
  <c r="N1204" i="1"/>
  <c r="I1204" i="1"/>
  <c r="H1204" i="1" s="1"/>
  <c r="M1204" i="1" s="1"/>
  <c r="R1203" i="1"/>
  <c r="N1203" i="1"/>
  <c r="I1203" i="1"/>
  <c r="H1203" i="1" s="1"/>
  <c r="M1203" i="1" s="1"/>
  <c r="O1203" i="1" s="1"/>
  <c r="R1202" i="1"/>
  <c r="N1202" i="1"/>
  <c r="I1202" i="1"/>
  <c r="H1202" i="1" s="1"/>
  <c r="M1202" i="1" s="1"/>
  <c r="O1202" i="1" s="1"/>
  <c r="R1201" i="1"/>
  <c r="N1201" i="1"/>
  <c r="I1201" i="1"/>
  <c r="H1201" i="1" s="1"/>
  <c r="M1201" i="1" s="1"/>
  <c r="R1200" i="1"/>
  <c r="N1200" i="1"/>
  <c r="I1200" i="1"/>
  <c r="H1200" i="1" s="1"/>
  <c r="M1200" i="1" s="1"/>
  <c r="R1199" i="1"/>
  <c r="N1199" i="1"/>
  <c r="I1199" i="1"/>
  <c r="H1199" i="1" s="1"/>
  <c r="M1199" i="1" s="1"/>
  <c r="R1198" i="1"/>
  <c r="N1198" i="1"/>
  <c r="I1198" i="1"/>
  <c r="H1198" i="1" s="1"/>
  <c r="M1198" i="1" s="1"/>
  <c r="R1197" i="1"/>
  <c r="N1197" i="1"/>
  <c r="I1197" i="1"/>
  <c r="H1197" i="1" s="1"/>
  <c r="M1197" i="1" s="1"/>
  <c r="O1197" i="1" s="1"/>
  <c r="R1196" i="1"/>
  <c r="N1196" i="1"/>
  <c r="I1196" i="1"/>
  <c r="H1196" i="1" s="1"/>
  <c r="M1196" i="1" s="1"/>
  <c r="R1195" i="1"/>
  <c r="N1195" i="1"/>
  <c r="I1195" i="1"/>
  <c r="H1195" i="1" s="1"/>
  <c r="M1195" i="1" s="1"/>
  <c r="R1194" i="1"/>
  <c r="N1194" i="1"/>
  <c r="I1194" i="1"/>
  <c r="H1194" i="1" s="1"/>
  <c r="M1194" i="1" s="1"/>
  <c r="R1193" i="1"/>
  <c r="N1193" i="1"/>
  <c r="I1193" i="1"/>
  <c r="H1193" i="1" s="1"/>
  <c r="M1193" i="1" s="1"/>
  <c r="R1192" i="1"/>
  <c r="N1192" i="1"/>
  <c r="I1192" i="1"/>
  <c r="H1192" i="1" s="1"/>
  <c r="M1192" i="1" s="1"/>
  <c r="O1192" i="1" s="1"/>
  <c r="R1191" i="1"/>
  <c r="N1191" i="1"/>
  <c r="I1191" i="1"/>
  <c r="H1191" i="1"/>
  <c r="R1190" i="1"/>
  <c r="N1190" i="1"/>
  <c r="I1190" i="1"/>
  <c r="R1189" i="1"/>
  <c r="N1189" i="1"/>
  <c r="I1189" i="1"/>
  <c r="H1189" i="1" s="1"/>
  <c r="M1189" i="1" s="1"/>
  <c r="R1188" i="1"/>
  <c r="N1188" i="1"/>
  <c r="I1188" i="1"/>
  <c r="H1188" i="1" s="1"/>
  <c r="M1188" i="1" s="1"/>
  <c r="R1187" i="1"/>
  <c r="N1187" i="1"/>
  <c r="I1187" i="1"/>
  <c r="M1187" i="1" s="1"/>
  <c r="O1187" i="1" s="1"/>
  <c r="R1186" i="1"/>
  <c r="N1186" i="1"/>
  <c r="I1186" i="1"/>
  <c r="M1186" i="1" s="1"/>
  <c r="R1185" i="1"/>
  <c r="N1185" i="1"/>
  <c r="I1185" i="1"/>
  <c r="M1185" i="1" s="1"/>
  <c r="R1184" i="1"/>
  <c r="N1184" i="1"/>
  <c r="I1184" i="1"/>
  <c r="M1184" i="1" s="1"/>
  <c r="R1183" i="1"/>
  <c r="N1183" i="1"/>
  <c r="I1183" i="1"/>
  <c r="M1183" i="1" s="1"/>
  <c r="R1182" i="1"/>
  <c r="N1182" i="1"/>
  <c r="I1182" i="1"/>
  <c r="M1182" i="1" s="1"/>
  <c r="N1181" i="1"/>
  <c r="I1181" i="1"/>
  <c r="M1181" i="1" s="1"/>
  <c r="O1181" i="1" s="1"/>
  <c r="Q1181" i="1" s="1"/>
  <c r="R1181" i="1" s="1"/>
  <c r="N1180" i="1"/>
  <c r="I1180" i="1"/>
  <c r="H1180" i="1" s="1"/>
  <c r="M1180" i="1" s="1"/>
  <c r="N1179" i="1"/>
  <c r="I1179" i="1"/>
  <c r="H1179" i="1" s="1"/>
  <c r="M1179" i="1" s="1"/>
  <c r="N1178" i="1"/>
  <c r="I1178" i="1"/>
  <c r="H1178" i="1" s="1"/>
  <c r="N1177" i="1"/>
  <c r="I1177" i="1"/>
  <c r="M1177" i="1" s="1"/>
  <c r="R1176" i="1"/>
  <c r="N1176" i="1"/>
  <c r="I1176" i="1"/>
  <c r="H1176" i="1" s="1"/>
  <c r="M1176" i="1" s="1"/>
  <c r="R1175" i="1"/>
  <c r="N1175" i="1"/>
  <c r="I1175" i="1"/>
  <c r="M1175" i="1" s="1"/>
  <c r="R1174" i="1"/>
  <c r="N1174" i="1"/>
  <c r="I1174" i="1"/>
  <c r="M1174" i="1" s="1"/>
  <c r="R1173" i="1"/>
  <c r="N1173" i="1"/>
  <c r="I1173" i="1"/>
  <c r="H1173" i="1" s="1"/>
  <c r="M1173" i="1" s="1"/>
  <c r="R1172" i="1"/>
  <c r="N1172" i="1"/>
  <c r="I1172" i="1"/>
  <c r="H1172" i="1" s="1"/>
  <c r="M1172" i="1" s="1"/>
  <c r="R1171" i="1"/>
  <c r="N1171" i="1"/>
  <c r="I1171" i="1"/>
  <c r="H1171" i="1" s="1"/>
  <c r="M1171" i="1" s="1"/>
  <c r="R1170" i="1"/>
  <c r="N1170" i="1"/>
  <c r="I1170" i="1"/>
  <c r="H1170" i="1" s="1"/>
  <c r="M1170" i="1" s="1"/>
  <c r="O1170" i="1" s="1"/>
  <c r="R1169" i="1"/>
  <c r="N1169" i="1"/>
  <c r="I1169" i="1"/>
  <c r="H1169" i="1" s="1"/>
  <c r="M1169" i="1" s="1"/>
  <c r="R1168" i="1"/>
  <c r="N1168" i="1"/>
  <c r="I1168" i="1"/>
  <c r="H1168" i="1" s="1"/>
  <c r="M1168" i="1" s="1"/>
  <c r="O1168" i="1" s="1"/>
  <c r="R1167" i="1"/>
  <c r="N1167" i="1"/>
  <c r="I1167" i="1"/>
  <c r="H1167" i="1" s="1"/>
  <c r="M1167" i="1" s="1"/>
  <c r="R1166" i="1"/>
  <c r="N1166" i="1"/>
  <c r="I1166" i="1"/>
  <c r="H1166" i="1" s="1"/>
  <c r="R1165" i="1"/>
  <c r="N1165" i="1"/>
  <c r="I1165" i="1"/>
  <c r="M1165" i="1" s="1"/>
  <c r="R1164" i="1"/>
  <c r="N1164" i="1"/>
  <c r="I1164" i="1"/>
  <c r="M1164" i="1" s="1"/>
  <c r="N1163" i="1"/>
  <c r="I1163" i="1"/>
  <c r="H1163" i="1"/>
  <c r="M1163" i="1" s="1"/>
  <c r="O1163" i="1" s="1"/>
  <c r="N1162" i="1"/>
  <c r="I1162" i="1"/>
  <c r="M1162" i="1" s="1"/>
  <c r="N1161" i="1"/>
  <c r="I1161" i="1"/>
  <c r="M1161" i="1" s="1"/>
  <c r="Q1161" i="1" s="1"/>
  <c r="R1161" i="1" s="1"/>
  <c r="N1160" i="1"/>
  <c r="I1160" i="1"/>
  <c r="M1160" i="1" s="1"/>
  <c r="N1159" i="1"/>
  <c r="I1159" i="1"/>
  <c r="H1159" i="1" s="1"/>
  <c r="M1159" i="1" s="1"/>
  <c r="Q1159" i="1" s="1"/>
  <c r="R1159" i="1" s="1"/>
  <c r="N1158" i="1"/>
  <c r="I1158" i="1"/>
  <c r="H1158" i="1" s="1"/>
  <c r="M1158" i="1" s="1"/>
  <c r="N1157" i="1"/>
  <c r="I1157" i="1"/>
  <c r="H1157" i="1" s="1"/>
  <c r="N1156" i="1"/>
  <c r="I1156" i="1"/>
  <c r="M1156" i="1" s="1"/>
  <c r="N1155" i="1"/>
  <c r="I1155" i="1"/>
  <c r="M1155" i="1" s="1"/>
  <c r="Q1155" i="1" s="1"/>
  <c r="R1155" i="1" s="1"/>
  <c r="R1154" i="1"/>
  <c r="N1154" i="1"/>
  <c r="I1154" i="1"/>
  <c r="H1154" i="1" s="1"/>
  <c r="M1154" i="1" s="1"/>
  <c r="R1153" i="1"/>
  <c r="N1153" i="1"/>
  <c r="I1153" i="1"/>
  <c r="H1153" i="1" s="1"/>
  <c r="M1153" i="1" s="1"/>
  <c r="O1153" i="1" s="1"/>
  <c r="R1152" i="1"/>
  <c r="N1152" i="1"/>
  <c r="I1152" i="1"/>
  <c r="H1152" i="1" s="1"/>
  <c r="M1152" i="1" s="1"/>
  <c r="R1151" i="1"/>
  <c r="N1151" i="1"/>
  <c r="I1151" i="1"/>
  <c r="M1151" i="1" s="1"/>
  <c r="N1150" i="1"/>
  <c r="I1150" i="1"/>
  <c r="M1150" i="1" s="1"/>
  <c r="Q1150" i="1" s="1"/>
  <c r="R1150" i="1" s="1"/>
  <c r="N1149" i="1"/>
  <c r="I1149" i="1"/>
  <c r="M1149" i="1" s="1"/>
  <c r="N1148" i="1"/>
  <c r="I1148" i="1"/>
  <c r="H1148" i="1" s="1"/>
  <c r="M1148" i="1" s="1"/>
  <c r="R1147" i="1"/>
  <c r="N1147" i="1"/>
  <c r="I1147" i="1"/>
  <c r="H1147" i="1"/>
  <c r="M1147" i="1" s="1"/>
  <c r="N1146" i="1"/>
  <c r="I1146" i="1"/>
  <c r="H1146" i="1" s="1"/>
  <c r="M1146" i="1" s="1"/>
  <c r="N1145" i="1"/>
  <c r="I1145" i="1"/>
  <c r="H1145" i="1" s="1"/>
  <c r="R1144" i="1"/>
  <c r="N1144" i="1"/>
  <c r="I1144" i="1"/>
  <c r="H1144" i="1" s="1"/>
  <c r="M1144" i="1" s="1"/>
  <c r="O1144" i="1" s="1"/>
  <c r="N1143" i="1"/>
  <c r="I1143" i="1"/>
  <c r="H1143" i="1" s="1"/>
  <c r="M1143" i="1" s="1"/>
  <c r="R1142" i="1"/>
  <c r="N1142" i="1"/>
  <c r="I1142" i="1"/>
  <c r="H1142" i="1" s="1"/>
  <c r="M1142" i="1" s="1"/>
  <c r="N1141" i="1"/>
  <c r="I1141" i="1"/>
  <c r="N1140" i="1"/>
  <c r="I1140" i="1"/>
  <c r="M1140" i="1" s="1"/>
  <c r="N1139" i="1"/>
  <c r="I1139" i="1"/>
  <c r="M1139" i="1" s="1"/>
  <c r="N1138" i="1"/>
  <c r="I1138" i="1"/>
  <c r="M1138" i="1" s="1"/>
  <c r="N1137" i="1"/>
  <c r="I1137" i="1"/>
  <c r="M1137" i="1" s="1"/>
  <c r="O1137" i="1" s="1"/>
  <c r="Q1137" i="1" s="1"/>
  <c r="R1137" i="1" s="1"/>
  <c r="N1136" i="1"/>
  <c r="I1136" i="1"/>
  <c r="M1136" i="1" s="1"/>
  <c r="N1135" i="1"/>
  <c r="I1135" i="1"/>
  <c r="H1135" i="1" s="1"/>
  <c r="M1135" i="1" s="1"/>
  <c r="N1134" i="1"/>
  <c r="I1134" i="1"/>
  <c r="H1134" i="1" s="1"/>
  <c r="M1134" i="1" s="1"/>
  <c r="N1133" i="1"/>
  <c r="I1133" i="1"/>
  <c r="H1133" i="1" s="1"/>
  <c r="M1133" i="1" s="1"/>
  <c r="N1132" i="1"/>
  <c r="I1132" i="1"/>
  <c r="R1131" i="1"/>
  <c r="N1131" i="1"/>
  <c r="I1131" i="1"/>
  <c r="M1131" i="1" s="1"/>
  <c r="O1131" i="1" s="1"/>
  <c r="N1130" i="1"/>
  <c r="I1130" i="1"/>
  <c r="H1130" i="1" s="1"/>
  <c r="M1130" i="1" s="1"/>
  <c r="R1129" i="1"/>
  <c r="N1129" i="1"/>
  <c r="I1129" i="1"/>
  <c r="R1128" i="1"/>
  <c r="N1128" i="1"/>
  <c r="I1128" i="1"/>
  <c r="H1128" i="1" s="1"/>
  <c r="M1128" i="1" s="1"/>
  <c r="O1128" i="1" s="1"/>
  <c r="N1127" i="1"/>
  <c r="I1127" i="1"/>
  <c r="H1127" i="1" s="1"/>
  <c r="M1127" i="1" s="1"/>
  <c r="R1126" i="1"/>
  <c r="N1126" i="1"/>
  <c r="I1126" i="1"/>
  <c r="M1126" i="1" s="1"/>
  <c r="N1125" i="1"/>
  <c r="I1125" i="1"/>
  <c r="H1125" i="1" s="1"/>
  <c r="M1125" i="1" s="1"/>
  <c r="Q1125" i="1" s="1"/>
  <c r="R1125" i="1" s="1"/>
  <c r="R1124" i="1"/>
  <c r="N1124" i="1"/>
  <c r="I1124" i="1"/>
  <c r="M1124" i="1" s="1"/>
  <c r="O1124" i="1" s="1"/>
  <c r="N1123" i="1"/>
  <c r="I1123" i="1"/>
  <c r="H1123" i="1" s="1"/>
  <c r="M1123" i="1" s="1"/>
  <c r="N1122" i="1"/>
  <c r="I1122" i="1"/>
  <c r="H1122" i="1" s="1"/>
  <c r="M1122" i="1" s="1"/>
  <c r="O1122" i="1" s="1"/>
  <c r="N1121" i="1"/>
  <c r="I1121" i="1"/>
  <c r="H1121" i="1" s="1"/>
  <c r="M1121" i="1" s="1"/>
  <c r="O1121" i="1" s="1"/>
  <c r="N1120" i="1"/>
  <c r="I1120" i="1"/>
  <c r="H1120" i="1" s="1"/>
  <c r="M1120" i="1" s="1"/>
  <c r="N1119" i="1"/>
  <c r="I1119" i="1"/>
  <c r="H1119" i="1" s="1"/>
  <c r="M1119" i="1" s="1"/>
  <c r="O1119" i="1" s="1"/>
  <c r="N1118" i="1"/>
  <c r="I1118" i="1"/>
  <c r="H1118" i="1" s="1"/>
  <c r="M1118" i="1" s="1"/>
  <c r="N1117" i="1"/>
  <c r="I1117" i="1"/>
  <c r="H1117" i="1" s="1"/>
  <c r="M1117" i="1" s="1"/>
  <c r="N1116" i="1"/>
  <c r="I1116" i="1"/>
  <c r="H1116" i="1" s="1"/>
  <c r="M1116" i="1" s="1"/>
  <c r="N1115" i="1"/>
  <c r="I1115" i="1"/>
  <c r="H1115" i="1" s="1"/>
  <c r="M1115" i="1" s="1"/>
  <c r="N1114" i="1"/>
  <c r="I1114" i="1"/>
  <c r="H1114" i="1" s="1"/>
  <c r="M1114" i="1" s="1"/>
  <c r="N1113" i="1"/>
  <c r="I1113" i="1"/>
  <c r="H1113" i="1" s="1"/>
  <c r="M1113" i="1" s="1"/>
  <c r="N1112" i="1"/>
  <c r="I1112" i="1"/>
  <c r="H1112" i="1" s="1"/>
  <c r="M1112" i="1" s="1"/>
  <c r="N1111" i="1"/>
  <c r="I1111" i="1"/>
  <c r="H1111" i="1" s="1"/>
  <c r="M1111" i="1" s="1"/>
  <c r="N1110" i="1"/>
  <c r="I1110" i="1"/>
  <c r="H1110" i="1" s="1"/>
  <c r="M1110" i="1" s="1"/>
  <c r="N1109" i="1"/>
  <c r="I1109" i="1"/>
  <c r="H1109" i="1" s="1"/>
  <c r="M1109" i="1" s="1"/>
  <c r="N1108" i="1"/>
  <c r="I1108" i="1"/>
  <c r="H1108" i="1" s="1"/>
  <c r="M1108" i="1" s="1"/>
  <c r="N1107" i="1"/>
  <c r="I1107" i="1"/>
  <c r="H1107" i="1" s="1"/>
  <c r="M1107" i="1" s="1"/>
  <c r="N1106" i="1"/>
  <c r="I1106" i="1"/>
  <c r="H1106" i="1" s="1"/>
  <c r="M1106" i="1" s="1"/>
  <c r="Q1106" i="1" s="1"/>
  <c r="R1106" i="1" s="1"/>
  <c r="N1105" i="1"/>
  <c r="I1105" i="1"/>
  <c r="M1105" i="1" s="1"/>
  <c r="O1105" i="1" s="1"/>
  <c r="N1104" i="1"/>
  <c r="I1104" i="1"/>
  <c r="M1104" i="1" s="1"/>
  <c r="Q1104" i="1" s="1"/>
  <c r="R1104" i="1" s="1"/>
  <c r="N1103" i="1"/>
  <c r="I1103" i="1"/>
  <c r="M1103" i="1" s="1"/>
  <c r="Q1103" i="1" s="1"/>
  <c r="R1103" i="1" s="1"/>
  <c r="N1102" i="1"/>
  <c r="I1102" i="1"/>
  <c r="M1102" i="1" s="1"/>
  <c r="N1101" i="1"/>
  <c r="I1101" i="1"/>
  <c r="H1101" i="1" s="1"/>
  <c r="M1101" i="1" s="1"/>
  <c r="N1100" i="1"/>
  <c r="I1100" i="1"/>
  <c r="H1100" i="1" s="1"/>
  <c r="M1100" i="1" s="1"/>
  <c r="Q1100" i="1" s="1"/>
  <c r="R1100" i="1" s="1"/>
  <c r="R1099" i="1"/>
  <c r="N1099" i="1"/>
  <c r="I1099" i="1"/>
  <c r="H1099" i="1" s="1"/>
  <c r="M1099" i="1" s="1"/>
  <c r="N1098" i="1"/>
  <c r="I1098" i="1"/>
  <c r="H1098" i="1" s="1"/>
  <c r="M1098" i="1" s="1"/>
  <c r="Q1098" i="1" s="1"/>
  <c r="R1098" i="1" s="1"/>
  <c r="N1097" i="1"/>
  <c r="I1097" i="1"/>
  <c r="H1097" i="1" s="1"/>
  <c r="M1097" i="1" s="1"/>
  <c r="N1096" i="1"/>
  <c r="I1096" i="1"/>
  <c r="H1096" i="1" s="1"/>
  <c r="M1096" i="1" s="1"/>
  <c r="Q1096" i="1" s="1"/>
  <c r="R1096" i="1" s="1"/>
  <c r="N1095" i="1"/>
  <c r="I1095" i="1"/>
  <c r="M1095" i="1" s="1"/>
  <c r="R1094" i="1"/>
  <c r="N1094" i="1"/>
  <c r="I1094" i="1"/>
  <c r="M1094" i="1" s="1"/>
  <c r="O1094" i="1" s="1"/>
  <c r="N1093" i="1"/>
  <c r="I1093" i="1"/>
  <c r="M1093" i="1" s="1"/>
  <c r="Q1093" i="1" s="1"/>
  <c r="R1093" i="1" s="1"/>
  <c r="N1092" i="1"/>
  <c r="I1092" i="1"/>
  <c r="M1092" i="1" s="1"/>
  <c r="R1091" i="1"/>
  <c r="N1091" i="1"/>
  <c r="I1091" i="1"/>
  <c r="M1091" i="1" s="1"/>
  <c r="O1091" i="1" s="1"/>
  <c r="R1090" i="1"/>
  <c r="N1090" i="1"/>
  <c r="I1090" i="1"/>
  <c r="H1090" i="1"/>
  <c r="N1089" i="1"/>
  <c r="I1089" i="1"/>
  <c r="H1089" i="1" s="1"/>
  <c r="M1089" i="1" s="1"/>
  <c r="N1088" i="1"/>
  <c r="I1088" i="1"/>
  <c r="M1088" i="1" s="1"/>
  <c r="N1087" i="1"/>
  <c r="I1087" i="1"/>
  <c r="M1087" i="1" s="1"/>
  <c r="Q1087" i="1" s="1"/>
  <c r="R1087" i="1" s="1"/>
  <c r="R1086" i="1"/>
  <c r="N1086" i="1"/>
  <c r="I1086" i="1"/>
  <c r="N1085" i="1"/>
  <c r="I1085" i="1"/>
  <c r="H1085" i="1" s="1"/>
  <c r="M1085" i="1" s="1"/>
  <c r="Q1085" i="1" s="1"/>
  <c r="R1085" i="1" s="1"/>
  <c r="N1084" i="1"/>
  <c r="I1084" i="1"/>
  <c r="H1084" i="1" s="1"/>
  <c r="M1084" i="1" s="1"/>
  <c r="N1083" i="1"/>
  <c r="I1083" i="1"/>
  <c r="H1083" i="1" s="1"/>
  <c r="M1083" i="1" s="1"/>
  <c r="N1082" i="1"/>
  <c r="I1082" i="1"/>
  <c r="H1082" i="1" s="1"/>
  <c r="M1082" i="1" s="1"/>
  <c r="N1081" i="1"/>
  <c r="I1081" i="1"/>
  <c r="H1081" i="1" s="1"/>
  <c r="M1081" i="1" s="1"/>
  <c r="Q1081" i="1" s="1"/>
  <c r="R1081" i="1" s="1"/>
  <c r="N1080" i="1"/>
  <c r="I1080" i="1"/>
  <c r="M1080" i="1" s="1"/>
  <c r="Q1080" i="1" s="1"/>
  <c r="R1080" i="1" s="1"/>
  <c r="N1079" i="1"/>
  <c r="I1079" i="1"/>
  <c r="M1079" i="1" s="1"/>
  <c r="Q1079" i="1" s="1"/>
  <c r="R1079" i="1" s="1"/>
  <c r="N1078" i="1"/>
  <c r="I1078" i="1"/>
  <c r="M1078" i="1" s="1"/>
  <c r="N1077" i="1"/>
  <c r="I1077" i="1"/>
  <c r="H1077" i="1" s="1"/>
  <c r="M1077" i="1" s="1"/>
  <c r="N1076" i="1"/>
  <c r="I1076" i="1"/>
  <c r="H1076" i="1" s="1"/>
  <c r="M1076" i="1" s="1"/>
  <c r="O1076" i="1" s="1"/>
  <c r="N1075" i="1"/>
  <c r="I1075" i="1"/>
  <c r="H1075" i="1" s="1"/>
  <c r="N1074" i="1"/>
  <c r="I1074" i="1"/>
  <c r="H1074" i="1" s="1"/>
  <c r="M1074" i="1" s="1"/>
  <c r="N1073" i="1"/>
  <c r="I1073" i="1"/>
  <c r="H1073" i="1" s="1"/>
  <c r="M1073" i="1" s="1"/>
  <c r="Q1073" i="1" s="1"/>
  <c r="R1073" i="1" s="1"/>
  <c r="N1072" i="1"/>
  <c r="I1072" i="1"/>
  <c r="H1072" i="1" s="1"/>
  <c r="M1072" i="1" s="1"/>
  <c r="N1071" i="1"/>
  <c r="I1071" i="1"/>
  <c r="M1071" i="1" s="1"/>
  <c r="Q1071" i="1" s="1"/>
  <c r="R1071" i="1" s="1"/>
  <c r="N1070" i="1"/>
  <c r="I1070" i="1"/>
  <c r="M1070" i="1" s="1"/>
  <c r="O1070" i="1" s="1"/>
  <c r="R1069" i="1"/>
  <c r="N1069" i="1"/>
  <c r="I1069" i="1"/>
  <c r="M1069" i="1" s="1"/>
  <c r="N1068" i="1"/>
  <c r="I1068" i="1"/>
  <c r="H1068" i="1" s="1"/>
  <c r="M1068" i="1" s="1"/>
  <c r="Q1068" i="1" s="1"/>
  <c r="R1068" i="1" s="1"/>
  <c r="N1067" i="1"/>
  <c r="I1067" i="1"/>
  <c r="H1067" i="1" s="1"/>
  <c r="M1067" i="1" s="1"/>
  <c r="O1067" i="1" s="1"/>
  <c r="N1066" i="1"/>
  <c r="I1066" i="1"/>
  <c r="H1066" i="1" s="1"/>
  <c r="M1066" i="1" s="1"/>
  <c r="Q1066" i="1" s="1"/>
  <c r="R1066" i="1" s="1"/>
  <c r="N1065" i="1"/>
  <c r="I1065" i="1"/>
  <c r="N1064" i="1"/>
  <c r="I1064" i="1"/>
  <c r="H1064" i="1" s="1"/>
  <c r="M1064" i="1" s="1"/>
  <c r="Q1064" i="1" s="1"/>
  <c r="R1064" i="1" s="1"/>
  <c r="N1063" i="1"/>
  <c r="I1063" i="1"/>
  <c r="M1063" i="1" s="1"/>
  <c r="N1062" i="1"/>
  <c r="I1062" i="1"/>
  <c r="M1062" i="1" s="1"/>
  <c r="N1061" i="1"/>
  <c r="I1061" i="1"/>
  <c r="H1061" i="1" s="1"/>
  <c r="M1061" i="1" s="1"/>
  <c r="O1061" i="1" s="1"/>
  <c r="N1060" i="1"/>
  <c r="I1060" i="1"/>
  <c r="H1060" i="1" s="1"/>
  <c r="M1060" i="1" s="1"/>
  <c r="Q1060" i="1" s="1"/>
  <c r="R1060" i="1" s="1"/>
  <c r="N1059" i="1"/>
  <c r="I1059" i="1"/>
  <c r="N1058" i="1"/>
  <c r="I1058" i="1"/>
  <c r="N1057" i="1"/>
  <c r="I1057" i="1"/>
  <c r="H1057" i="1" s="1"/>
  <c r="M1057" i="1" s="1"/>
  <c r="N1056" i="1"/>
  <c r="I1056" i="1"/>
  <c r="H1056" i="1" s="1"/>
  <c r="M1056" i="1" s="1"/>
  <c r="N1055" i="1"/>
  <c r="I1055" i="1"/>
  <c r="H1055" i="1" s="1"/>
  <c r="M1055" i="1" s="1"/>
  <c r="Q1055" i="1" s="1"/>
  <c r="R1055" i="1" s="1"/>
  <c r="N1054" i="1"/>
  <c r="I1054" i="1"/>
  <c r="M1054" i="1" s="1"/>
  <c r="N1053" i="1"/>
  <c r="I1053" i="1"/>
  <c r="M1053" i="1" s="1"/>
  <c r="N1052" i="1"/>
  <c r="I1052" i="1"/>
  <c r="H1052" i="1" s="1"/>
  <c r="M1052" i="1" s="1"/>
  <c r="R1051" i="1"/>
  <c r="N1051" i="1"/>
  <c r="I1051" i="1"/>
  <c r="H1051" i="1" s="1"/>
  <c r="M1051" i="1" s="1"/>
  <c r="R1050" i="1"/>
  <c r="N1050" i="1"/>
  <c r="I1050" i="1"/>
  <c r="H1050" i="1" s="1"/>
  <c r="M1050" i="1" s="1"/>
  <c r="R1049" i="1"/>
  <c r="N1049" i="1"/>
  <c r="I1049" i="1"/>
  <c r="H1049" i="1" s="1"/>
  <c r="M1049" i="1" s="1"/>
  <c r="R1048" i="1"/>
  <c r="N1048" i="1"/>
  <c r="I1048" i="1"/>
  <c r="H1048" i="1" s="1"/>
  <c r="M1048" i="1" s="1"/>
  <c r="R1047" i="1"/>
  <c r="N1047" i="1"/>
  <c r="I1047" i="1"/>
  <c r="H1047" i="1" s="1"/>
  <c r="M1047" i="1" s="1"/>
  <c r="R1046" i="1"/>
  <c r="N1046" i="1"/>
  <c r="I1046" i="1"/>
  <c r="H1046" i="1" s="1"/>
  <c r="M1046" i="1" s="1"/>
  <c r="O1046" i="1" s="1"/>
  <c r="R1045" i="1"/>
  <c r="N1045" i="1"/>
  <c r="I1045" i="1"/>
  <c r="H1045" i="1" s="1"/>
  <c r="M1045" i="1" s="1"/>
  <c r="R1044" i="1"/>
  <c r="N1044" i="1"/>
  <c r="I1044" i="1"/>
  <c r="H1044" i="1" s="1"/>
  <c r="M1044" i="1" s="1"/>
  <c r="R1043" i="1"/>
  <c r="N1043" i="1"/>
  <c r="I1043" i="1"/>
  <c r="M1043" i="1" s="1"/>
  <c r="R1042" i="1"/>
  <c r="N1042" i="1"/>
  <c r="I1042" i="1"/>
  <c r="M1042" i="1" s="1"/>
  <c r="R1041" i="1"/>
  <c r="N1041" i="1"/>
  <c r="I1041" i="1"/>
  <c r="M1041" i="1" s="1"/>
  <c r="R1040" i="1"/>
  <c r="N1040" i="1"/>
  <c r="I1040" i="1"/>
  <c r="M1040" i="1" s="1"/>
  <c r="R1039" i="1"/>
  <c r="N1039" i="1"/>
  <c r="I1039" i="1"/>
  <c r="M1039" i="1" s="1"/>
  <c r="O1039" i="1" s="1"/>
  <c r="R1038" i="1"/>
  <c r="N1038" i="1"/>
  <c r="I1038" i="1"/>
  <c r="M1038" i="1" s="1"/>
  <c r="R1037" i="1"/>
  <c r="N1037" i="1"/>
  <c r="I1037" i="1"/>
  <c r="M1037" i="1" s="1"/>
  <c r="R1036" i="1"/>
  <c r="N1036" i="1"/>
  <c r="I1036" i="1"/>
  <c r="H1036" i="1" s="1"/>
  <c r="M1036" i="1" s="1"/>
  <c r="R1035" i="1"/>
  <c r="N1035" i="1"/>
  <c r="I1035" i="1"/>
  <c r="H1035" i="1" s="1"/>
  <c r="M1035" i="1" s="1"/>
  <c r="R1034" i="1"/>
  <c r="N1034" i="1"/>
  <c r="I1034" i="1"/>
  <c r="H1034" i="1" s="1"/>
  <c r="M1034" i="1" s="1"/>
  <c r="R1033" i="1"/>
  <c r="N1033" i="1"/>
  <c r="I1033" i="1"/>
  <c r="H1033" i="1" s="1"/>
  <c r="M1033" i="1" s="1"/>
  <c r="R1032" i="1"/>
  <c r="N1032" i="1"/>
  <c r="I1032" i="1"/>
  <c r="H1032" i="1"/>
  <c r="M1032" i="1" s="1"/>
  <c r="R1031" i="1"/>
  <c r="N1031" i="1"/>
  <c r="I1031" i="1"/>
  <c r="H1031" i="1" s="1"/>
  <c r="M1031" i="1" s="1"/>
  <c r="R1030" i="1"/>
  <c r="N1030" i="1"/>
  <c r="I1030" i="1"/>
  <c r="H1030" i="1" s="1"/>
  <c r="M1030" i="1" s="1"/>
  <c r="R1029" i="1"/>
  <c r="N1029" i="1"/>
  <c r="I1029" i="1"/>
  <c r="H1029" i="1" s="1"/>
  <c r="M1029" i="1" s="1"/>
  <c r="R1028" i="1"/>
  <c r="N1028" i="1"/>
  <c r="I1028" i="1"/>
  <c r="H1028" i="1" s="1"/>
  <c r="M1028" i="1" s="1"/>
  <c r="R1027" i="1"/>
  <c r="N1027" i="1"/>
  <c r="I1027" i="1"/>
  <c r="H1027" i="1" s="1"/>
  <c r="M1027" i="1" s="1"/>
  <c r="R1026" i="1"/>
  <c r="N1026" i="1"/>
  <c r="I1026" i="1"/>
  <c r="H1026" i="1" s="1"/>
  <c r="M1026" i="1" s="1"/>
  <c r="O1026" i="1" s="1"/>
  <c r="R1025" i="1"/>
  <c r="N1025" i="1"/>
  <c r="I1025" i="1"/>
  <c r="H1025" i="1" s="1"/>
  <c r="M1025" i="1" s="1"/>
  <c r="R1024" i="1"/>
  <c r="N1024" i="1"/>
  <c r="I1024" i="1"/>
  <c r="H1024" i="1" s="1"/>
  <c r="M1024" i="1" s="1"/>
  <c r="R1023" i="1"/>
  <c r="N1023" i="1"/>
  <c r="I1023" i="1"/>
  <c r="H1023" i="1" s="1"/>
  <c r="M1023" i="1" s="1"/>
  <c r="R1022" i="1"/>
  <c r="N1022" i="1"/>
  <c r="I1022" i="1"/>
  <c r="H1022" i="1" s="1"/>
  <c r="M1022" i="1" s="1"/>
  <c r="R1021" i="1"/>
  <c r="N1021" i="1"/>
  <c r="I1021" i="1"/>
  <c r="H1021" i="1"/>
  <c r="M1021" i="1" s="1"/>
  <c r="O1021" i="1" s="1"/>
  <c r="R1020" i="1"/>
  <c r="N1020" i="1"/>
  <c r="I1020" i="1"/>
  <c r="H1020" i="1" s="1"/>
  <c r="M1020" i="1" s="1"/>
  <c r="R1019" i="1"/>
  <c r="N1019" i="1"/>
  <c r="I1019" i="1"/>
  <c r="H1019" i="1" s="1"/>
  <c r="M1019" i="1" s="1"/>
  <c r="O1019" i="1" s="1"/>
  <c r="R1018" i="1"/>
  <c r="N1018" i="1"/>
  <c r="I1018" i="1"/>
  <c r="H1018" i="1" s="1"/>
  <c r="M1018" i="1" s="1"/>
  <c r="R1017" i="1"/>
  <c r="N1017" i="1"/>
  <c r="I1017" i="1"/>
  <c r="H1017" i="1" s="1"/>
  <c r="M1017" i="1" s="1"/>
  <c r="O1017" i="1" s="1"/>
  <c r="R1016" i="1"/>
  <c r="N1016" i="1"/>
  <c r="I1016" i="1"/>
  <c r="H1016" i="1" s="1"/>
  <c r="M1016" i="1" s="1"/>
  <c r="R1015" i="1"/>
  <c r="N1015" i="1"/>
  <c r="I1015" i="1"/>
  <c r="H1015" i="1" s="1"/>
  <c r="M1015" i="1" s="1"/>
  <c r="R1014" i="1"/>
  <c r="N1014" i="1"/>
  <c r="I1014" i="1"/>
  <c r="H1014" i="1" s="1"/>
  <c r="M1014" i="1" s="1"/>
  <c r="O1014" i="1" s="1"/>
  <c r="R1013" i="1"/>
  <c r="N1013" i="1"/>
  <c r="I1013" i="1"/>
  <c r="H1013" i="1" s="1"/>
  <c r="M1013" i="1" s="1"/>
  <c r="R1012" i="1"/>
  <c r="N1012" i="1"/>
  <c r="I1012" i="1"/>
  <c r="H1012" i="1" s="1"/>
  <c r="M1012" i="1" s="1"/>
  <c r="O1012" i="1" s="1"/>
  <c r="R1011" i="1"/>
  <c r="N1011" i="1"/>
  <c r="I1011" i="1"/>
  <c r="H1011" i="1" s="1"/>
  <c r="M1011" i="1" s="1"/>
  <c r="R1010" i="1"/>
  <c r="N1010" i="1"/>
  <c r="I1010" i="1"/>
  <c r="H1010" i="1" s="1"/>
  <c r="M1010" i="1" s="1"/>
  <c r="R1009" i="1"/>
  <c r="N1009" i="1"/>
  <c r="I1009" i="1"/>
  <c r="H1009" i="1" s="1"/>
  <c r="M1009" i="1" s="1"/>
  <c r="O1009" i="1" s="1"/>
  <c r="R1008" i="1"/>
  <c r="N1008" i="1"/>
  <c r="I1008" i="1"/>
  <c r="H1008" i="1" s="1"/>
  <c r="M1008" i="1" s="1"/>
  <c r="R1007" i="1"/>
  <c r="N1007" i="1"/>
  <c r="I1007" i="1"/>
  <c r="H1007" i="1" s="1"/>
  <c r="R1006" i="1"/>
  <c r="N1006" i="1"/>
  <c r="I1006" i="1"/>
  <c r="H1006" i="1" s="1"/>
  <c r="M1006" i="1" s="1"/>
  <c r="R1005" i="1"/>
  <c r="N1005" i="1"/>
  <c r="I1005" i="1"/>
  <c r="H1005" i="1" s="1"/>
  <c r="M1005" i="1" s="1"/>
  <c r="R1004" i="1"/>
  <c r="N1004" i="1"/>
  <c r="I1004" i="1"/>
  <c r="H1004" i="1" s="1"/>
  <c r="M1004" i="1" s="1"/>
  <c r="R1003" i="1"/>
  <c r="N1003" i="1"/>
  <c r="I1003" i="1"/>
  <c r="H1003" i="1" s="1"/>
  <c r="M1003" i="1" s="1"/>
  <c r="R1002" i="1"/>
  <c r="N1002" i="1"/>
  <c r="I1002" i="1"/>
  <c r="H1002" i="1" s="1"/>
  <c r="M1002" i="1" s="1"/>
  <c r="R1001" i="1"/>
  <c r="N1001" i="1"/>
  <c r="I1001" i="1"/>
  <c r="R1000" i="1"/>
  <c r="N1000" i="1"/>
  <c r="I1000" i="1"/>
  <c r="H1000" i="1" s="1"/>
  <c r="M1000" i="1" s="1"/>
  <c r="R999" i="1"/>
  <c r="N999" i="1"/>
  <c r="I999" i="1"/>
  <c r="H999" i="1" s="1"/>
  <c r="M999" i="1" s="1"/>
  <c r="O999" i="1" s="1"/>
  <c r="R998" i="1"/>
  <c r="N998" i="1"/>
  <c r="I998" i="1"/>
  <c r="H998" i="1" s="1"/>
  <c r="M998" i="1" s="1"/>
  <c r="R997" i="1"/>
  <c r="N997" i="1"/>
  <c r="I997" i="1"/>
  <c r="H997" i="1" s="1"/>
  <c r="M997" i="1" s="1"/>
  <c r="R996" i="1"/>
  <c r="N996" i="1"/>
  <c r="I996" i="1"/>
  <c r="H996" i="1" s="1"/>
  <c r="M996" i="1" s="1"/>
  <c r="R995" i="1"/>
  <c r="N995" i="1"/>
  <c r="I995" i="1"/>
  <c r="H995" i="1" s="1"/>
  <c r="M995" i="1" s="1"/>
  <c r="R994" i="1"/>
  <c r="N994" i="1"/>
  <c r="I994" i="1"/>
  <c r="R993" i="1"/>
  <c r="N993" i="1"/>
  <c r="I993" i="1"/>
  <c r="H993" i="1" s="1"/>
  <c r="M993" i="1" s="1"/>
  <c r="R992" i="1"/>
  <c r="N992" i="1"/>
  <c r="I992" i="1"/>
  <c r="H992" i="1" s="1"/>
  <c r="M992" i="1" s="1"/>
  <c r="R991" i="1"/>
  <c r="N991" i="1"/>
  <c r="I991" i="1"/>
  <c r="H991" i="1" s="1"/>
  <c r="M991" i="1" s="1"/>
  <c r="R990" i="1"/>
  <c r="N990" i="1"/>
  <c r="I990" i="1"/>
  <c r="R989" i="1"/>
  <c r="N989" i="1"/>
  <c r="I989" i="1"/>
  <c r="H989" i="1" s="1"/>
  <c r="M989" i="1" s="1"/>
  <c r="R988" i="1"/>
  <c r="N988" i="1"/>
  <c r="I988" i="1"/>
  <c r="H988" i="1" s="1"/>
  <c r="M988" i="1" s="1"/>
  <c r="R987" i="1"/>
  <c r="N987" i="1"/>
  <c r="I987" i="1"/>
  <c r="H987" i="1" s="1"/>
  <c r="M987" i="1" s="1"/>
  <c r="R986" i="1"/>
  <c r="N986" i="1"/>
  <c r="I986" i="1"/>
  <c r="H986" i="1" s="1"/>
  <c r="M986" i="1" s="1"/>
  <c r="R985" i="1"/>
  <c r="N985" i="1"/>
  <c r="I985" i="1"/>
  <c r="H985" i="1" s="1"/>
  <c r="M985" i="1" s="1"/>
  <c r="O985" i="1" s="1"/>
  <c r="R984" i="1"/>
  <c r="N984" i="1"/>
  <c r="I984" i="1"/>
  <c r="H984" i="1" s="1"/>
  <c r="M984" i="1" s="1"/>
  <c r="R983" i="1"/>
  <c r="N983" i="1"/>
  <c r="I983" i="1"/>
  <c r="H983" i="1" s="1"/>
  <c r="M983" i="1" s="1"/>
  <c r="R982" i="1"/>
  <c r="N982" i="1"/>
  <c r="I982" i="1"/>
  <c r="H982" i="1" s="1"/>
  <c r="M982" i="1" s="1"/>
  <c r="R981" i="1"/>
  <c r="N981" i="1"/>
  <c r="I981" i="1"/>
  <c r="H981" i="1" s="1"/>
  <c r="M981" i="1" s="1"/>
  <c r="R980" i="1"/>
  <c r="N980" i="1"/>
  <c r="I980" i="1"/>
  <c r="H980" i="1" s="1"/>
  <c r="M980" i="1" s="1"/>
  <c r="R979" i="1"/>
  <c r="N979" i="1"/>
  <c r="I979" i="1"/>
  <c r="R978" i="1"/>
  <c r="N978" i="1"/>
  <c r="I978" i="1"/>
  <c r="R977" i="1"/>
  <c r="N977" i="1"/>
  <c r="I977" i="1"/>
  <c r="H977" i="1"/>
  <c r="M977" i="1" s="1"/>
  <c r="O977" i="1" s="1"/>
  <c r="R976" i="1"/>
  <c r="N976" i="1"/>
  <c r="I976" i="1"/>
  <c r="H976" i="1" s="1"/>
  <c r="M976" i="1" s="1"/>
  <c r="R975" i="1"/>
  <c r="N975" i="1"/>
  <c r="I975" i="1"/>
  <c r="H975" i="1" s="1"/>
  <c r="R974" i="1"/>
  <c r="N974" i="1"/>
  <c r="I974" i="1"/>
  <c r="R973" i="1"/>
  <c r="N973" i="1"/>
  <c r="I973" i="1"/>
  <c r="M973" i="1" s="1"/>
  <c r="R972" i="1"/>
  <c r="N972" i="1"/>
  <c r="I972" i="1"/>
  <c r="M972" i="1" s="1"/>
  <c r="R971" i="1"/>
  <c r="N971" i="1"/>
  <c r="I971" i="1"/>
  <c r="M971" i="1" s="1"/>
  <c r="R970" i="1"/>
  <c r="N970" i="1"/>
  <c r="I970" i="1"/>
  <c r="M970" i="1" s="1"/>
  <c r="R969" i="1"/>
  <c r="N969" i="1"/>
  <c r="I969" i="1"/>
  <c r="M969" i="1" s="1"/>
  <c r="R968" i="1"/>
  <c r="N968" i="1"/>
  <c r="I968" i="1"/>
  <c r="M968" i="1" s="1"/>
  <c r="R967" i="1"/>
  <c r="N967" i="1"/>
  <c r="I967" i="1"/>
  <c r="M967" i="1" s="1"/>
  <c r="O967" i="1" s="1"/>
  <c r="R966" i="1"/>
  <c r="N966" i="1"/>
  <c r="I966" i="1"/>
  <c r="M966" i="1" s="1"/>
  <c r="R965" i="1"/>
  <c r="N965" i="1"/>
  <c r="I965" i="1"/>
  <c r="M965" i="1" s="1"/>
  <c r="R964" i="1"/>
  <c r="N964" i="1"/>
  <c r="I964" i="1"/>
  <c r="M964" i="1" s="1"/>
  <c r="R963" i="1"/>
  <c r="N963" i="1"/>
  <c r="I963" i="1"/>
  <c r="R962" i="1"/>
  <c r="N962" i="1"/>
  <c r="I962" i="1"/>
  <c r="M962" i="1" s="1"/>
  <c r="O962" i="1" s="1"/>
  <c r="R961" i="1"/>
  <c r="N961" i="1"/>
  <c r="I961" i="1"/>
  <c r="M961" i="1" s="1"/>
  <c r="R960" i="1"/>
  <c r="N960" i="1"/>
  <c r="I960" i="1"/>
  <c r="M960" i="1" s="1"/>
  <c r="R959" i="1"/>
  <c r="N959" i="1"/>
  <c r="I959" i="1"/>
  <c r="M959" i="1" s="1"/>
  <c r="N958" i="1"/>
  <c r="I958" i="1"/>
  <c r="M958" i="1" s="1"/>
  <c r="N957" i="1"/>
  <c r="I957" i="1"/>
  <c r="H957" i="1" s="1"/>
  <c r="M957" i="1" s="1"/>
  <c r="N956" i="1"/>
  <c r="I956" i="1"/>
  <c r="H956" i="1" s="1"/>
  <c r="M956" i="1" s="1"/>
  <c r="N955" i="1"/>
  <c r="I955" i="1"/>
  <c r="H955" i="1" s="1"/>
  <c r="M955" i="1" s="1"/>
  <c r="N954" i="1"/>
  <c r="I954" i="1"/>
  <c r="H954" i="1" s="1"/>
  <c r="M954" i="1" s="1"/>
  <c r="Q954" i="1" s="1"/>
  <c r="R954" i="1" s="1"/>
  <c r="N953" i="1"/>
  <c r="I953" i="1"/>
  <c r="H953" i="1" s="1"/>
  <c r="M953" i="1" s="1"/>
  <c r="N952" i="1"/>
  <c r="I952" i="1"/>
  <c r="H952" i="1" s="1"/>
  <c r="M952" i="1" s="1"/>
  <c r="Q952" i="1" s="1"/>
  <c r="R952" i="1" s="1"/>
  <c r="R951" i="1"/>
  <c r="N951" i="1"/>
  <c r="I951" i="1"/>
  <c r="H951" i="1" s="1"/>
  <c r="R950" i="1"/>
  <c r="N950" i="1"/>
  <c r="I950" i="1"/>
  <c r="H950" i="1" s="1"/>
  <c r="M950" i="1" s="1"/>
  <c r="R949" i="1"/>
  <c r="N949" i="1"/>
  <c r="I949" i="1"/>
  <c r="H949" i="1" s="1"/>
  <c r="M949" i="1" s="1"/>
  <c r="O949" i="1" s="1"/>
  <c r="N948" i="1"/>
  <c r="I948" i="1"/>
  <c r="H948" i="1" s="1"/>
  <c r="M948" i="1" s="1"/>
  <c r="Q948" i="1" s="1"/>
  <c r="R948" i="1" s="1"/>
  <c r="R947" i="1"/>
  <c r="N947" i="1"/>
  <c r="I947" i="1"/>
  <c r="M947" i="1" s="1"/>
  <c r="N946" i="1"/>
  <c r="I946" i="1"/>
  <c r="M946" i="1" s="1"/>
  <c r="Q946" i="1" s="1"/>
  <c r="R946" i="1" s="1"/>
  <c r="N945" i="1"/>
  <c r="I945" i="1"/>
  <c r="H945" i="1" s="1"/>
  <c r="M945" i="1" s="1"/>
  <c r="N944" i="1"/>
  <c r="I944" i="1"/>
  <c r="H944" i="1" s="1"/>
  <c r="M944" i="1" s="1"/>
  <c r="N943" i="1"/>
  <c r="I943" i="1"/>
  <c r="H943" i="1" s="1"/>
  <c r="M943" i="1" s="1"/>
  <c r="O943" i="1" s="1"/>
  <c r="R942" i="1"/>
  <c r="N942" i="1"/>
  <c r="I942" i="1"/>
  <c r="H942" i="1" s="1"/>
  <c r="M942" i="1" s="1"/>
  <c r="N941" i="1"/>
  <c r="I941" i="1"/>
  <c r="H941" i="1"/>
  <c r="M941" i="1" s="1"/>
  <c r="N940" i="1"/>
  <c r="I940" i="1"/>
  <c r="H940" i="1" s="1"/>
  <c r="M940" i="1" s="1"/>
  <c r="N939" i="1"/>
  <c r="I939" i="1"/>
  <c r="H939" i="1" s="1"/>
  <c r="M939" i="1" s="1"/>
  <c r="N938" i="1"/>
  <c r="I938" i="1"/>
  <c r="H938" i="1" s="1"/>
  <c r="M938" i="1" s="1"/>
  <c r="N937" i="1"/>
  <c r="I937" i="1"/>
  <c r="H937" i="1" s="1"/>
  <c r="N936" i="1"/>
  <c r="I936" i="1"/>
  <c r="H936" i="1" s="1"/>
  <c r="M936" i="1" s="1"/>
  <c r="N935" i="1"/>
  <c r="I935" i="1"/>
  <c r="M935" i="1" s="1"/>
  <c r="R934" i="1"/>
  <c r="N934" i="1"/>
  <c r="I934" i="1"/>
  <c r="H934" i="1" s="1"/>
  <c r="M934" i="1" s="1"/>
  <c r="R933" i="1"/>
  <c r="N933" i="1"/>
  <c r="I933" i="1"/>
  <c r="M933" i="1" s="1"/>
  <c r="R932" i="1"/>
  <c r="N932" i="1"/>
  <c r="I932" i="1"/>
  <c r="H932" i="1" s="1"/>
  <c r="M932" i="1" s="1"/>
  <c r="R931" i="1"/>
  <c r="N931" i="1"/>
  <c r="I931" i="1"/>
  <c r="H931" i="1" s="1"/>
  <c r="M931" i="1" s="1"/>
  <c r="R930" i="1"/>
  <c r="N930" i="1"/>
  <c r="I930" i="1"/>
  <c r="H930" i="1" s="1"/>
  <c r="M930" i="1" s="1"/>
  <c r="R929" i="1"/>
  <c r="N929" i="1"/>
  <c r="I929" i="1"/>
  <c r="H929" i="1" s="1"/>
  <c r="M929" i="1" s="1"/>
  <c r="R928" i="1"/>
  <c r="N928" i="1"/>
  <c r="I928" i="1"/>
  <c r="H928" i="1" s="1"/>
  <c r="N927" i="1"/>
  <c r="I927" i="1"/>
  <c r="H927" i="1" s="1"/>
  <c r="M927" i="1" s="1"/>
  <c r="N926" i="1"/>
  <c r="I926" i="1"/>
  <c r="H926" i="1" s="1"/>
  <c r="R925" i="1"/>
  <c r="N925" i="1"/>
  <c r="I925" i="1"/>
  <c r="M925" i="1" s="1"/>
  <c r="O925" i="1" s="1"/>
  <c r="R924" i="1"/>
  <c r="N924" i="1"/>
  <c r="I924" i="1"/>
  <c r="M924" i="1" s="1"/>
  <c r="R923" i="1"/>
  <c r="N923" i="1"/>
  <c r="I923" i="1"/>
  <c r="M923" i="1" s="1"/>
  <c r="R922" i="1"/>
  <c r="N922" i="1"/>
  <c r="I922" i="1"/>
  <c r="H922" i="1" s="1"/>
  <c r="M922" i="1" s="1"/>
  <c r="O922" i="1" s="1"/>
  <c r="R921" i="1"/>
  <c r="N921" i="1"/>
  <c r="I921" i="1"/>
  <c r="H921" i="1" s="1"/>
  <c r="M921" i="1" s="1"/>
  <c r="R920" i="1"/>
  <c r="N920" i="1"/>
  <c r="I920" i="1"/>
  <c r="H920" i="1" s="1"/>
  <c r="M920" i="1" s="1"/>
  <c r="O920" i="1" s="1"/>
  <c r="R919" i="1"/>
  <c r="N919" i="1"/>
  <c r="I919" i="1"/>
  <c r="R918" i="1"/>
  <c r="N918" i="1"/>
  <c r="I918" i="1"/>
  <c r="M918" i="1" s="1"/>
  <c r="O918" i="1" s="1"/>
  <c r="R917" i="1"/>
  <c r="N917" i="1"/>
  <c r="I917" i="1"/>
  <c r="M917" i="1" s="1"/>
  <c r="R916" i="1"/>
  <c r="N916" i="1"/>
  <c r="I916" i="1"/>
  <c r="M916" i="1" s="1"/>
  <c r="R915" i="1"/>
  <c r="N915" i="1"/>
  <c r="I915" i="1"/>
  <c r="M915" i="1" s="1"/>
  <c r="O915" i="1" s="1"/>
  <c r="R914" i="1"/>
  <c r="N914" i="1"/>
  <c r="I914" i="1"/>
  <c r="H914" i="1" s="1"/>
  <c r="M914" i="1" s="1"/>
  <c r="R913" i="1"/>
  <c r="N913" i="1"/>
  <c r="I913" i="1"/>
  <c r="H913" i="1" s="1"/>
  <c r="M913" i="1" s="1"/>
  <c r="R912" i="1"/>
  <c r="N912" i="1"/>
  <c r="I912" i="1"/>
  <c r="H912" i="1"/>
  <c r="M912" i="1" s="1"/>
  <c r="R911" i="1"/>
  <c r="N911" i="1"/>
  <c r="I911" i="1"/>
  <c r="H911" i="1" s="1"/>
  <c r="M911" i="1" s="1"/>
  <c r="R910" i="1"/>
  <c r="N910" i="1"/>
  <c r="I910" i="1"/>
  <c r="H910" i="1" s="1"/>
  <c r="M910" i="1" s="1"/>
  <c r="R909" i="1"/>
  <c r="N909" i="1"/>
  <c r="I909" i="1"/>
  <c r="H909" i="1" s="1"/>
  <c r="M909" i="1" s="1"/>
  <c r="R908" i="1"/>
  <c r="N908" i="1"/>
  <c r="I908" i="1"/>
  <c r="H908" i="1" s="1"/>
  <c r="M908" i="1" s="1"/>
  <c r="O908" i="1" s="1"/>
  <c r="R907" i="1"/>
  <c r="N907" i="1"/>
  <c r="I907" i="1"/>
  <c r="H907" i="1" s="1"/>
  <c r="M907" i="1" s="1"/>
  <c r="O907" i="1" s="1"/>
  <c r="R906" i="1"/>
  <c r="N906" i="1"/>
  <c r="I906" i="1"/>
  <c r="H906" i="1" s="1"/>
  <c r="M906" i="1" s="1"/>
  <c r="R905" i="1"/>
  <c r="N905" i="1"/>
  <c r="I905" i="1"/>
  <c r="H905" i="1" s="1"/>
  <c r="R904" i="1"/>
  <c r="N904" i="1"/>
  <c r="I904" i="1"/>
  <c r="H904" i="1" s="1"/>
  <c r="M904" i="1" s="1"/>
  <c r="R903" i="1"/>
  <c r="N903" i="1"/>
  <c r="I903" i="1"/>
  <c r="H903" i="1" s="1"/>
  <c r="M903" i="1" s="1"/>
  <c r="R902" i="1"/>
  <c r="N902" i="1"/>
  <c r="I902" i="1"/>
  <c r="H902" i="1" s="1"/>
  <c r="M902" i="1" s="1"/>
  <c r="R901" i="1"/>
  <c r="N901" i="1"/>
  <c r="I901" i="1"/>
  <c r="H901" i="1" s="1"/>
  <c r="M901" i="1" s="1"/>
  <c r="R900" i="1"/>
  <c r="N900" i="1"/>
  <c r="I900" i="1"/>
  <c r="H900" i="1" s="1"/>
  <c r="M900" i="1" s="1"/>
  <c r="R899" i="1"/>
  <c r="N899" i="1"/>
  <c r="I899" i="1"/>
  <c r="H899" i="1" s="1"/>
  <c r="R898" i="1"/>
  <c r="N898" i="1"/>
  <c r="I898" i="1"/>
  <c r="H898" i="1" s="1"/>
  <c r="R897" i="1"/>
  <c r="N897" i="1"/>
  <c r="I897" i="1"/>
  <c r="M897" i="1" s="1"/>
  <c r="R896" i="1"/>
  <c r="N896" i="1"/>
  <c r="I896" i="1"/>
  <c r="M896" i="1" s="1"/>
  <c r="R895" i="1"/>
  <c r="N895" i="1"/>
  <c r="I895" i="1"/>
  <c r="M895" i="1" s="1"/>
  <c r="R894" i="1"/>
  <c r="N894" i="1"/>
  <c r="I894" i="1"/>
  <c r="M894" i="1" s="1"/>
  <c r="N893" i="1"/>
  <c r="I893" i="1"/>
  <c r="M893" i="1" s="1"/>
  <c r="N892" i="1"/>
  <c r="I892" i="1"/>
  <c r="M892" i="1" s="1"/>
  <c r="O892" i="1" s="1"/>
  <c r="Q892" i="1" s="1"/>
  <c r="R892" i="1" s="1"/>
  <c r="N891" i="1"/>
  <c r="I891" i="1"/>
  <c r="M891" i="1" s="1"/>
  <c r="Q891" i="1" s="1"/>
  <c r="R891" i="1" s="1"/>
  <c r="R890" i="1"/>
  <c r="N890" i="1"/>
  <c r="I890" i="1"/>
  <c r="H890" i="1"/>
  <c r="M890" i="1" s="1"/>
  <c r="R889" i="1"/>
  <c r="N889" i="1"/>
  <c r="I889" i="1"/>
  <c r="H889" i="1" s="1"/>
  <c r="M889" i="1" s="1"/>
  <c r="R888" i="1"/>
  <c r="N888" i="1"/>
  <c r="I888" i="1"/>
  <c r="H888" i="1" s="1"/>
  <c r="M888" i="1" s="1"/>
  <c r="O888" i="1" s="1"/>
  <c r="R887" i="1"/>
  <c r="N887" i="1"/>
  <c r="I887" i="1"/>
  <c r="H887" i="1" s="1"/>
  <c r="M887" i="1" s="1"/>
  <c r="R886" i="1"/>
  <c r="N886" i="1"/>
  <c r="I886" i="1"/>
  <c r="H886" i="1" s="1"/>
  <c r="N885" i="1"/>
  <c r="I885" i="1"/>
  <c r="M885" i="1" s="1"/>
  <c r="Q885" i="1" s="1"/>
  <c r="R885" i="1" s="1"/>
  <c r="N884" i="1"/>
  <c r="I884" i="1"/>
  <c r="M884" i="1" s="1"/>
  <c r="R883" i="1"/>
  <c r="N883" i="1"/>
  <c r="I883" i="1"/>
  <c r="M883" i="1" s="1"/>
  <c r="N882" i="1"/>
  <c r="I882" i="1"/>
  <c r="M882" i="1" s="1"/>
  <c r="R881" i="1"/>
  <c r="N881" i="1"/>
  <c r="I881" i="1"/>
  <c r="H881" i="1" s="1"/>
  <c r="M881" i="1" s="1"/>
  <c r="R880" i="1"/>
  <c r="N880" i="1"/>
  <c r="I880" i="1"/>
  <c r="H880" i="1" s="1"/>
  <c r="M880" i="1" s="1"/>
  <c r="O880" i="1" s="1"/>
  <c r="R879" i="1"/>
  <c r="N879" i="1"/>
  <c r="I879" i="1"/>
  <c r="H879" i="1" s="1"/>
  <c r="N878" i="1"/>
  <c r="I878" i="1"/>
  <c r="N877" i="1"/>
  <c r="I877" i="1"/>
  <c r="R876" i="1"/>
  <c r="N876" i="1"/>
  <c r="I876" i="1"/>
  <c r="M876" i="1" s="1"/>
  <c r="N875" i="1"/>
  <c r="I875" i="1"/>
  <c r="M875" i="1" s="1"/>
  <c r="N874" i="1"/>
  <c r="I874" i="1"/>
  <c r="M874" i="1" s="1"/>
  <c r="N873" i="1"/>
  <c r="I873" i="1"/>
  <c r="H873" i="1" s="1"/>
  <c r="M873" i="1" s="1"/>
  <c r="Q873" i="1" s="1"/>
  <c r="R873" i="1" s="1"/>
  <c r="N872" i="1"/>
  <c r="I872" i="1"/>
  <c r="H872" i="1" s="1"/>
  <c r="M872" i="1" s="1"/>
  <c r="N871" i="1"/>
  <c r="I871" i="1"/>
  <c r="H871" i="1" s="1"/>
  <c r="M871" i="1" s="1"/>
  <c r="R870" i="1"/>
  <c r="N870" i="1"/>
  <c r="I870" i="1"/>
  <c r="H870" i="1" s="1"/>
  <c r="M870" i="1" s="1"/>
  <c r="R869" i="1"/>
  <c r="N869" i="1"/>
  <c r="I869" i="1"/>
  <c r="H869" i="1" s="1"/>
  <c r="M869" i="1" s="1"/>
  <c r="R868" i="1"/>
  <c r="N868" i="1"/>
  <c r="I868" i="1"/>
  <c r="M868" i="1" s="1"/>
  <c r="R867" i="1"/>
  <c r="N867" i="1"/>
  <c r="I867" i="1"/>
  <c r="M867" i="1" s="1"/>
  <c r="R866" i="1"/>
  <c r="N866" i="1"/>
  <c r="I866" i="1"/>
  <c r="H866" i="1" s="1"/>
  <c r="M866" i="1" s="1"/>
  <c r="R865" i="1"/>
  <c r="N865" i="1"/>
  <c r="I865" i="1"/>
  <c r="H865" i="1" s="1"/>
  <c r="M865" i="1" s="1"/>
  <c r="O865" i="1" s="1"/>
  <c r="R864" i="1"/>
  <c r="N864" i="1"/>
  <c r="I864" i="1"/>
  <c r="H864" i="1" s="1"/>
  <c r="M864" i="1" s="1"/>
  <c r="R863" i="1"/>
  <c r="N863" i="1"/>
  <c r="I863" i="1"/>
  <c r="H863" i="1" s="1"/>
  <c r="M863" i="1" s="1"/>
  <c r="O863" i="1" s="1"/>
  <c r="R862" i="1"/>
  <c r="N862" i="1"/>
  <c r="I862" i="1"/>
  <c r="M862" i="1" s="1"/>
  <c r="R861" i="1"/>
  <c r="N861" i="1"/>
  <c r="I861" i="1"/>
  <c r="M861" i="1" s="1"/>
  <c r="R860" i="1"/>
  <c r="N860" i="1"/>
  <c r="I860" i="1"/>
  <c r="M860" i="1" s="1"/>
  <c r="R859" i="1"/>
  <c r="N859" i="1"/>
  <c r="I859" i="1"/>
  <c r="M859" i="1" s="1"/>
  <c r="R858" i="1"/>
  <c r="N858" i="1"/>
  <c r="I858" i="1"/>
  <c r="H858" i="1" s="1"/>
  <c r="M858" i="1" s="1"/>
  <c r="R857" i="1"/>
  <c r="N857" i="1"/>
  <c r="I857" i="1"/>
  <c r="H857" i="1" s="1"/>
  <c r="M857" i="1" s="1"/>
  <c r="R856" i="1"/>
  <c r="N856" i="1"/>
  <c r="I856" i="1"/>
  <c r="H856" i="1" s="1"/>
  <c r="M856" i="1" s="1"/>
  <c r="R855" i="1"/>
  <c r="N855" i="1"/>
  <c r="I855" i="1"/>
  <c r="H855" i="1" s="1"/>
  <c r="M855" i="1" s="1"/>
  <c r="R854" i="1"/>
  <c r="N854" i="1"/>
  <c r="I854" i="1"/>
  <c r="H854" i="1" s="1"/>
  <c r="M854" i="1" s="1"/>
  <c r="R853" i="1"/>
  <c r="N853" i="1"/>
  <c r="I853" i="1"/>
  <c r="H853" i="1" s="1"/>
  <c r="M853" i="1" s="1"/>
  <c r="O853" i="1" s="1"/>
  <c r="R852" i="1"/>
  <c r="N852" i="1"/>
  <c r="I852" i="1"/>
  <c r="H852" i="1" s="1"/>
  <c r="M852" i="1" s="1"/>
  <c r="O852" i="1" s="1"/>
  <c r="R851" i="1"/>
  <c r="N851" i="1"/>
  <c r="I851" i="1"/>
  <c r="H851" i="1" s="1"/>
  <c r="M851" i="1" s="1"/>
  <c r="R850" i="1"/>
  <c r="N850" i="1"/>
  <c r="I850" i="1"/>
  <c r="R849" i="1"/>
  <c r="N849" i="1"/>
  <c r="I849" i="1"/>
  <c r="H849" i="1" s="1"/>
  <c r="M849" i="1" s="1"/>
  <c r="R848" i="1"/>
  <c r="N848" i="1"/>
  <c r="I848" i="1"/>
  <c r="H848" i="1" s="1"/>
  <c r="M848" i="1" s="1"/>
  <c r="R847" i="1"/>
  <c r="N847" i="1"/>
  <c r="I847" i="1"/>
  <c r="H847" i="1" s="1"/>
  <c r="M847" i="1" s="1"/>
  <c r="R846" i="1"/>
  <c r="N846" i="1"/>
  <c r="I846" i="1"/>
  <c r="H846" i="1" s="1"/>
  <c r="M846" i="1" s="1"/>
  <c r="R845" i="1"/>
  <c r="N845" i="1"/>
  <c r="I845" i="1"/>
  <c r="H845" i="1" s="1"/>
  <c r="M845" i="1" s="1"/>
  <c r="O845" i="1" s="1"/>
  <c r="R844" i="1"/>
  <c r="N844" i="1"/>
  <c r="I844" i="1"/>
  <c r="H844" i="1" s="1"/>
  <c r="M844" i="1" s="1"/>
  <c r="R843" i="1"/>
  <c r="N843" i="1"/>
  <c r="I843" i="1"/>
  <c r="H843" i="1" s="1"/>
  <c r="M843" i="1" s="1"/>
  <c r="O843" i="1" s="1"/>
  <c r="R842" i="1"/>
  <c r="N842" i="1"/>
  <c r="I842" i="1"/>
  <c r="H842" i="1" s="1"/>
  <c r="R841" i="1"/>
  <c r="N841" i="1"/>
  <c r="I841" i="1"/>
  <c r="H841" i="1" s="1"/>
  <c r="M841" i="1" s="1"/>
  <c r="O841" i="1" s="1"/>
  <c r="R840" i="1"/>
  <c r="N840" i="1"/>
  <c r="I840" i="1"/>
  <c r="H840" i="1" s="1"/>
  <c r="M840" i="1" s="1"/>
  <c r="R839" i="1"/>
  <c r="N839" i="1"/>
  <c r="I839" i="1"/>
  <c r="R838" i="1"/>
  <c r="N838" i="1"/>
  <c r="I838" i="1"/>
  <c r="H838" i="1" s="1"/>
  <c r="R837" i="1"/>
  <c r="N837" i="1"/>
  <c r="I837" i="1"/>
  <c r="H837" i="1" s="1"/>
  <c r="R836" i="1"/>
  <c r="N836" i="1"/>
  <c r="I836" i="1"/>
  <c r="H836" i="1" s="1"/>
  <c r="R835" i="1"/>
  <c r="N835" i="1"/>
  <c r="I835" i="1"/>
  <c r="M835" i="1" s="1"/>
  <c r="O835" i="1" s="1"/>
  <c r="R834" i="1"/>
  <c r="N834" i="1"/>
  <c r="I834" i="1"/>
  <c r="M834" i="1" s="1"/>
  <c r="R833" i="1"/>
  <c r="N833" i="1"/>
  <c r="I833" i="1"/>
  <c r="M833" i="1" s="1"/>
  <c r="O833" i="1" s="1"/>
  <c r="R832" i="1"/>
  <c r="N832" i="1"/>
  <c r="I832" i="1"/>
  <c r="M832" i="1" s="1"/>
  <c r="R831" i="1"/>
  <c r="N831" i="1"/>
  <c r="I831" i="1"/>
  <c r="M831" i="1" s="1"/>
  <c r="N830" i="1"/>
  <c r="I830" i="1"/>
  <c r="M830" i="1" s="1"/>
  <c r="R829" i="1"/>
  <c r="N829" i="1"/>
  <c r="I829" i="1"/>
  <c r="H829" i="1" s="1"/>
  <c r="M829" i="1" s="1"/>
  <c r="N828" i="1"/>
  <c r="I828" i="1"/>
  <c r="H828" i="1" s="1"/>
  <c r="M828" i="1" s="1"/>
  <c r="R827" i="1"/>
  <c r="N827" i="1"/>
  <c r="I827" i="1"/>
  <c r="H827" i="1"/>
  <c r="M827" i="1" s="1"/>
  <c r="R826" i="1"/>
  <c r="N826" i="1"/>
  <c r="I826" i="1"/>
  <c r="H826" i="1" s="1"/>
  <c r="N825" i="1"/>
  <c r="I825" i="1"/>
  <c r="M825" i="1" s="1"/>
  <c r="N824" i="1"/>
  <c r="I824" i="1"/>
  <c r="M824" i="1" s="1"/>
  <c r="N823" i="1"/>
  <c r="I823" i="1"/>
  <c r="M823" i="1" s="1"/>
  <c r="Q823" i="1" s="1"/>
  <c r="R822" i="1"/>
  <c r="N822" i="1"/>
  <c r="I822" i="1"/>
  <c r="H822" i="1" s="1"/>
  <c r="R821" i="1"/>
  <c r="N821" i="1"/>
  <c r="I821" i="1"/>
  <c r="H821" i="1" s="1"/>
  <c r="R820" i="1"/>
  <c r="N820" i="1"/>
  <c r="I820" i="1"/>
  <c r="N819" i="1"/>
  <c r="I819" i="1"/>
  <c r="H819" i="1" s="1"/>
  <c r="M819" i="1" s="1"/>
  <c r="N818" i="1"/>
  <c r="I818" i="1"/>
  <c r="H818" i="1" s="1"/>
  <c r="M818" i="1" s="1"/>
  <c r="O818" i="1" s="1"/>
  <c r="R817" i="1"/>
  <c r="N817" i="1"/>
  <c r="I817" i="1"/>
  <c r="H817" i="1" s="1"/>
  <c r="M817" i="1" s="1"/>
  <c r="N816" i="1"/>
  <c r="I816" i="1"/>
  <c r="H816" i="1" s="1"/>
  <c r="M816" i="1" s="1"/>
  <c r="N815" i="1"/>
  <c r="I815" i="1"/>
  <c r="M815" i="1" s="1"/>
  <c r="Q815" i="1" s="1"/>
  <c r="R815" i="1" s="1"/>
  <c r="N814" i="1"/>
  <c r="I814" i="1"/>
  <c r="H814" i="1" s="1"/>
  <c r="M814" i="1" s="1"/>
  <c r="N813" i="1"/>
  <c r="I813" i="1"/>
  <c r="H813" i="1" s="1"/>
  <c r="M813" i="1" s="1"/>
  <c r="N812" i="1"/>
  <c r="I812" i="1"/>
  <c r="N811" i="1"/>
  <c r="I811" i="1"/>
  <c r="H811" i="1" s="1"/>
  <c r="M811" i="1" s="1"/>
  <c r="N810" i="1"/>
  <c r="I810" i="1"/>
  <c r="M810" i="1" s="1"/>
  <c r="Q810" i="1" s="1"/>
  <c r="R810" i="1" s="1"/>
  <c r="N809" i="1"/>
  <c r="I809" i="1"/>
  <c r="H809" i="1" s="1"/>
  <c r="M809" i="1" s="1"/>
  <c r="Q809" i="1" s="1"/>
  <c r="R809" i="1" s="1"/>
  <c r="R808" i="1"/>
  <c r="N808" i="1"/>
  <c r="I808" i="1"/>
  <c r="H808" i="1" s="1"/>
  <c r="M808" i="1" s="1"/>
  <c r="O808" i="1" s="1"/>
  <c r="R807" i="1"/>
  <c r="N807" i="1"/>
  <c r="I807" i="1"/>
  <c r="H807" i="1" s="1"/>
  <c r="M807" i="1" s="1"/>
  <c r="N806" i="1"/>
  <c r="I806" i="1"/>
  <c r="M806" i="1" s="1"/>
  <c r="N805" i="1"/>
  <c r="I805" i="1"/>
  <c r="H805" i="1" s="1"/>
  <c r="M805" i="1" s="1"/>
  <c r="R804" i="1"/>
  <c r="N804" i="1"/>
  <c r="I804" i="1"/>
  <c r="H804" i="1" s="1"/>
  <c r="M804" i="1" s="1"/>
  <c r="R803" i="1"/>
  <c r="N803" i="1"/>
  <c r="I803" i="1"/>
  <c r="H803" i="1" s="1"/>
  <c r="M803" i="1" s="1"/>
  <c r="N802" i="1"/>
  <c r="I802" i="1"/>
  <c r="H802" i="1" s="1"/>
  <c r="M802" i="1" s="1"/>
  <c r="N801" i="1"/>
  <c r="I801" i="1"/>
  <c r="H801" i="1" s="1"/>
  <c r="M801" i="1" s="1"/>
  <c r="Q801" i="1" s="1"/>
  <c r="R801" i="1" s="1"/>
  <c r="N800" i="1"/>
  <c r="I800" i="1"/>
  <c r="H800" i="1" s="1"/>
  <c r="M800" i="1" s="1"/>
  <c r="N799" i="1"/>
  <c r="I799" i="1"/>
  <c r="H799" i="1" s="1"/>
  <c r="M799" i="1" s="1"/>
  <c r="Q799" i="1" s="1"/>
  <c r="R799" i="1" s="1"/>
  <c r="N798" i="1"/>
  <c r="I798" i="1"/>
  <c r="M798" i="1" s="1"/>
  <c r="R797" i="1"/>
  <c r="N797" i="1"/>
  <c r="I797" i="1"/>
  <c r="R796" i="1"/>
  <c r="N796" i="1"/>
  <c r="I796" i="1"/>
  <c r="M796" i="1" s="1"/>
  <c r="O796" i="1" s="1"/>
  <c r="R795" i="1"/>
  <c r="N795" i="1"/>
  <c r="I795" i="1"/>
  <c r="M795" i="1" s="1"/>
  <c r="R794" i="1"/>
  <c r="N794" i="1"/>
  <c r="I794" i="1"/>
  <c r="M794" i="1" s="1"/>
  <c r="R793" i="1"/>
  <c r="N793" i="1"/>
  <c r="I793" i="1"/>
  <c r="M793" i="1" s="1"/>
  <c r="R792" i="1"/>
  <c r="N792" i="1"/>
  <c r="I792" i="1"/>
  <c r="H792" i="1" s="1"/>
  <c r="R791" i="1"/>
  <c r="N791" i="1"/>
  <c r="I791" i="1"/>
  <c r="H791" i="1" s="1"/>
  <c r="M791" i="1" s="1"/>
  <c r="O791" i="1" s="1"/>
  <c r="R790" i="1"/>
  <c r="N790" i="1"/>
  <c r="I790" i="1"/>
  <c r="H790" i="1" s="1"/>
  <c r="M790" i="1" s="1"/>
  <c r="R789" i="1"/>
  <c r="N789" i="1"/>
  <c r="I789" i="1"/>
  <c r="H789" i="1" s="1"/>
  <c r="M789" i="1" s="1"/>
  <c r="O789" i="1" s="1"/>
  <c r="R788" i="1"/>
  <c r="N788" i="1"/>
  <c r="I788" i="1"/>
  <c r="H788" i="1" s="1"/>
  <c r="M788" i="1" s="1"/>
  <c r="R787" i="1"/>
  <c r="N787" i="1"/>
  <c r="I787" i="1"/>
  <c r="H787" i="1" s="1"/>
  <c r="M787" i="1" s="1"/>
  <c r="O787" i="1" s="1"/>
  <c r="R786" i="1"/>
  <c r="N786" i="1"/>
  <c r="I786" i="1"/>
  <c r="H786" i="1" s="1"/>
  <c r="M786" i="1" s="1"/>
  <c r="R785" i="1"/>
  <c r="N785" i="1"/>
  <c r="I785" i="1"/>
  <c r="H785" i="1" s="1"/>
  <c r="M785" i="1" s="1"/>
  <c r="R784" i="1"/>
  <c r="N784" i="1"/>
  <c r="I784" i="1"/>
  <c r="H784" i="1" s="1"/>
  <c r="M784" i="1" s="1"/>
  <c r="R783" i="1"/>
  <c r="N783" i="1"/>
  <c r="I783" i="1"/>
  <c r="H783" i="1" s="1"/>
  <c r="M783" i="1" s="1"/>
  <c r="R782" i="1"/>
  <c r="N782" i="1"/>
  <c r="I782" i="1"/>
  <c r="H782" i="1" s="1"/>
  <c r="M782" i="1" s="1"/>
  <c r="O782" i="1" s="1"/>
  <c r="R781" i="1"/>
  <c r="N781" i="1"/>
  <c r="I781" i="1"/>
  <c r="H781" i="1" s="1"/>
  <c r="M781" i="1" s="1"/>
  <c r="R780" i="1"/>
  <c r="N780" i="1"/>
  <c r="I780" i="1"/>
  <c r="H780" i="1" s="1"/>
  <c r="M780" i="1" s="1"/>
  <c r="O780" i="1" s="1"/>
  <c r="R779" i="1"/>
  <c r="N779" i="1"/>
  <c r="I779" i="1"/>
  <c r="H779" i="1" s="1"/>
  <c r="M779" i="1" s="1"/>
  <c r="O779" i="1" s="1"/>
  <c r="R778" i="1"/>
  <c r="N778" i="1"/>
  <c r="I778" i="1"/>
  <c r="M778" i="1" s="1"/>
  <c r="R777" i="1"/>
  <c r="N777" i="1"/>
  <c r="I777" i="1"/>
  <c r="M777" i="1" s="1"/>
  <c r="R776" i="1"/>
  <c r="N776" i="1"/>
  <c r="I776" i="1"/>
  <c r="M776" i="1" s="1"/>
  <c r="R775" i="1"/>
  <c r="N775" i="1"/>
  <c r="I775" i="1"/>
  <c r="M775" i="1" s="1"/>
  <c r="R774" i="1"/>
  <c r="N774" i="1"/>
  <c r="I774" i="1"/>
  <c r="M774" i="1" s="1"/>
  <c r="R773" i="1"/>
  <c r="N773" i="1"/>
  <c r="I773" i="1"/>
  <c r="M773" i="1" s="1"/>
  <c r="R772" i="1"/>
  <c r="N772" i="1"/>
  <c r="I772" i="1"/>
  <c r="M772" i="1" s="1"/>
  <c r="R771" i="1"/>
  <c r="N771" i="1"/>
  <c r="I771" i="1"/>
  <c r="M771" i="1" s="1"/>
  <c r="R770" i="1"/>
  <c r="N770" i="1"/>
  <c r="I770" i="1"/>
  <c r="M770" i="1" s="1"/>
  <c r="R769" i="1"/>
  <c r="N769" i="1"/>
  <c r="I769" i="1"/>
  <c r="M769" i="1" s="1"/>
  <c r="N768" i="1"/>
  <c r="I768" i="1"/>
  <c r="H768" i="1" s="1"/>
  <c r="M768" i="1" s="1"/>
  <c r="Q768" i="1" s="1"/>
  <c r="R768" i="1" s="1"/>
  <c r="N767" i="1"/>
  <c r="I767" i="1"/>
  <c r="H767" i="1" s="1"/>
  <c r="M767" i="1" s="1"/>
  <c r="N766" i="1"/>
  <c r="I766" i="1"/>
  <c r="H766" i="1" s="1"/>
  <c r="M766" i="1" s="1"/>
  <c r="N765" i="1"/>
  <c r="I765" i="1"/>
  <c r="H765" i="1" s="1"/>
  <c r="M765" i="1" s="1"/>
  <c r="N764" i="1"/>
  <c r="I764" i="1"/>
  <c r="M764" i="1" s="1"/>
  <c r="N763" i="1"/>
  <c r="I763" i="1"/>
  <c r="H763" i="1" s="1"/>
  <c r="M763" i="1" s="1"/>
  <c r="N762" i="1"/>
  <c r="I762" i="1"/>
  <c r="M762" i="1" s="1"/>
  <c r="R761" i="1"/>
  <c r="N761" i="1"/>
  <c r="I761" i="1"/>
  <c r="H761" i="1" s="1"/>
  <c r="R760" i="1"/>
  <c r="N760" i="1"/>
  <c r="I760" i="1"/>
  <c r="R759" i="1"/>
  <c r="N759" i="1"/>
  <c r="I759" i="1"/>
  <c r="H759" i="1" s="1"/>
  <c r="R758" i="1"/>
  <c r="N758" i="1"/>
  <c r="I758" i="1"/>
  <c r="M758" i="1" s="1"/>
  <c r="R757" i="1"/>
  <c r="N757" i="1"/>
  <c r="I757" i="1"/>
  <c r="M757" i="1" s="1"/>
  <c r="R756" i="1"/>
  <c r="N756" i="1"/>
  <c r="I756" i="1"/>
  <c r="M756" i="1" s="1"/>
  <c r="N755" i="1"/>
  <c r="I755" i="1"/>
  <c r="M755" i="1" s="1"/>
  <c r="Q755" i="1" s="1"/>
  <c r="R755" i="1" s="1"/>
  <c r="N754" i="1"/>
  <c r="I754" i="1"/>
  <c r="H754" i="1" s="1"/>
  <c r="M754" i="1" s="1"/>
  <c r="N753" i="1"/>
  <c r="I753" i="1"/>
  <c r="H753" i="1" s="1"/>
  <c r="M753" i="1" s="1"/>
  <c r="N752" i="1"/>
  <c r="I752" i="1"/>
  <c r="H752" i="1" s="1"/>
  <c r="M752" i="1" s="1"/>
  <c r="R751" i="1"/>
  <c r="N751" i="1"/>
  <c r="I751" i="1"/>
  <c r="H751" i="1" s="1"/>
  <c r="M751" i="1" s="1"/>
  <c r="N750" i="1"/>
  <c r="I750" i="1"/>
  <c r="H750" i="1" s="1"/>
  <c r="M750" i="1" s="1"/>
  <c r="Q750" i="1" s="1"/>
  <c r="R750" i="1" s="1"/>
  <c r="N749" i="1"/>
  <c r="I749" i="1"/>
  <c r="M749" i="1" s="1"/>
  <c r="Q749" i="1" s="1"/>
  <c r="R749" i="1" s="1"/>
  <c r="N748" i="1"/>
  <c r="I748" i="1"/>
  <c r="M748" i="1" s="1"/>
  <c r="O748" i="1" s="1"/>
  <c r="N747" i="1"/>
  <c r="I747" i="1"/>
  <c r="M747" i="1" s="1"/>
  <c r="N746" i="1"/>
  <c r="I746" i="1"/>
  <c r="M746" i="1" s="1"/>
  <c r="Q746" i="1" s="1"/>
  <c r="R746" i="1" s="1"/>
  <c r="R745" i="1"/>
  <c r="N745" i="1"/>
  <c r="I745" i="1"/>
  <c r="M745" i="1" s="1"/>
  <c r="N744" i="1"/>
  <c r="I744" i="1"/>
  <c r="H744" i="1" s="1"/>
  <c r="M744" i="1" s="1"/>
  <c r="N743" i="1"/>
  <c r="I743" i="1"/>
  <c r="H743" i="1" s="1"/>
  <c r="M743" i="1" s="1"/>
  <c r="N742" i="1"/>
  <c r="I742" i="1"/>
  <c r="H742" i="1"/>
  <c r="M742" i="1" s="1"/>
  <c r="Q742" i="1" s="1"/>
  <c r="R742" i="1" s="1"/>
  <c r="N741" i="1"/>
  <c r="I741" i="1"/>
  <c r="H741" i="1" s="1"/>
  <c r="M741" i="1" s="1"/>
  <c r="N740" i="1"/>
  <c r="I740" i="1"/>
  <c r="H740" i="1" s="1"/>
  <c r="M740" i="1" s="1"/>
  <c r="N739" i="1"/>
  <c r="I739" i="1"/>
  <c r="H739" i="1" s="1"/>
  <c r="M739" i="1" s="1"/>
  <c r="O739" i="1" s="1"/>
  <c r="N738" i="1"/>
  <c r="I738" i="1"/>
  <c r="H738" i="1" s="1"/>
  <c r="M738" i="1" s="1"/>
  <c r="N737" i="1"/>
  <c r="I737" i="1"/>
  <c r="H737" i="1" s="1"/>
  <c r="M737" i="1" s="1"/>
  <c r="N736" i="1"/>
  <c r="I736" i="1"/>
  <c r="H736" i="1" s="1"/>
  <c r="M736" i="1" s="1"/>
  <c r="N735" i="1"/>
  <c r="I735" i="1"/>
  <c r="H735" i="1" s="1"/>
  <c r="M735" i="1" s="1"/>
  <c r="N734" i="1"/>
  <c r="I734" i="1"/>
  <c r="H734" i="1" s="1"/>
  <c r="M734" i="1" s="1"/>
  <c r="Q734" i="1" s="1"/>
  <c r="R734" i="1" s="1"/>
  <c r="N733" i="1"/>
  <c r="I733" i="1"/>
  <c r="H733" i="1" s="1"/>
  <c r="M733" i="1" s="1"/>
  <c r="N732" i="1"/>
  <c r="I732" i="1"/>
  <c r="H732" i="1" s="1"/>
  <c r="M732" i="1" s="1"/>
  <c r="N731" i="1"/>
  <c r="I731" i="1"/>
  <c r="H731" i="1" s="1"/>
  <c r="M731" i="1" s="1"/>
  <c r="L730" i="1"/>
  <c r="N730" i="1" s="1"/>
  <c r="I730" i="1"/>
  <c r="M730" i="1" s="1"/>
  <c r="Q730" i="1" s="1"/>
  <c r="R730" i="1" s="1"/>
  <c r="N729" i="1"/>
  <c r="I729" i="1"/>
  <c r="H729" i="1" s="1"/>
  <c r="M729" i="1" s="1"/>
  <c r="N728" i="1"/>
  <c r="I728" i="1"/>
  <c r="H728" i="1" s="1"/>
  <c r="M728" i="1" s="1"/>
  <c r="N727" i="1"/>
  <c r="I727" i="1"/>
  <c r="H727" i="1" s="1"/>
  <c r="M727" i="1" s="1"/>
  <c r="N726" i="1"/>
  <c r="I726" i="1"/>
  <c r="H726" i="1" s="1"/>
  <c r="M726" i="1" s="1"/>
  <c r="N725" i="1"/>
  <c r="K725" i="1"/>
  <c r="I725" i="1"/>
  <c r="N724" i="1"/>
  <c r="I724" i="1"/>
  <c r="H724" i="1" s="1"/>
  <c r="M724" i="1" s="1"/>
  <c r="Q724" i="1" s="1"/>
  <c r="R724" i="1" s="1"/>
  <c r="N723" i="1"/>
  <c r="I723" i="1"/>
  <c r="H723" i="1" s="1"/>
  <c r="M723" i="1" s="1"/>
  <c r="N722" i="1"/>
  <c r="I722" i="1"/>
  <c r="N721" i="1"/>
  <c r="I721" i="1"/>
  <c r="H721" i="1" s="1"/>
  <c r="M721" i="1" s="1"/>
  <c r="N720" i="1"/>
  <c r="I720" i="1"/>
  <c r="H720" i="1" s="1"/>
  <c r="M720" i="1" s="1"/>
  <c r="O720" i="1" s="1"/>
  <c r="N719" i="1"/>
  <c r="I719" i="1"/>
  <c r="H719" i="1" s="1"/>
  <c r="M719" i="1" s="1"/>
  <c r="Q719" i="1" s="1"/>
  <c r="R719" i="1" s="1"/>
  <c r="N718" i="1"/>
  <c r="I718" i="1"/>
  <c r="H718" i="1" s="1"/>
  <c r="M718" i="1" s="1"/>
  <c r="Q718" i="1" s="1"/>
  <c r="R718" i="1" s="1"/>
  <c r="N717" i="1"/>
  <c r="K717" i="1"/>
  <c r="I717" i="1"/>
  <c r="N716" i="1"/>
  <c r="K716" i="1"/>
  <c r="I716" i="1"/>
  <c r="N715" i="1"/>
  <c r="I715" i="1"/>
  <c r="N714" i="1"/>
  <c r="I714" i="1"/>
  <c r="H714" i="1" s="1"/>
  <c r="N713" i="1"/>
  <c r="I713" i="1"/>
  <c r="H713" i="1" s="1"/>
  <c r="L712" i="1"/>
  <c r="N712" i="1" s="1"/>
  <c r="I712" i="1"/>
  <c r="M712" i="1" s="1"/>
  <c r="N711" i="1"/>
  <c r="I711" i="1"/>
  <c r="M711" i="1" s="1"/>
  <c r="N710" i="1"/>
  <c r="I710" i="1"/>
  <c r="M710" i="1" s="1"/>
  <c r="N709" i="1"/>
  <c r="I709" i="1"/>
  <c r="M709" i="1" s="1"/>
  <c r="Q709" i="1" s="1"/>
  <c r="R709" i="1" s="1"/>
  <c r="N708" i="1"/>
  <c r="I708" i="1"/>
  <c r="M708" i="1" s="1"/>
  <c r="N707" i="1"/>
  <c r="I707" i="1"/>
  <c r="M707" i="1" s="1"/>
  <c r="N706" i="1"/>
  <c r="I706" i="1"/>
  <c r="M706" i="1" s="1"/>
  <c r="Q706" i="1" s="1"/>
  <c r="R706" i="1" s="1"/>
  <c r="N705" i="1"/>
  <c r="I705" i="1"/>
  <c r="H705" i="1" s="1"/>
  <c r="M705" i="1" s="1"/>
  <c r="N704" i="1"/>
  <c r="I704" i="1"/>
  <c r="H704" i="1" s="1"/>
  <c r="M704" i="1" s="1"/>
  <c r="N703" i="1"/>
  <c r="I703" i="1"/>
  <c r="H703" i="1" s="1"/>
  <c r="M703" i="1" s="1"/>
  <c r="N702" i="1"/>
  <c r="I702" i="1"/>
  <c r="H702" i="1" s="1"/>
  <c r="N701" i="1"/>
  <c r="I701" i="1"/>
  <c r="R700" i="1"/>
  <c r="N700" i="1"/>
  <c r="I700" i="1"/>
  <c r="H700" i="1" s="1"/>
  <c r="R699" i="1"/>
  <c r="N699" i="1"/>
  <c r="I699" i="1"/>
  <c r="M699" i="1" s="1"/>
  <c r="N698" i="1"/>
  <c r="I698" i="1"/>
  <c r="M698" i="1" s="1"/>
  <c r="N697" i="1"/>
  <c r="I697" i="1"/>
  <c r="M697" i="1" s="1"/>
  <c r="Q697" i="1" s="1"/>
  <c r="R697" i="1" s="1"/>
  <c r="R696" i="1"/>
  <c r="N696" i="1"/>
  <c r="I696" i="1"/>
  <c r="H696" i="1" s="1"/>
  <c r="M696" i="1" s="1"/>
  <c r="R695" i="1"/>
  <c r="N695" i="1"/>
  <c r="I695" i="1"/>
  <c r="H695" i="1" s="1"/>
  <c r="M695" i="1" s="1"/>
  <c r="O695" i="1" s="1"/>
  <c r="R694" i="1"/>
  <c r="N694" i="1"/>
  <c r="I694" i="1"/>
  <c r="H694" i="1" s="1"/>
  <c r="M694" i="1" s="1"/>
  <c r="R693" i="1"/>
  <c r="N693" i="1"/>
  <c r="I693" i="1"/>
  <c r="M693" i="1" s="1"/>
  <c r="R692" i="1"/>
  <c r="N692" i="1"/>
  <c r="I692" i="1"/>
  <c r="M692" i="1" s="1"/>
  <c r="O692" i="1" s="1"/>
  <c r="R691" i="1"/>
  <c r="N691" i="1"/>
  <c r="I691" i="1"/>
  <c r="M691" i="1" s="1"/>
  <c r="R690" i="1"/>
  <c r="N690" i="1"/>
  <c r="I690" i="1"/>
  <c r="M690" i="1" s="1"/>
  <c r="R689" i="1"/>
  <c r="N689" i="1"/>
  <c r="I689" i="1"/>
  <c r="H689" i="1" s="1"/>
  <c r="M689" i="1" s="1"/>
  <c r="R688" i="1"/>
  <c r="N688" i="1"/>
  <c r="I688" i="1"/>
  <c r="H688" i="1" s="1"/>
  <c r="M688" i="1" s="1"/>
  <c r="O688" i="1" s="1"/>
  <c r="R687" i="1"/>
  <c r="N687" i="1"/>
  <c r="I687" i="1"/>
  <c r="H687" i="1" s="1"/>
  <c r="M687" i="1" s="1"/>
  <c r="O687" i="1" s="1"/>
  <c r="R686" i="1"/>
  <c r="N686" i="1"/>
  <c r="I686" i="1"/>
  <c r="H686" i="1" s="1"/>
  <c r="M686" i="1" s="1"/>
  <c r="R685" i="1"/>
  <c r="N685" i="1"/>
  <c r="I685" i="1"/>
  <c r="H685" i="1" s="1"/>
  <c r="M685" i="1" s="1"/>
  <c r="R684" i="1"/>
  <c r="N684" i="1"/>
  <c r="I684" i="1"/>
  <c r="H684" i="1" s="1"/>
  <c r="M684" i="1" s="1"/>
  <c r="R683" i="1"/>
  <c r="N683" i="1"/>
  <c r="I683" i="1"/>
  <c r="H683" i="1" s="1"/>
  <c r="M683" i="1" s="1"/>
  <c r="R682" i="1"/>
  <c r="N682" i="1"/>
  <c r="I682" i="1"/>
  <c r="H682" i="1" s="1"/>
  <c r="M682" i="1" s="1"/>
  <c r="O682" i="1" s="1"/>
  <c r="R681" i="1"/>
  <c r="N681" i="1"/>
  <c r="I681" i="1"/>
  <c r="H681" i="1" s="1"/>
  <c r="M681" i="1" s="1"/>
  <c r="R680" i="1"/>
  <c r="N680" i="1"/>
  <c r="I680" i="1"/>
  <c r="H680" i="1" s="1"/>
  <c r="M680" i="1" s="1"/>
  <c r="O680" i="1" s="1"/>
  <c r="R679" i="1"/>
  <c r="N679" i="1"/>
  <c r="I679" i="1"/>
  <c r="H679" i="1" s="1"/>
  <c r="M679" i="1" s="1"/>
  <c r="O679" i="1" s="1"/>
  <c r="R678" i="1"/>
  <c r="N678" i="1"/>
  <c r="I678" i="1"/>
  <c r="H678" i="1" s="1"/>
  <c r="M678" i="1" s="1"/>
  <c r="R677" i="1"/>
  <c r="N677" i="1"/>
  <c r="I677" i="1"/>
  <c r="H677" i="1" s="1"/>
  <c r="M677" i="1" s="1"/>
  <c r="R676" i="1"/>
  <c r="N676" i="1"/>
  <c r="I676" i="1"/>
  <c r="H676" i="1" s="1"/>
  <c r="M676" i="1" s="1"/>
  <c r="R675" i="1"/>
  <c r="N675" i="1"/>
  <c r="I675" i="1"/>
  <c r="H675" i="1" s="1"/>
  <c r="M675" i="1" s="1"/>
  <c r="R674" i="1"/>
  <c r="N674" i="1"/>
  <c r="I674" i="1"/>
  <c r="H674" i="1" s="1"/>
  <c r="M674" i="1" s="1"/>
  <c r="R673" i="1"/>
  <c r="N673" i="1"/>
  <c r="I673" i="1"/>
  <c r="H673" i="1" s="1"/>
  <c r="M673" i="1" s="1"/>
  <c r="R672" i="1"/>
  <c r="N672" i="1"/>
  <c r="I672" i="1"/>
  <c r="H672" i="1" s="1"/>
  <c r="M672" i="1" s="1"/>
  <c r="R671" i="1"/>
  <c r="N671" i="1"/>
  <c r="I671" i="1"/>
  <c r="H671" i="1" s="1"/>
  <c r="M671" i="1" s="1"/>
  <c r="R670" i="1"/>
  <c r="N670" i="1"/>
  <c r="I670" i="1"/>
  <c r="H670" i="1" s="1"/>
  <c r="M670" i="1" s="1"/>
  <c r="R669" i="1"/>
  <c r="N669" i="1"/>
  <c r="I669" i="1"/>
  <c r="H669" i="1" s="1"/>
  <c r="M669" i="1" s="1"/>
  <c r="O669" i="1" s="1"/>
  <c r="R668" i="1"/>
  <c r="N668" i="1"/>
  <c r="I668" i="1"/>
  <c r="H668" i="1" s="1"/>
  <c r="M668" i="1" s="1"/>
  <c r="R667" i="1"/>
  <c r="N667" i="1"/>
  <c r="I667" i="1"/>
  <c r="H667" i="1" s="1"/>
  <c r="M667" i="1" s="1"/>
  <c r="R666" i="1"/>
  <c r="N666" i="1"/>
  <c r="I666" i="1"/>
  <c r="H666" i="1" s="1"/>
  <c r="M666" i="1" s="1"/>
  <c r="R665" i="1"/>
  <c r="N665" i="1"/>
  <c r="I665" i="1"/>
  <c r="H665" i="1" s="1"/>
  <c r="M665" i="1" s="1"/>
  <c r="R664" i="1"/>
  <c r="N664" i="1"/>
  <c r="I664" i="1"/>
  <c r="H664" i="1" s="1"/>
  <c r="M664" i="1" s="1"/>
  <c r="O664" i="1" s="1"/>
  <c r="R663" i="1"/>
  <c r="N663" i="1"/>
  <c r="I663" i="1"/>
  <c r="H663" i="1" s="1"/>
  <c r="M663" i="1" s="1"/>
  <c r="O663" i="1" s="1"/>
  <c r="R662" i="1"/>
  <c r="N662" i="1"/>
  <c r="I662" i="1"/>
  <c r="H662" i="1"/>
  <c r="M662" i="1" s="1"/>
  <c r="R661" i="1"/>
  <c r="N661" i="1"/>
  <c r="I661" i="1"/>
  <c r="H661" i="1" s="1"/>
  <c r="M661" i="1" s="1"/>
  <c r="R660" i="1"/>
  <c r="N660" i="1"/>
  <c r="I660" i="1"/>
  <c r="H660" i="1" s="1"/>
  <c r="M660" i="1" s="1"/>
  <c r="O660" i="1" s="1"/>
  <c r="R659" i="1"/>
  <c r="N659" i="1"/>
  <c r="I659" i="1"/>
  <c r="H659" i="1" s="1"/>
  <c r="M659" i="1" s="1"/>
  <c r="O659" i="1" s="1"/>
  <c r="R658" i="1"/>
  <c r="N658" i="1"/>
  <c r="I658" i="1"/>
  <c r="H658" i="1"/>
  <c r="M658" i="1" s="1"/>
  <c r="R657" i="1"/>
  <c r="N657" i="1"/>
  <c r="I657" i="1"/>
  <c r="H657" i="1" s="1"/>
  <c r="M657" i="1" s="1"/>
  <c r="R656" i="1"/>
  <c r="N656" i="1"/>
  <c r="I656" i="1"/>
  <c r="H656" i="1"/>
  <c r="R655" i="1"/>
  <c r="N655" i="1"/>
  <c r="I655" i="1"/>
  <c r="H655" i="1" s="1"/>
  <c r="M655" i="1" s="1"/>
  <c r="O655" i="1" s="1"/>
  <c r="R654" i="1"/>
  <c r="N654" i="1"/>
  <c r="I654" i="1"/>
  <c r="R653" i="1"/>
  <c r="N653" i="1"/>
  <c r="I653" i="1"/>
  <c r="H653" i="1" s="1"/>
  <c r="M653" i="1" s="1"/>
  <c r="O653" i="1" s="1"/>
  <c r="R652" i="1"/>
  <c r="N652" i="1"/>
  <c r="I652" i="1"/>
  <c r="H652" i="1" s="1"/>
  <c r="M652" i="1" s="1"/>
  <c r="R651" i="1"/>
  <c r="N651" i="1"/>
  <c r="I651" i="1"/>
  <c r="R650" i="1"/>
  <c r="N650" i="1"/>
  <c r="I650" i="1"/>
  <c r="M650" i="1" s="1"/>
  <c r="R649" i="1"/>
  <c r="N649" i="1"/>
  <c r="I649" i="1"/>
  <c r="M649" i="1" s="1"/>
  <c r="R648" i="1"/>
  <c r="N648" i="1"/>
  <c r="I648" i="1"/>
  <c r="M648" i="1" s="1"/>
  <c r="O648" i="1" s="1"/>
  <c r="R647" i="1"/>
  <c r="N647" i="1"/>
  <c r="I647" i="1"/>
  <c r="M647" i="1" s="1"/>
  <c r="R646" i="1"/>
  <c r="N646" i="1"/>
  <c r="I646" i="1"/>
  <c r="M646" i="1" s="1"/>
  <c r="R645" i="1"/>
  <c r="N645" i="1"/>
  <c r="I645" i="1"/>
  <c r="M645" i="1" s="1"/>
  <c r="R644" i="1"/>
  <c r="N644" i="1"/>
  <c r="I644" i="1"/>
  <c r="M644" i="1" s="1"/>
  <c r="R643" i="1"/>
  <c r="N643" i="1"/>
  <c r="I643" i="1"/>
  <c r="M643" i="1" s="1"/>
  <c r="O643" i="1" s="1"/>
  <c r="R642" i="1"/>
  <c r="N642" i="1"/>
  <c r="I642" i="1"/>
  <c r="M642" i="1" s="1"/>
  <c r="O642" i="1" s="1"/>
  <c r="R641" i="1"/>
  <c r="N641" i="1"/>
  <c r="I641" i="1"/>
  <c r="M641" i="1" s="1"/>
  <c r="R640" i="1"/>
  <c r="N640" i="1"/>
  <c r="I640" i="1"/>
  <c r="M640" i="1" s="1"/>
  <c r="N639" i="1"/>
  <c r="I639" i="1"/>
  <c r="M639" i="1" s="1"/>
  <c r="N638" i="1"/>
  <c r="I638" i="1"/>
  <c r="M638" i="1" s="1"/>
  <c r="Q638" i="1" s="1"/>
  <c r="R638" i="1" s="1"/>
  <c r="N637" i="1"/>
  <c r="I637" i="1"/>
  <c r="H637" i="1" s="1"/>
  <c r="M637" i="1" s="1"/>
  <c r="N636" i="1"/>
  <c r="I636" i="1"/>
  <c r="H636" i="1" s="1"/>
  <c r="M636" i="1" s="1"/>
  <c r="N635" i="1"/>
  <c r="I635" i="1"/>
  <c r="H635" i="1" s="1"/>
  <c r="M635" i="1" s="1"/>
  <c r="R634" i="1"/>
  <c r="N634" i="1"/>
  <c r="I634" i="1"/>
  <c r="H634" i="1"/>
  <c r="M634" i="1" s="1"/>
  <c r="N633" i="1"/>
  <c r="I633" i="1"/>
  <c r="H633" i="1" s="1"/>
  <c r="M633" i="1" s="1"/>
  <c r="N632" i="1"/>
  <c r="I632" i="1"/>
  <c r="H632" i="1" s="1"/>
  <c r="M632" i="1" s="1"/>
  <c r="Q632" i="1" s="1"/>
  <c r="R632" i="1" s="1"/>
  <c r="R631" i="1"/>
  <c r="N631" i="1"/>
  <c r="I631" i="1"/>
  <c r="H631" i="1" s="1"/>
  <c r="M631" i="1" s="1"/>
  <c r="R630" i="1"/>
  <c r="N630" i="1"/>
  <c r="I630" i="1"/>
  <c r="H630" i="1" s="1"/>
  <c r="N629" i="1"/>
  <c r="I629" i="1"/>
  <c r="H629" i="1" s="1"/>
  <c r="M629" i="1" s="1"/>
  <c r="Q629" i="1" s="1"/>
  <c r="R628" i="1"/>
  <c r="N628" i="1"/>
  <c r="I628" i="1"/>
  <c r="M628" i="1" s="1"/>
  <c r="O628" i="1" s="1"/>
  <c r="R627" i="1"/>
  <c r="N627" i="1"/>
  <c r="I627" i="1"/>
  <c r="H627" i="1" s="1"/>
  <c r="M627" i="1" s="1"/>
  <c r="R626" i="1"/>
  <c r="N626" i="1"/>
  <c r="I626" i="1"/>
  <c r="H626" i="1" s="1"/>
  <c r="M626" i="1" s="1"/>
  <c r="R625" i="1"/>
  <c r="N625" i="1"/>
  <c r="I625" i="1"/>
  <c r="H625" i="1" s="1"/>
  <c r="M625" i="1" s="1"/>
  <c r="O625" i="1" s="1"/>
  <c r="R624" i="1"/>
  <c r="N624" i="1"/>
  <c r="I624" i="1"/>
  <c r="H624" i="1" s="1"/>
  <c r="M624" i="1" s="1"/>
  <c r="R623" i="1"/>
  <c r="N623" i="1"/>
  <c r="I623" i="1"/>
  <c r="H623" i="1" s="1"/>
  <c r="M623" i="1" s="1"/>
  <c r="R622" i="1"/>
  <c r="N622" i="1"/>
  <c r="I622" i="1"/>
  <c r="H622" i="1" s="1"/>
  <c r="M622" i="1" s="1"/>
  <c r="R621" i="1"/>
  <c r="N621" i="1"/>
  <c r="I621" i="1"/>
  <c r="H621" i="1" s="1"/>
  <c r="R620" i="1"/>
  <c r="N620" i="1"/>
  <c r="I620" i="1"/>
  <c r="M620" i="1" s="1"/>
  <c r="O620" i="1" s="1"/>
  <c r="R619" i="1"/>
  <c r="N619" i="1"/>
  <c r="I619" i="1"/>
  <c r="M619" i="1" s="1"/>
  <c r="N618" i="1"/>
  <c r="I618" i="1"/>
  <c r="M618" i="1" s="1"/>
  <c r="N617" i="1"/>
  <c r="I617" i="1"/>
  <c r="H617" i="1" s="1"/>
  <c r="M617" i="1" s="1"/>
  <c r="N616" i="1"/>
  <c r="I616" i="1"/>
  <c r="M616" i="1" s="1"/>
  <c r="N615" i="1"/>
  <c r="I615" i="1"/>
  <c r="M615" i="1" s="1"/>
  <c r="R614" i="1"/>
  <c r="N614" i="1"/>
  <c r="I614" i="1"/>
  <c r="M614" i="1" s="1"/>
  <c r="N613" i="1"/>
  <c r="I613" i="1"/>
  <c r="H613" i="1" s="1"/>
  <c r="M613" i="1" s="1"/>
  <c r="R612" i="1"/>
  <c r="N612" i="1"/>
  <c r="I612" i="1"/>
  <c r="H612" i="1" s="1"/>
  <c r="M612" i="1" s="1"/>
  <c r="N611" i="1"/>
  <c r="I611" i="1"/>
  <c r="H611" i="1" s="1"/>
  <c r="M611" i="1" s="1"/>
  <c r="O611" i="1" s="1"/>
  <c r="N610" i="1"/>
  <c r="I610" i="1"/>
  <c r="H610" i="1"/>
  <c r="N609" i="1"/>
  <c r="I609" i="1"/>
  <c r="H609" i="1" s="1"/>
  <c r="M609" i="1" s="1"/>
  <c r="R608" i="1"/>
  <c r="N608" i="1"/>
  <c r="I608" i="1"/>
  <c r="H608" i="1" s="1"/>
  <c r="M608" i="1" s="1"/>
  <c r="N607" i="1"/>
  <c r="I607" i="1"/>
  <c r="H607" i="1"/>
  <c r="M607" i="1" s="1"/>
  <c r="Q607" i="1" s="1"/>
  <c r="R607" i="1" s="1"/>
  <c r="N606" i="1"/>
  <c r="I606" i="1"/>
  <c r="H606" i="1" s="1"/>
  <c r="M606" i="1" s="1"/>
  <c r="Q606" i="1" s="1"/>
  <c r="R606" i="1" s="1"/>
  <c r="N605" i="1"/>
  <c r="I605" i="1"/>
  <c r="M605" i="1" s="1"/>
  <c r="N604" i="1"/>
  <c r="I604" i="1"/>
  <c r="H604" i="1" s="1"/>
  <c r="M604" i="1" s="1"/>
  <c r="N603" i="1"/>
  <c r="I603" i="1"/>
  <c r="N602" i="1"/>
  <c r="I602" i="1"/>
  <c r="H602" i="1" s="1"/>
  <c r="M602" i="1" s="1"/>
  <c r="N601" i="1"/>
  <c r="I601" i="1"/>
  <c r="H601" i="1" s="1"/>
  <c r="M601" i="1" s="1"/>
  <c r="R600" i="1"/>
  <c r="N600" i="1"/>
  <c r="I600" i="1"/>
  <c r="M600" i="1" s="1"/>
  <c r="N599" i="1"/>
  <c r="I599" i="1"/>
  <c r="M599" i="1" s="1"/>
  <c r="N598" i="1"/>
  <c r="I598" i="1"/>
  <c r="H598" i="1" s="1"/>
  <c r="M598" i="1" s="1"/>
  <c r="O598" i="1" s="1"/>
  <c r="N597" i="1"/>
  <c r="I597" i="1"/>
  <c r="H597" i="1" s="1"/>
  <c r="M597" i="1" s="1"/>
  <c r="N596" i="1"/>
  <c r="I596" i="1"/>
  <c r="N595" i="1"/>
  <c r="I595" i="1"/>
  <c r="H595" i="1" s="1"/>
  <c r="M595" i="1" s="1"/>
  <c r="Q595" i="1" s="1"/>
  <c r="R595" i="1" s="1"/>
  <c r="N594" i="1"/>
  <c r="I594" i="1"/>
  <c r="H594" i="1" s="1"/>
  <c r="M594" i="1" s="1"/>
  <c r="R593" i="1"/>
  <c r="N593" i="1"/>
  <c r="I593" i="1"/>
  <c r="M593" i="1" s="1"/>
  <c r="N592" i="1"/>
  <c r="I592" i="1"/>
  <c r="M592" i="1" s="1"/>
  <c r="Q592" i="1" s="1"/>
  <c r="R592" i="1" s="1"/>
  <c r="N591" i="1"/>
  <c r="I591" i="1"/>
  <c r="H591" i="1" s="1"/>
  <c r="M591" i="1" s="1"/>
  <c r="Q591" i="1" s="1"/>
  <c r="R591" i="1" s="1"/>
  <c r="N590" i="1"/>
  <c r="I590" i="1"/>
  <c r="H590" i="1" s="1"/>
  <c r="M590" i="1" s="1"/>
  <c r="N589" i="1"/>
  <c r="I589" i="1"/>
  <c r="H589" i="1" s="1"/>
  <c r="M589" i="1" s="1"/>
  <c r="N588" i="1"/>
  <c r="I588" i="1"/>
  <c r="H588" i="1" s="1"/>
  <c r="M588" i="1" s="1"/>
  <c r="N587" i="1"/>
  <c r="I587" i="1"/>
  <c r="N586" i="1"/>
  <c r="I586" i="1"/>
  <c r="H586" i="1" s="1"/>
  <c r="M586" i="1" s="1"/>
  <c r="N585" i="1"/>
  <c r="I585" i="1"/>
  <c r="H585" i="1"/>
  <c r="M585" i="1" s="1"/>
  <c r="N584" i="1"/>
  <c r="I584" i="1"/>
  <c r="H584" i="1" s="1"/>
  <c r="M584" i="1" s="1"/>
  <c r="N583" i="1"/>
  <c r="I583" i="1"/>
  <c r="H583" i="1" s="1"/>
  <c r="M583" i="1" s="1"/>
  <c r="N582" i="1"/>
  <c r="I582" i="1"/>
  <c r="H582" i="1" s="1"/>
  <c r="M582" i="1" s="1"/>
  <c r="N581" i="1"/>
  <c r="I581" i="1"/>
  <c r="H581" i="1" s="1"/>
  <c r="M581" i="1" s="1"/>
  <c r="Q581" i="1" s="1"/>
  <c r="R581" i="1" s="1"/>
  <c r="N580" i="1"/>
  <c r="I580" i="1"/>
  <c r="H580" i="1" s="1"/>
  <c r="M580" i="1" s="1"/>
  <c r="N579" i="1"/>
  <c r="I579" i="1"/>
  <c r="N578" i="1"/>
  <c r="I578" i="1"/>
  <c r="M578" i="1" s="1"/>
  <c r="R577" i="1"/>
  <c r="N577" i="1"/>
  <c r="I577" i="1"/>
  <c r="M577" i="1" s="1"/>
  <c r="R576" i="1"/>
  <c r="N576" i="1"/>
  <c r="I576" i="1"/>
  <c r="H576" i="1" s="1"/>
  <c r="M576" i="1" s="1"/>
  <c r="R575" i="1"/>
  <c r="N575" i="1"/>
  <c r="I575" i="1"/>
  <c r="H575" i="1" s="1"/>
  <c r="M575" i="1" s="1"/>
  <c r="O575" i="1" s="1"/>
  <c r="R574" i="1"/>
  <c r="N574" i="1"/>
  <c r="I574" i="1"/>
  <c r="H574" i="1" s="1"/>
  <c r="M574" i="1" s="1"/>
  <c r="R573" i="1"/>
  <c r="N573" i="1"/>
  <c r="I573" i="1"/>
  <c r="H573" i="1" s="1"/>
  <c r="M573" i="1" s="1"/>
  <c r="R572" i="1"/>
  <c r="N572" i="1"/>
  <c r="I572" i="1"/>
  <c r="M572" i="1" s="1"/>
  <c r="N571" i="1"/>
  <c r="I571" i="1"/>
  <c r="M571" i="1" s="1"/>
  <c r="Q571" i="1" s="1"/>
  <c r="R571" i="1" s="1"/>
  <c r="N570" i="1"/>
  <c r="I570" i="1"/>
  <c r="H570" i="1" s="1"/>
  <c r="M570" i="1" s="1"/>
  <c r="Q570" i="1" s="1"/>
  <c r="R570" i="1" s="1"/>
  <c r="N569" i="1"/>
  <c r="I569" i="1"/>
  <c r="H569" i="1" s="1"/>
  <c r="M569" i="1" s="1"/>
  <c r="N568" i="1"/>
  <c r="I568" i="1"/>
  <c r="H568" i="1" s="1"/>
  <c r="M568" i="1" s="1"/>
  <c r="Q568" i="1" s="1"/>
  <c r="R568" i="1" s="1"/>
  <c r="N567" i="1"/>
  <c r="I567" i="1"/>
  <c r="H567" i="1" s="1"/>
  <c r="M567" i="1" s="1"/>
  <c r="N566" i="1"/>
  <c r="I566" i="1"/>
  <c r="H566" i="1" s="1"/>
  <c r="M566" i="1" s="1"/>
  <c r="N565" i="1"/>
  <c r="I565" i="1"/>
  <c r="H565" i="1"/>
  <c r="M565" i="1" s="1"/>
  <c r="N564" i="1"/>
  <c r="I564" i="1"/>
  <c r="H564" i="1" s="1"/>
  <c r="N563" i="1"/>
  <c r="I563" i="1"/>
  <c r="H563" i="1" s="1"/>
  <c r="M563" i="1" s="1"/>
  <c r="N562" i="1"/>
  <c r="I562" i="1"/>
  <c r="R561" i="1"/>
  <c r="N561" i="1"/>
  <c r="I561" i="1"/>
  <c r="H561" i="1" s="1"/>
  <c r="N560" i="1"/>
  <c r="I560" i="1"/>
  <c r="M560" i="1" s="1"/>
  <c r="N559" i="1"/>
  <c r="I559" i="1"/>
  <c r="M559" i="1" s="1"/>
  <c r="O559" i="1" s="1"/>
  <c r="Q559" i="1" s="1"/>
  <c r="R559" i="1" s="1"/>
  <c r="R558" i="1"/>
  <c r="N558" i="1"/>
  <c r="I558" i="1"/>
  <c r="H558" i="1" s="1"/>
  <c r="M558" i="1" s="1"/>
  <c r="R557" i="1"/>
  <c r="N557" i="1"/>
  <c r="I557" i="1"/>
  <c r="H557" i="1" s="1"/>
  <c r="M557" i="1" s="1"/>
  <c r="R556" i="1"/>
  <c r="N556" i="1"/>
  <c r="I556" i="1"/>
  <c r="H556" i="1" s="1"/>
  <c r="M556" i="1" s="1"/>
  <c r="O556" i="1" s="1"/>
  <c r="R555" i="1"/>
  <c r="N555" i="1"/>
  <c r="I555" i="1"/>
  <c r="R554" i="1"/>
  <c r="N554" i="1"/>
  <c r="I554" i="1"/>
  <c r="M554" i="1" s="1"/>
  <c r="R553" i="1"/>
  <c r="N553" i="1"/>
  <c r="I553" i="1"/>
  <c r="R552" i="1"/>
  <c r="N552" i="1"/>
  <c r="I552" i="1"/>
  <c r="M552" i="1" s="1"/>
  <c r="R551" i="1"/>
  <c r="N551" i="1"/>
  <c r="I551" i="1"/>
  <c r="H551" i="1" s="1"/>
  <c r="M551" i="1" s="1"/>
  <c r="R550" i="1"/>
  <c r="N550" i="1"/>
  <c r="I550" i="1"/>
  <c r="H550" i="1" s="1"/>
  <c r="M550" i="1" s="1"/>
  <c r="R549" i="1"/>
  <c r="N549" i="1"/>
  <c r="I549" i="1"/>
  <c r="H549" i="1" s="1"/>
  <c r="M549" i="1" s="1"/>
  <c r="O549" i="1" s="1"/>
  <c r="R548" i="1"/>
  <c r="N548" i="1"/>
  <c r="I548" i="1"/>
  <c r="H548" i="1" s="1"/>
  <c r="M548" i="1" s="1"/>
  <c r="R547" i="1"/>
  <c r="N547" i="1"/>
  <c r="I547" i="1"/>
  <c r="R546" i="1"/>
  <c r="N546" i="1"/>
  <c r="I546" i="1"/>
  <c r="M546" i="1" s="1"/>
  <c r="R545" i="1"/>
  <c r="N545" i="1"/>
  <c r="I545" i="1"/>
  <c r="H545" i="1" s="1"/>
  <c r="M545" i="1" s="1"/>
  <c r="R544" i="1"/>
  <c r="N544" i="1"/>
  <c r="I544" i="1"/>
  <c r="H544" i="1" s="1"/>
  <c r="M544" i="1" s="1"/>
  <c r="R543" i="1"/>
  <c r="N543" i="1"/>
  <c r="I543" i="1"/>
  <c r="H543" i="1" s="1"/>
  <c r="M543" i="1" s="1"/>
  <c r="R542" i="1"/>
  <c r="N542" i="1"/>
  <c r="I542" i="1"/>
  <c r="H542" i="1" s="1"/>
  <c r="M542" i="1" s="1"/>
  <c r="R541" i="1"/>
  <c r="N541" i="1"/>
  <c r="I541" i="1"/>
  <c r="H541" i="1" s="1"/>
  <c r="M541" i="1" s="1"/>
  <c r="R540" i="1"/>
  <c r="N540" i="1"/>
  <c r="I540" i="1"/>
  <c r="H540" i="1" s="1"/>
  <c r="M540" i="1" s="1"/>
  <c r="O540" i="1" s="1"/>
  <c r="R539" i="1"/>
  <c r="N539" i="1"/>
  <c r="I539" i="1"/>
  <c r="M539" i="1" s="1"/>
  <c r="R538" i="1"/>
  <c r="N538" i="1"/>
  <c r="I538" i="1"/>
  <c r="H538" i="1" s="1"/>
  <c r="M538" i="1" s="1"/>
  <c r="R537" i="1"/>
  <c r="N537" i="1"/>
  <c r="I537" i="1"/>
  <c r="H537" i="1" s="1"/>
  <c r="M537" i="1" s="1"/>
  <c r="R536" i="1"/>
  <c r="N536" i="1"/>
  <c r="I536" i="1"/>
  <c r="H536" i="1" s="1"/>
  <c r="M536" i="1" s="1"/>
  <c r="R535" i="1"/>
  <c r="N535" i="1"/>
  <c r="I535" i="1"/>
  <c r="H535" i="1" s="1"/>
  <c r="M535" i="1" s="1"/>
  <c r="R534" i="1"/>
  <c r="N534" i="1"/>
  <c r="I534" i="1"/>
  <c r="H534" i="1"/>
  <c r="M534" i="1" s="1"/>
  <c r="R533" i="1"/>
  <c r="N533" i="1"/>
  <c r="I533" i="1"/>
  <c r="H533" i="1" s="1"/>
  <c r="M533" i="1" s="1"/>
  <c r="O533" i="1" s="1"/>
  <c r="R532" i="1"/>
  <c r="N532" i="1"/>
  <c r="I532" i="1"/>
  <c r="H532" i="1" s="1"/>
  <c r="M532" i="1" s="1"/>
  <c r="O532" i="1" s="1"/>
  <c r="R531" i="1"/>
  <c r="N531" i="1"/>
  <c r="I531" i="1"/>
  <c r="H531" i="1" s="1"/>
  <c r="M531" i="1" s="1"/>
  <c r="R530" i="1"/>
  <c r="N530" i="1"/>
  <c r="I530" i="1"/>
  <c r="H530" i="1" s="1"/>
  <c r="M530" i="1" s="1"/>
  <c r="O530" i="1" s="1"/>
  <c r="R529" i="1"/>
  <c r="N529" i="1"/>
  <c r="I529" i="1"/>
  <c r="H529" i="1" s="1"/>
  <c r="M529" i="1" s="1"/>
  <c r="R528" i="1"/>
  <c r="N528" i="1"/>
  <c r="I528" i="1"/>
  <c r="H528" i="1" s="1"/>
  <c r="M528" i="1" s="1"/>
  <c r="R527" i="1"/>
  <c r="N527" i="1"/>
  <c r="I527" i="1"/>
  <c r="H527" i="1" s="1"/>
  <c r="M527" i="1" s="1"/>
  <c r="R526" i="1"/>
  <c r="N526" i="1"/>
  <c r="I526" i="1"/>
  <c r="H526" i="1" s="1"/>
  <c r="M526" i="1" s="1"/>
  <c r="R525" i="1"/>
  <c r="N525" i="1"/>
  <c r="I525" i="1"/>
  <c r="H525" i="1" s="1"/>
  <c r="M525" i="1" s="1"/>
  <c r="O525" i="1" s="1"/>
  <c r="R524" i="1"/>
  <c r="N524" i="1"/>
  <c r="I524" i="1"/>
  <c r="H524" i="1" s="1"/>
  <c r="R523" i="1"/>
  <c r="N523" i="1"/>
  <c r="I523" i="1"/>
  <c r="R522" i="1"/>
  <c r="N522" i="1"/>
  <c r="I522" i="1"/>
  <c r="M522" i="1" s="1"/>
  <c r="R521" i="1"/>
  <c r="N521" i="1"/>
  <c r="I521" i="1"/>
  <c r="M521" i="1" s="1"/>
  <c r="R520" i="1"/>
  <c r="N520" i="1"/>
  <c r="I520" i="1"/>
  <c r="M520" i="1" s="1"/>
  <c r="N519" i="1"/>
  <c r="I519" i="1"/>
  <c r="H519" i="1" s="1"/>
  <c r="M519" i="1" s="1"/>
  <c r="N518" i="1"/>
  <c r="I518" i="1"/>
  <c r="H518" i="1" s="1"/>
  <c r="M518" i="1" s="1"/>
  <c r="N517" i="1"/>
  <c r="I517" i="1"/>
  <c r="H517" i="1" s="1"/>
  <c r="M517" i="1" s="1"/>
  <c r="N516" i="1"/>
  <c r="I516" i="1"/>
  <c r="M516" i="1" s="1"/>
  <c r="R515" i="1"/>
  <c r="N515" i="1"/>
  <c r="I515" i="1"/>
  <c r="H515" i="1" s="1"/>
  <c r="M515" i="1" s="1"/>
  <c r="N514" i="1"/>
  <c r="I514" i="1"/>
  <c r="H514" i="1" s="1"/>
  <c r="M514" i="1" s="1"/>
  <c r="R513" i="1"/>
  <c r="N513" i="1"/>
  <c r="I513" i="1"/>
  <c r="H513" i="1" s="1"/>
  <c r="M513" i="1" s="1"/>
  <c r="O513" i="1" s="1"/>
  <c r="N512" i="1"/>
  <c r="I512" i="1"/>
  <c r="H512" i="1" s="1"/>
  <c r="M512" i="1" s="1"/>
  <c r="R511" i="1"/>
  <c r="N511" i="1"/>
  <c r="I511" i="1"/>
  <c r="H511" i="1" s="1"/>
  <c r="M511" i="1" s="1"/>
  <c r="N510" i="1"/>
  <c r="I510" i="1"/>
  <c r="N509" i="1"/>
  <c r="I509" i="1"/>
  <c r="H509" i="1" s="1"/>
  <c r="M509" i="1" s="1"/>
  <c r="Q509" i="1" s="1"/>
  <c r="R509" i="1" s="1"/>
  <c r="N508" i="1"/>
  <c r="I508" i="1"/>
  <c r="H508" i="1" s="1"/>
  <c r="M508" i="1" s="1"/>
  <c r="N507" i="1"/>
  <c r="I507" i="1"/>
  <c r="H507" i="1" s="1"/>
  <c r="M507" i="1" s="1"/>
  <c r="R506" i="1"/>
  <c r="N506" i="1"/>
  <c r="I506" i="1"/>
  <c r="R505" i="1"/>
  <c r="N505" i="1"/>
  <c r="I505" i="1"/>
  <c r="H505" i="1" s="1"/>
  <c r="M505" i="1" s="1"/>
  <c r="R504" i="1"/>
  <c r="N504" i="1"/>
  <c r="I504" i="1"/>
  <c r="H504" i="1" s="1"/>
  <c r="M504" i="1" s="1"/>
  <c r="R503" i="1"/>
  <c r="N503" i="1"/>
  <c r="I503" i="1"/>
  <c r="H503" i="1" s="1"/>
  <c r="M503" i="1" s="1"/>
  <c r="R502" i="1"/>
  <c r="N502" i="1"/>
  <c r="I502" i="1"/>
  <c r="H502" i="1" s="1"/>
  <c r="M502" i="1" s="1"/>
  <c r="R501" i="1"/>
  <c r="N501" i="1"/>
  <c r="I501" i="1"/>
  <c r="R500" i="1"/>
  <c r="N500" i="1"/>
  <c r="I500" i="1"/>
  <c r="H500" i="1" s="1"/>
  <c r="M500" i="1" s="1"/>
  <c r="R499" i="1"/>
  <c r="N499" i="1"/>
  <c r="I499" i="1"/>
  <c r="H499" i="1" s="1"/>
  <c r="M499" i="1" s="1"/>
  <c r="O499" i="1" s="1"/>
  <c r="R498" i="1"/>
  <c r="N498" i="1"/>
  <c r="I498" i="1"/>
  <c r="M498" i="1" s="1"/>
  <c r="R497" i="1"/>
  <c r="N497" i="1"/>
  <c r="I497" i="1"/>
  <c r="M497" i="1" s="1"/>
  <c r="R496" i="1"/>
  <c r="N496" i="1"/>
  <c r="I496" i="1"/>
  <c r="R495" i="1"/>
  <c r="N495" i="1"/>
  <c r="I495" i="1"/>
  <c r="M495" i="1" s="1"/>
  <c r="R494" i="1"/>
  <c r="N494" i="1"/>
  <c r="I494" i="1"/>
  <c r="M494" i="1" s="1"/>
  <c r="R493" i="1"/>
  <c r="N493" i="1"/>
  <c r="I493" i="1"/>
  <c r="M493" i="1" s="1"/>
  <c r="R492" i="1"/>
  <c r="N492" i="1"/>
  <c r="I492" i="1"/>
  <c r="H492" i="1" s="1"/>
  <c r="M492" i="1" s="1"/>
  <c r="R491" i="1"/>
  <c r="N491" i="1"/>
  <c r="I491" i="1"/>
  <c r="H491" i="1" s="1"/>
  <c r="M491" i="1" s="1"/>
  <c r="R490" i="1"/>
  <c r="N490" i="1"/>
  <c r="I490" i="1"/>
  <c r="H490" i="1" s="1"/>
  <c r="M490" i="1" s="1"/>
  <c r="R489" i="1"/>
  <c r="N489" i="1"/>
  <c r="I489" i="1"/>
  <c r="H489" i="1" s="1"/>
  <c r="M489" i="1" s="1"/>
  <c r="O489" i="1" s="1"/>
  <c r="R488" i="1"/>
  <c r="N488" i="1"/>
  <c r="I488" i="1"/>
  <c r="H488" i="1" s="1"/>
  <c r="M488" i="1" s="1"/>
  <c r="R487" i="1"/>
  <c r="N487" i="1"/>
  <c r="I487" i="1"/>
  <c r="H487" i="1" s="1"/>
  <c r="M487" i="1" s="1"/>
  <c r="R486" i="1"/>
  <c r="N486" i="1"/>
  <c r="I486" i="1"/>
  <c r="H486" i="1" s="1"/>
  <c r="M486" i="1" s="1"/>
  <c r="R485" i="1"/>
  <c r="N485" i="1"/>
  <c r="I485" i="1"/>
  <c r="H485" i="1" s="1"/>
  <c r="M485" i="1" s="1"/>
  <c r="R484" i="1"/>
  <c r="N484" i="1"/>
  <c r="I484" i="1"/>
  <c r="H484" i="1" s="1"/>
  <c r="M484" i="1" s="1"/>
  <c r="R483" i="1"/>
  <c r="N483" i="1"/>
  <c r="I483" i="1"/>
  <c r="H483" i="1" s="1"/>
  <c r="M483" i="1" s="1"/>
  <c r="O483" i="1" s="1"/>
  <c r="R482" i="1"/>
  <c r="N482" i="1"/>
  <c r="I482" i="1"/>
  <c r="H482" i="1" s="1"/>
  <c r="M482" i="1" s="1"/>
  <c r="R481" i="1"/>
  <c r="N481" i="1"/>
  <c r="I481" i="1"/>
  <c r="H481" i="1" s="1"/>
  <c r="M481" i="1" s="1"/>
  <c r="O481" i="1" s="1"/>
  <c r="R480" i="1"/>
  <c r="N480" i="1"/>
  <c r="I480" i="1"/>
  <c r="H480" i="1" s="1"/>
  <c r="M480" i="1" s="1"/>
  <c r="R479" i="1"/>
  <c r="N479" i="1"/>
  <c r="I479" i="1"/>
  <c r="H479" i="1" s="1"/>
  <c r="M479" i="1" s="1"/>
  <c r="R478" i="1"/>
  <c r="N478" i="1"/>
  <c r="I478" i="1"/>
  <c r="H478" i="1" s="1"/>
  <c r="M478" i="1" s="1"/>
  <c r="R477" i="1"/>
  <c r="N477" i="1"/>
  <c r="I477" i="1"/>
  <c r="H477" i="1" s="1"/>
  <c r="M477" i="1" s="1"/>
  <c r="O477" i="1" s="1"/>
  <c r="R476" i="1"/>
  <c r="N476" i="1"/>
  <c r="I476" i="1"/>
  <c r="H476" i="1" s="1"/>
  <c r="M476" i="1" s="1"/>
  <c r="R475" i="1"/>
  <c r="N475" i="1"/>
  <c r="I475" i="1"/>
  <c r="H475" i="1" s="1"/>
  <c r="M475" i="1" s="1"/>
  <c r="R474" i="1"/>
  <c r="N474" i="1"/>
  <c r="I474" i="1"/>
  <c r="H474" i="1" s="1"/>
  <c r="M474" i="1" s="1"/>
  <c r="R473" i="1"/>
  <c r="N473" i="1"/>
  <c r="I473" i="1"/>
  <c r="H473" i="1" s="1"/>
  <c r="M473" i="1" s="1"/>
  <c r="O473" i="1" s="1"/>
  <c r="R472" i="1"/>
  <c r="N472" i="1"/>
  <c r="I472" i="1"/>
  <c r="H472" i="1" s="1"/>
  <c r="M472" i="1" s="1"/>
  <c r="O472" i="1" s="1"/>
  <c r="R471" i="1"/>
  <c r="N471" i="1"/>
  <c r="I471" i="1"/>
  <c r="H471" i="1" s="1"/>
  <c r="M471" i="1" s="1"/>
  <c r="O471" i="1" s="1"/>
  <c r="R470" i="1"/>
  <c r="N470" i="1"/>
  <c r="I470" i="1"/>
  <c r="H470" i="1" s="1"/>
  <c r="M470" i="1" s="1"/>
  <c r="R469" i="1"/>
  <c r="N469" i="1"/>
  <c r="I469" i="1"/>
  <c r="H469" i="1" s="1"/>
  <c r="M469" i="1" s="1"/>
  <c r="R468" i="1"/>
  <c r="N468" i="1"/>
  <c r="I468" i="1"/>
  <c r="H468" i="1" s="1"/>
  <c r="M468" i="1" s="1"/>
  <c r="O468" i="1" s="1"/>
  <c r="R467" i="1"/>
  <c r="N467" i="1"/>
  <c r="I467" i="1"/>
  <c r="H467" i="1" s="1"/>
  <c r="M467" i="1" s="1"/>
  <c r="R466" i="1"/>
  <c r="N466" i="1"/>
  <c r="I466" i="1"/>
  <c r="H466" i="1" s="1"/>
  <c r="M466" i="1" s="1"/>
  <c r="R465" i="1"/>
  <c r="N465" i="1"/>
  <c r="I465" i="1"/>
  <c r="H465" i="1" s="1"/>
  <c r="M465" i="1" s="1"/>
  <c r="R464" i="1"/>
  <c r="N464" i="1"/>
  <c r="I464" i="1"/>
  <c r="H464" i="1" s="1"/>
  <c r="M464" i="1" s="1"/>
  <c r="R463" i="1"/>
  <c r="N463" i="1"/>
  <c r="I463" i="1"/>
  <c r="H463" i="1" s="1"/>
  <c r="M463" i="1" s="1"/>
  <c r="R462" i="1"/>
  <c r="N462" i="1"/>
  <c r="I462" i="1"/>
  <c r="H462" i="1" s="1"/>
  <c r="M462" i="1" s="1"/>
  <c r="O462" i="1" s="1"/>
  <c r="R461" i="1"/>
  <c r="N461" i="1"/>
  <c r="I461" i="1"/>
  <c r="H461" i="1" s="1"/>
  <c r="M461" i="1" s="1"/>
  <c r="O461" i="1" s="1"/>
  <c r="R460" i="1"/>
  <c r="N460" i="1"/>
  <c r="I460" i="1"/>
  <c r="H460" i="1" s="1"/>
  <c r="M460" i="1" s="1"/>
  <c r="R459" i="1"/>
  <c r="N459" i="1"/>
  <c r="I459" i="1"/>
  <c r="H459" i="1" s="1"/>
  <c r="M459" i="1" s="1"/>
  <c r="O459" i="1" s="1"/>
  <c r="R458" i="1"/>
  <c r="N458" i="1"/>
  <c r="I458" i="1"/>
  <c r="H458" i="1" s="1"/>
  <c r="M458" i="1" s="1"/>
  <c r="R457" i="1"/>
  <c r="N457" i="1"/>
  <c r="I457" i="1"/>
  <c r="H457" i="1" s="1"/>
  <c r="M457" i="1" s="1"/>
  <c r="R456" i="1"/>
  <c r="N456" i="1"/>
  <c r="I456" i="1"/>
  <c r="H456" i="1" s="1"/>
  <c r="M456" i="1" s="1"/>
  <c r="R455" i="1"/>
  <c r="N455" i="1"/>
  <c r="I455" i="1"/>
  <c r="H455" i="1" s="1"/>
  <c r="M455" i="1" s="1"/>
  <c r="R454" i="1"/>
  <c r="N454" i="1"/>
  <c r="I454" i="1"/>
  <c r="H454" i="1" s="1"/>
  <c r="M454" i="1" s="1"/>
  <c r="R453" i="1"/>
  <c r="N453" i="1"/>
  <c r="I453" i="1"/>
  <c r="H453" i="1" s="1"/>
  <c r="M453" i="1" s="1"/>
  <c r="R452" i="1"/>
  <c r="N452" i="1"/>
  <c r="I452" i="1"/>
  <c r="H452" i="1" s="1"/>
  <c r="M452" i="1" s="1"/>
  <c r="O452" i="1" s="1"/>
  <c r="R451" i="1"/>
  <c r="N451" i="1"/>
  <c r="I451" i="1"/>
  <c r="H451" i="1" s="1"/>
  <c r="M451" i="1" s="1"/>
  <c r="R450" i="1"/>
  <c r="N450" i="1"/>
  <c r="I450" i="1"/>
  <c r="H450" i="1" s="1"/>
  <c r="M450" i="1" s="1"/>
  <c r="R449" i="1"/>
  <c r="N449" i="1"/>
  <c r="I449" i="1"/>
  <c r="H449" i="1" s="1"/>
  <c r="M449" i="1" s="1"/>
  <c r="R448" i="1"/>
  <c r="N448" i="1"/>
  <c r="I448" i="1"/>
  <c r="H448" i="1" s="1"/>
  <c r="M448" i="1" s="1"/>
  <c r="R447" i="1"/>
  <c r="N447" i="1"/>
  <c r="I447" i="1"/>
  <c r="H447" i="1" s="1"/>
  <c r="M447" i="1" s="1"/>
  <c r="R446" i="1"/>
  <c r="N446" i="1"/>
  <c r="I446" i="1"/>
  <c r="H446" i="1" s="1"/>
  <c r="M446" i="1" s="1"/>
  <c r="R445" i="1"/>
  <c r="N445" i="1"/>
  <c r="I445" i="1"/>
  <c r="H445" i="1" s="1"/>
  <c r="M445" i="1" s="1"/>
  <c r="O445" i="1" s="1"/>
  <c r="R444" i="1"/>
  <c r="N444" i="1"/>
  <c r="I444" i="1"/>
  <c r="H444" i="1" s="1"/>
  <c r="M444" i="1" s="1"/>
  <c r="R443" i="1"/>
  <c r="N443" i="1"/>
  <c r="I443" i="1"/>
  <c r="H443" i="1" s="1"/>
  <c r="M443" i="1" s="1"/>
  <c r="R442" i="1"/>
  <c r="N442" i="1"/>
  <c r="I442" i="1"/>
  <c r="H442" i="1" s="1"/>
  <c r="M442" i="1" s="1"/>
  <c r="R441" i="1"/>
  <c r="N441" i="1"/>
  <c r="I441" i="1"/>
  <c r="H441" i="1"/>
  <c r="M441" i="1" s="1"/>
  <c r="R440" i="1"/>
  <c r="N440" i="1"/>
  <c r="I440" i="1"/>
  <c r="H440" i="1" s="1"/>
  <c r="M440" i="1" s="1"/>
  <c r="R439" i="1"/>
  <c r="N439" i="1"/>
  <c r="I439" i="1"/>
  <c r="H439" i="1" s="1"/>
  <c r="M439" i="1" s="1"/>
  <c r="R438" i="1"/>
  <c r="N438" i="1"/>
  <c r="I438" i="1"/>
  <c r="H438" i="1" s="1"/>
  <c r="M438" i="1" s="1"/>
  <c r="R437" i="1"/>
  <c r="N437" i="1"/>
  <c r="I437" i="1"/>
  <c r="H437" i="1" s="1"/>
  <c r="M437" i="1" s="1"/>
  <c r="R436" i="1"/>
  <c r="N436" i="1"/>
  <c r="I436" i="1"/>
  <c r="H436" i="1" s="1"/>
  <c r="R435" i="1"/>
  <c r="N435" i="1"/>
  <c r="I435" i="1"/>
  <c r="R434" i="1"/>
  <c r="N434" i="1"/>
  <c r="I434" i="1"/>
  <c r="H434" i="1" s="1"/>
  <c r="R433" i="1"/>
  <c r="N433" i="1"/>
  <c r="I433" i="1"/>
  <c r="H433" i="1" s="1"/>
  <c r="M433" i="1" s="1"/>
  <c r="O433" i="1" s="1"/>
  <c r="R432" i="1"/>
  <c r="N432" i="1"/>
  <c r="I432" i="1"/>
  <c r="H432" i="1" s="1"/>
  <c r="R431" i="1"/>
  <c r="N431" i="1"/>
  <c r="I431" i="1"/>
  <c r="R430" i="1"/>
  <c r="N430" i="1"/>
  <c r="I430" i="1"/>
  <c r="H430" i="1" s="1"/>
  <c r="R429" i="1"/>
  <c r="N429" i="1"/>
  <c r="I429" i="1"/>
  <c r="H429" i="1" s="1"/>
  <c r="M429" i="1" s="1"/>
  <c r="O429" i="1" s="1"/>
  <c r="R428" i="1"/>
  <c r="N428" i="1"/>
  <c r="I428" i="1"/>
  <c r="M428" i="1" s="1"/>
  <c r="R427" i="1"/>
  <c r="N427" i="1"/>
  <c r="I427" i="1"/>
  <c r="M427" i="1" s="1"/>
  <c r="R426" i="1"/>
  <c r="N426" i="1"/>
  <c r="I426" i="1"/>
  <c r="M426" i="1" s="1"/>
  <c r="R425" i="1"/>
  <c r="N425" i="1"/>
  <c r="I425" i="1"/>
  <c r="M425" i="1" s="1"/>
  <c r="O425" i="1" s="1"/>
  <c r="R424" i="1"/>
  <c r="N424" i="1"/>
  <c r="I424" i="1"/>
  <c r="M424" i="1" s="1"/>
  <c r="R423" i="1"/>
  <c r="N423" i="1"/>
  <c r="I423" i="1"/>
  <c r="M423" i="1" s="1"/>
  <c r="R422" i="1"/>
  <c r="N422" i="1"/>
  <c r="I422" i="1"/>
  <c r="M422" i="1" s="1"/>
  <c r="R421" i="1"/>
  <c r="N421" i="1"/>
  <c r="I421" i="1"/>
  <c r="M421" i="1" s="1"/>
  <c r="O421" i="1" s="1"/>
  <c r="R420" i="1"/>
  <c r="N420" i="1"/>
  <c r="I420" i="1"/>
  <c r="M420" i="1" s="1"/>
  <c r="R419" i="1"/>
  <c r="N419" i="1"/>
  <c r="I419" i="1"/>
  <c r="M419" i="1" s="1"/>
  <c r="R418" i="1"/>
  <c r="N418" i="1"/>
  <c r="I418" i="1"/>
  <c r="M418" i="1" s="1"/>
  <c r="O418" i="1" s="1"/>
  <c r="R417" i="1"/>
  <c r="N417" i="1"/>
  <c r="I417" i="1"/>
  <c r="R416" i="1"/>
  <c r="N416" i="1"/>
  <c r="I416" i="1"/>
  <c r="M416" i="1" s="1"/>
  <c r="R415" i="1"/>
  <c r="N415" i="1"/>
  <c r="I415" i="1"/>
  <c r="M415" i="1" s="1"/>
  <c r="N414" i="1"/>
  <c r="I414" i="1"/>
  <c r="M414" i="1" s="1"/>
  <c r="N413" i="1"/>
  <c r="I413" i="1"/>
  <c r="M413" i="1" s="1"/>
  <c r="R412" i="1"/>
  <c r="N412" i="1"/>
  <c r="I412" i="1"/>
  <c r="H412" i="1" s="1"/>
  <c r="M412" i="1" s="1"/>
  <c r="R411" i="1"/>
  <c r="N411" i="1"/>
  <c r="I411" i="1"/>
  <c r="H411" i="1" s="1"/>
  <c r="M411" i="1" s="1"/>
  <c r="R410" i="1"/>
  <c r="N410" i="1"/>
  <c r="I410" i="1"/>
  <c r="H410" i="1" s="1"/>
  <c r="M410" i="1" s="1"/>
  <c r="O410" i="1" s="1"/>
  <c r="R409" i="1"/>
  <c r="N409" i="1"/>
  <c r="I409" i="1"/>
  <c r="H409" i="1" s="1"/>
  <c r="M409" i="1" s="1"/>
  <c r="R408" i="1"/>
  <c r="N408" i="1"/>
  <c r="I408" i="1"/>
  <c r="H408" i="1" s="1"/>
  <c r="M408" i="1" s="1"/>
  <c r="O408" i="1" s="1"/>
  <c r="R407" i="1"/>
  <c r="N407" i="1"/>
  <c r="I407" i="1"/>
  <c r="H407" i="1" s="1"/>
  <c r="M407" i="1" s="1"/>
  <c r="O407" i="1" s="1"/>
  <c r="R406" i="1"/>
  <c r="N406" i="1"/>
  <c r="I406" i="1"/>
  <c r="H406" i="1" s="1"/>
  <c r="M406" i="1" s="1"/>
  <c r="R405" i="1"/>
  <c r="N405" i="1"/>
  <c r="I405" i="1"/>
  <c r="H405" i="1" s="1"/>
  <c r="M405" i="1" s="1"/>
  <c r="R404" i="1"/>
  <c r="N404" i="1"/>
  <c r="I404" i="1"/>
  <c r="R403" i="1"/>
  <c r="N403" i="1"/>
  <c r="I403" i="1"/>
  <c r="M403" i="1" s="1"/>
  <c r="R402" i="1"/>
  <c r="N402" i="1"/>
  <c r="I402" i="1"/>
  <c r="M402" i="1" s="1"/>
  <c r="R401" i="1"/>
  <c r="N401" i="1"/>
  <c r="I401" i="1"/>
  <c r="M401" i="1" s="1"/>
  <c r="R400" i="1"/>
  <c r="N400" i="1"/>
  <c r="I400" i="1"/>
  <c r="M400" i="1" s="1"/>
  <c r="O400" i="1" s="1"/>
  <c r="R399" i="1"/>
  <c r="N399" i="1"/>
  <c r="I399" i="1"/>
  <c r="H399" i="1" s="1"/>
  <c r="M399" i="1" s="1"/>
  <c r="N398" i="1"/>
  <c r="I398" i="1"/>
  <c r="M398" i="1" s="1"/>
  <c r="Q398" i="1" s="1"/>
  <c r="R398" i="1" s="1"/>
  <c r="N397" i="1"/>
  <c r="I397" i="1"/>
  <c r="H397" i="1" s="1"/>
  <c r="M397" i="1" s="1"/>
  <c r="N396" i="1"/>
  <c r="I396" i="1"/>
  <c r="H396" i="1" s="1"/>
  <c r="M396" i="1" s="1"/>
  <c r="N395" i="1"/>
  <c r="I395" i="1"/>
  <c r="H395" i="1" s="1"/>
  <c r="M395" i="1" s="1"/>
  <c r="N394" i="1"/>
  <c r="I394" i="1"/>
  <c r="H394" i="1" s="1"/>
  <c r="M394" i="1" s="1"/>
  <c r="Q394" i="1" s="1"/>
  <c r="R394" i="1" s="1"/>
  <c r="N393" i="1"/>
  <c r="I393" i="1"/>
  <c r="H393" i="1"/>
  <c r="M393" i="1" s="1"/>
  <c r="N392" i="1"/>
  <c r="I392" i="1"/>
  <c r="M392" i="1" s="1"/>
  <c r="N391" i="1"/>
  <c r="I391" i="1"/>
  <c r="M391" i="1" s="1"/>
  <c r="R390" i="1"/>
  <c r="N390" i="1"/>
  <c r="I390" i="1"/>
  <c r="M390" i="1" s="1"/>
  <c r="O390" i="1" s="1"/>
  <c r="N389" i="1"/>
  <c r="I389" i="1"/>
  <c r="H389" i="1" s="1"/>
  <c r="M389" i="1" s="1"/>
  <c r="R388" i="1"/>
  <c r="N388" i="1"/>
  <c r="I388" i="1"/>
  <c r="M388" i="1" s="1"/>
  <c r="N387" i="1"/>
  <c r="I387" i="1"/>
  <c r="H387" i="1" s="1"/>
  <c r="M387" i="1" s="1"/>
  <c r="N386" i="1"/>
  <c r="I386" i="1"/>
  <c r="H386" i="1" s="1"/>
  <c r="M386" i="1" s="1"/>
  <c r="Q386" i="1" s="1"/>
  <c r="R386" i="1" s="1"/>
  <c r="N385" i="1"/>
  <c r="I385" i="1"/>
  <c r="H385" i="1" s="1"/>
  <c r="M385" i="1" s="1"/>
  <c r="R384" i="1"/>
  <c r="N384" i="1"/>
  <c r="I384" i="1"/>
  <c r="H384" i="1" s="1"/>
  <c r="M384" i="1" s="1"/>
  <c r="O384" i="1" s="1"/>
  <c r="N383" i="1"/>
  <c r="I383" i="1"/>
  <c r="H383" i="1" s="1"/>
  <c r="M383" i="1" s="1"/>
  <c r="N382" i="1"/>
  <c r="I382" i="1"/>
  <c r="H382" i="1" s="1"/>
  <c r="M382" i="1" s="1"/>
  <c r="Q382" i="1" s="1"/>
  <c r="R382" i="1" s="1"/>
  <c r="N381" i="1"/>
  <c r="I381" i="1"/>
  <c r="N380" i="1"/>
  <c r="I380" i="1"/>
  <c r="H380" i="1" s="1"/>
  <c r="M380" i="1" s="1"/>
  <c r="Q380" i="1" s="1"/>
  <c r="R380" i="1" s="1"/>
  <c r="N379" i="1"/>
  <c r="I379" i="1"/>
  <c r="H379" i="1" s="1"/>
  <c r="M379" i="1" s="1"/>
  <c r="R378" i="1"/>
  <c r="N378" i="1"/>
  <c r="I378" i="1"/>
  <c r="H378" i="1" s="1"/>
  <c r="M378" i="1" s="1"/>
  <c r="R377" i="1"/>
  <c r="N377" i="1"/>
  <c r="I377" i="1"/>
  <c r="H377" i="1" s="1"/>
  <c r="M377" i="1" s="1"/>
  <c r="O377" i="1" s="1"/>
  <c r="R376" i="1"/>
  <c r="N376" i="1"/>
  <c r="I376" i="1"/>
  <c r="H376" i="1" s="1"/>
  <c r="M376" i="1" s="1"/>
  <c r="O376" i="1" s="1"/>
  <c r="R375" i="1"/>
  <c r="N375" i="1"/>
  <c r="I375" i="1"/>
  <c r="H375" i="1" s="1"/>
  <c r="M375" i="1" s="1"/>
  <c r="R374" i="1"/>
  <c r="N374" i="1"/>
  <c r="I374" i="1"/>
  <c r="H374" i="1" s="1"/>
  <c r="M374" i="1" s="1"/>
  <c r="R373" i="1"/>
  <c r="N373" i="1"/>
  <c r="I373" i="1"/>
  <c r="M373" i="1" s="1"/>
  <c r="R372" i="1"/>
  <c r="N372" i="1"/>
  <c r="I372" i="1"/>
  <c r="M372" i="1" s="1"/>
  <c r="R371" i="1"/>
  <c r="N371" i="1"/>
  <c r="I371" i="1"/>
  <c r="M371" i="1" s="1"/>
  <c r="R370" i="1"/>
  <c r="N370" i="1"/>
  <c r="I370" i="1"/>
  <c r="H370" i="1"/>
  <c r="M370" i="1" s="1"/>
  <c r="R369" i="1"/>
  <c r="N369" i="1"/>
  <c r="I369" i="1"/>
  <c r="H369" i="1" s="1"/>
  <c r="M369" i="1" s="1"/>
  <c r="R368" i="1"/>
  <c r="N368" i="1"/>
  <c r="I368" i="1"/>
  <c r="H368" i="1" s="1"/>
  <c r="M368" i="1" s="1"/>
  <c r="R367" i="1"/>
  <c r="N367" i="1"/>
  <c r="I367" i="1"/>
  <c r="H367" i="1" s="1"/>
  <c r="M367" i="1" s="1"/>
  <c r="O367" i="1" s="1"/>
  <c r="R366" i="1"/>
  <c r="N366" i="1"/>
  <c r="I366" i="1"/>
  <c r="H366" i="1" s="1"/>
  <c r="M366" i="1" s="1"/>
  <c r="R365" i="1"/>
  <c r="N365" i="1"/>
  <c r="I365" i="1"/>
  <c r="H365" i="1" s="1"/>
  <c r="M365" i="1" s="1"/>
  <c r="R364" i="1"/>
  <c r="N364" i="1"/>
  <c r="I364" i="1"/>
  <c r="H364" i="1" s="1"/>
  <c r="M364" i="1" s="1"/>
  <c r="R363" i="1"/>
  <c r="N363" i="1"/>
  <c r="I363" i="1"/>
  <c r="H363" i="1" s="1"/>
  <c r="M363" i="1" s="1"/>
  <c r="R362" i="1"/>
  <c r="N362" i="1"/>
  <c r="I362" i="1"/>
  <c r="H362" i="1" s="1"/>
  <c r="M362" i="1" s="1"/>
  <c r="O362" i="1" s="1"/>
  <c r="R361" i="1"/>
  <c r="N361" i="1"/>
  <c r="I361" i="1"/>
  <c r="H361" i="1" s="1"/>
  <c r="M361" i="1" s="1"/>
  <c r="O361" i="1" s="1"/>
  <c r="R360" i="1"/>
  <c r="N360" i="1"/>
  <c r="I360" i="1"/>
  <c r="H360" i="1" s="1"/>
  <c r="M360" i="1" s="1"/>
  <c r="R359" i="1"/>
  <c r="N359" i="1"/>
  <c r="I359" i="1"/>
  <c r="R358" i="1"/>
  <c r="N358" i="1"/>
  <c r="I358" i="1"/>
  <c r="H358" i="1" s="1"/>
  <c r="M358" i="1" s="1"/>
  <c r="R357" i="1"/>
  <c r="N357" i="1"/>
  <c r="I357" i="1"/>
  <c r="H357" i="1" s="1"/>
  <c r="M357" i="1" s="1"/>
  <c r="R356" i="1"/>
  <c r="N356" i="1"/>
  <c r="I356" i="1"/>
  <c r="H356" i="1" s="1"/>
  <c r="M356" i="1" s="1"/>
  <c r="R355" i="1"/>
  <c r="N355" i="1"/>
  <c r="I355" i="1"/>
  <c r="H355" i="1" s="1"/>
  <c r="M355" i="1" s="1"/>
  <c r="R354" i="1"/>
  <c r="N354" i="1"/>
  <c r="I354" i="1"/>
  <c r="H354" i="1" s="1"/>
  <c r="M354" i="1" s="1"/>
  <c r="O354" i="1" s="1"/>
  <c r="R353" i="1"/>
  <c r="N353" i="1"/>
  <c r="I353" i="1"/>
  <c r="H353" i="1" s="1"/>
  <c r="M353" i="1" s="1"/>
  <c r="O353" i="1" s="1"/>
  <c r="R352" i="1"/>
  <c r="N352" i="1"/>
  <c r="I352" i="1"/>
  <c r="H352" i="1" s="1"/>
  <c r="M352" i="1" s="1"/>
  <c r="R351" i="1"/>
  <c r="N351" i="1"/>
  <c r="I351" i="1"/>
  <c r="H351" i="1" s="1"/>
  <c r="M351" i="1" s="1"/>
  <c r="R350" i="1"/>
  <c r="N350" i="1"/>
  <c r="I350" i="1"/>
  <c r="H350" i="1" s="1"/>
  <c r="M350" i="1" s="1"/>
  <c r="R349" i="1"/>
  <c r="N349" i="1"/>
  <c r="I349" i="1"/>
  <c r="H349" i="1" s="1"/>
  <c r="M349" i="1" s="1"/>
  <c r="R348" i="1"/>
  <c r="N348" i="1"/>
  <c r="I348" i="1"/>
  <c r="H348" i="1" s="1"/>
  <c r="M348" i="1" s="1"/>
  <c r="R347" i="1"/>
  <c r="N347" i="1"/>
  <c r="I347" i="1"/>
  <c r="H347" i="1" s="1"/>
  <c r="M347" i="1" s="1"/>
  <c r="R346" i="1"/>
  <c r="N346" i="1"/>
  <c r="I346" i="1"/>
  <c r="R345" i="1"/>
  <c r="N345" i="1"/>
  <c r="I345" i="1"/>
  <c r="H345" i="1" s="1"/>
  <c r="M345" i="1" s="1"/>
  <c r="R344" i="1"/>
  <c r="N344" i="1"/>
  <c r="I344" i="1"/>
  <c r="H344" i="1" s="1"/>
  <c r="M344" i="1" s="1"/>
  <c r="R343" i="1"/>
  <c r="N343" i="1"/>
  <c r="I343" i="1"/>
  <c r="H343" i="1" s="1"/>
  <c r="M343" i="1" s="1"/>
  <c r="R342" i="1"/>
  <c r="N342" i="1"/>
  <c r="I342" i="1"/>
  <c r="H342" i="1" s="1"/>
  <c r="M342" i="1" s="1"/>
  <c r="R341" i="1"/>
  <c r="N341" i="1"/>
  <c r="I341" i="1"/>
  <c r="H341" i="1" s="1"/>
  <c r="M341" i="1" s="1"/>
  <c r="R340" i="1"/>
  <c r="N340" i="1"/>
  <c r="I340" i="1"/>
  <c r="H340" i="1" s="1"/>
  <c r="M340" i="1" s="1"/>
  <c r="R339" i="1"/>
  <c r="N339" i="1"/>
  <c r="I339" i="1"/>
  <c r="H339" i="1" s="1"/>
  <c r="M339" i="1" s="1"/>
  <c r="R338" i="1"/>
  <c r="N338" i="1"/>
  <c r="I338" i="1"/>
  <c r="H338" i="1" s="1"/>
  <c r="M338" i="1" s="1"/>
  <c r="R337" i="1"/>
  <c r="N337" i="1"/>
  <c r="I337" i="1"/>
  <c r="H337" i="1" s="1"/>
  <c r="M337" i="1" s="1"/>
  <c r="R336" i="1"/>
  <c r="N336" i="1"/>
  <c r="I336" i="1"/>
  <c r="H336" i="1" s="1"/>
  <c r="M336" i="1" s="1"/>
  <c r="O336" i="1" s="1"/>
  <c r="R335" i="1"/>
  <c r="N335" i="1"/>
  <c r="I335" i="1"/>
  <c r="R334" i="1"/>
  <c r="N334" i="1"/>
  <c r="I334" i="1"/>
  <c r="H334" i="1" s="1"/>
  <c r="M334" i="1" s="1"/>
  <c r="R333" i="1"/>
  <c r="N333" i="1"/>
  <c r="I333" i="1"/>
  <c r="H333" i="1" s="1"/>
  <c r="R332" i="1"/>
  <c r="N332" i="1"/>
  <c r="I332" i="1"/>
  <c r="H332" i="1" s="1"/>
  <c r="M332" i="1" s="1"/>
  <c r="R331" i="1"/>
  <c r="N331" i="1"/>
  <c r="I331" i="1"/>
  <c r="H331" i="1" s="1"/>
  <c r="M331" i="1" s="1"/>
  <c r="O331" i="1" s="1"/>
  <c r="R330" i="1"/>
  <c r="N330" i="1"/>
  <c r="I330" i="1"/>
  <c r="H330" i="1" s="1"/>
  <c r="M330" i="1" s="1"/>
  <c r="R329" i="1"/>
  <c r="N329" i="1"/>
  <c r="I329" i="1"/>
  <c r="H329" i="1" s="1"/>
  <c r="M329" i="1" s="1"/>
  <c r="O329" i="1" s="1"/>
  <c r="R328" i="1"/>
  <c r="N328" i="1"/>
  <c r="I328" i="1"/>
  <c r="H328" i="1" s="1"/>
  <c r="M328" i="1" s="1"/>
  <c r="O328" i="1" s="1"/>
  <c r="R327" i="1"/>
  <c r="N327" i="1"/>
  <c r="I327" i="1"/>
  <c r="H327" i="1" s="1"/>
  <c r="M327" i="1" s="1"/>
  <c r="R326" i="1"/>
  <c r="N326" i="1"/>
  <c r="I326" i="1"/>
  <c r="H326" i="1" s="1"/>
  <c r="M326" i="1" s="1"/>
  <c r="R325" i="1"/>
  <c r="N325" i="1"/>
  <c r="I325" i="1"/>
  <c r="H325" i="1" s="1"/>
  <c r="M325" i="1" s="1"/>
  <c r="R324" i="1"/>
  <c r="N324" i="1"/>
  <c r="I324" i="1"/>
  <c r="H324" i="1" s="1"/>
  <c r="M324" i="1" s="1"/>
  <c r="O324" i="1" s="1"/>
  <c r="R323" i="1"/>
  <c r="N323" i="1"/>
  <c r="I323" i="1"/>
  <c r="H323" i="1" s="1"/>
  <c r="M323" i="1" s="1"/>
  <c r="O323" i="1" s="1"/>
  <c r="R322" i="1"/>
  <c r="N322" i="1"/>
  <c r="I322" i="1"/>
  <c r="H322" i="1" s="1"/>
  <c r="M322" i="1" s="1"/>
  <c r="O322" i="1" s="1"/>
  <c r="R321" i="1"/>
  <c r="N321" i="1"/>
  <c r="I321" i="1"/>
  <c r="H321" i="1" s="1"/>
  <c r="R320" i="1"/>
  <c r="N320" i="1"/>
  <c r="I320" i="1"/>
  <c r="H320" i="1" s="1"/>
  <c r="M320" i="1" s="1"/>
  <c r="O320" i="1" s="1"/>
  <c r="R319" i="1"/>
  <c r="N319" i="1"/>
  <c r="I319" i="1"/>
  <c r="H319" i="1" s="1"/>
  <c r="M319" i="1" s="1"/>
  <c r="R318" i="1"/>
  <c r="N318" i="1"/>
  <c r="I318" i="1"/>
  <c r="H318" i="1" s="1"/>
  <c r="R317" i="1"/>
  <c r="N317" i="1"/>
  <c r="I317" i="1"/>
  <c r="H317" i="1" s="1"/>
  <c r="R316" i="1"/>
  <c r="N316" i="1"/>
  <c r="I316" i="1"/>
  <c r="H316" i="1" s="1"/>
  <c r="M316" i="1" s="1"/>
  <c r="O316" i="1" s="1"/>
  <c r="R315" i="1"/>
  <c r="N315" i="1"/>
  <c r="I315" i="1"/>
  <c r="H315" i="1" s="1"/>
  <c r="M315" i="1" s="1"/>
  <c r="R314" i="1"/>
  <c r="N314" i="1"/>
  <c r="I314" i="1"/>
  <c r="H314" i="1" s="1"/>
  <c r="R313" i="1"/>
  <c r="N313" i="1"/>
  <c r="I313" i="1"/>
  <c r="H313" i="1" s="1"/>
  <c r="R312" i="1"/>
  <c r="N312" i="1"/>
  <c r="I312" i="1"/>
  <c r="M312" i="1" s="1"/>
  <c r="R311" i="1"/>
  <c r="N311" i="1"/>
  <c r="I311" i="1"/>
  <c r="M311" i="1" s="1"/>
  <c r="O311" i="1" s="1"/>
  <c r="R310" i="1"/>
  <c r="N310" i="1"/>
  <c r="I310" i="1"/>
  <c r="M310" i="1" s="1"/>
  <c r="R309" i="1"/>
  <c r="N309" i="1"/>
  <c r="I309" i="1"/>
  <c r="M309" i="1" s="1"/>
  <c r="R308" i="1"/>
  <c r="N308" i="1"/>
  <c r="I308" i="1"/>
  <c r="M308" i="1" s="1"/>
  <c r="O308" i="1" s="1"/>
  <c r="R307" i="1"/>
  <c r="N307" i="1"/>
  <c r="I307" i="1"/>
  <c r="M307" i="1" s="1"/>
  <c r="R306" i="1"/>
  <c r="N306" i="1"/>
  <c r="I306" i="1"/>
  <c r="R305" i="1"/>
  <c r="N305" i="1"/>
  <c r="I305" i="1"/>
  <c r="M305" i="1" s="1"/>
  <c r="R304" i="1"/>
  <c r="N304" i="1"/>
  <c r="I304" i="1"/>
  <c r="M304" i="1" s="1"/>
  <c r="O304" i="1" s="1"/>
  <c r="R303" i="1"/>
  <c r="N303" i="1"/>
  <c r="I303" i="1"/>
  <c r="R302" i="1"/>
  <c r="N302" i="1"/>
  <c r="I302" i="1"/>
  <c r="M302" i="1" s="1"/>
  <c r="N301" i="1"/>
  <c r="I301" i="1"/>
  <c r="M301" i="1" s="1"/>
  <c r="O301" i="1" s="1"/>
  <c r="Q301" i="1" s="1"/>
  <c r="R301" i="1" s="1"/>
  <c r="N300" i="1"/>
  <c r="I300" i="1"/>
  <c r="H300" i="1" s="1"/>
  <c r="M300" i="1" s="1"/>
  <c r="N299" i="1"/>
  <c r="I299" i="1"/>
  <c r="M299" i="1" s="1"/>
  <c r="R298" i="1"/>
  <c r="N298" i="1"/>
  <c r="I298" i="1"/>
  <c r="H298" i="1" s="1"/>
  <c r="M298" i="1" s="1"/>
  <c r="O298" i="1" s="1"/>
  <c r="R297" i="1"/>
  <c r="N297" i="1"/>
  <c r="I297" i="1"/>
  <c r="H297" i="1" s="1"/>
  <c r="M297" i="1" s="1"/>
  <c r="R296" i="1"/>
  <c r="N296" i="1"/>
  <c r="I296" i="1"/>
  <c r="H296" i="1" s="1"/>
  <c r="M296" i="1" s="1"/>
  <c r="R295" i="1"/>
  <c r="N295" i="1"/>
  <c r="I295" i="1"/>
  <c r="H295" i="1" s="1"/>
  <c r="M295" i="1" s="1"/>
  <c r="R294" i="1"/>
  <c r="N294" i="1"/>
  <c r="I294" i="1"/>
  <c r="H294" i="1" s="1"/>
  <c r="M294" i="1" s="1"/>
  <c r="O294" i="1" s="1"/>
  <c r="R293" i="1"/>
  <c r="N293" i="1"/>
  <c r="I293" i="1"/>
  <c r="R292" i="1"/>
  <c r="N292" i="1"/>
  <c r="I292" i="1"/>
  <c r="R291" i="1"/>
  <c r="N291" i="1"/>
  <c r="I291" i="1"/>
  <c r="H291" i="1"/>
  <c r="M291" i="1" s="1"/>
  <c r="R290" i="1"/>
  <c r="N290" i="1"/>
  <c r="I290" i="1"/>
  <c r="N289" i="1"/>
  <c r="I289" i="1"/>
  <c r="M289" i="1" s="1"/>
  <c r="N288" i="1"/>
  <c r="I288" i="1"/>
  <c r="H288" i="1" s="1"/>
  <c r="M288" i="1" s="1"/>
  <c r="Q288" i="1" s="1"/>
  <c r="R288" i="1" s="1"/>
  <c r="N287" i="1"/>
  <c r="I287" i="1"/>
  <c r="H287" i="1" s="1"/>
  <c r="M287" i="1" s="1"/>
  <c r="N286" i="1"/>
  <c r="I286" i="1"/>
  <c r="H286" i="1" s="1"/>
  <c r="M286" i="1" s="1"/>
  <c r="N285" i="1"/>
  <c r="I285" i="1"/>
  <c r="H285" i="1" s="1"/>
  <c r="M285" i="1" s="1"/>
  <c r="R284" i="1"/>
  <c r="N284" i="1"/>
  <c r="I284" i="1"/>
  <c r="H284" i="1" s="1"/>
  <c r="M284" i="1" s="1"/>
  <c r="R283" i="1"/>
  <c r="N283" i="1"/>
  <c r="I283" i="1"/>
  <c r="H283" i="1" s="1"/>
  <c r="M283" i="1" s="1"/>
  <c r="O283" i="1" s="1"/>
  <c r="R282" i="1"/>
  <c r="N282" i="1"/>
  <c r="I282" i="1"/>
  <c r="H282" i="1" s="1"/>
  <c r="M282" i="1" s="1"/>
  <c r="O282" i="1" s="1"/>
  <c r="R281" i="1"/>
  <c r="N281" i="1"/>
  <c r="I281" i="1"/>
  <c r="H281" i="1" s="1"/>
  <c r="M281" i="1" s="1"/>
  <c r="O281" i="1" s="1"/>
  <c r="R280" i="1"/>
  <c r="N280" i="1"/>
  <c r="I280" i="1"/>
  <c r="H280" i="1" s="1"/>
  <c r="M280" i="1" s="1"/>
  <c r="R279" i="1"/>
  <c r="N279" i="1"/>
  <c r="I279" i="1"/>
  <c r="H279" i="1" s="1"/>
  <c r="M279" i="1" s="1"/>
  <c r="O279" i="1" s="1"/>
  <c r="R278" i="1"/>
  <c r="N278" i="1"/>
  <c r="I278" i="1"/>
  <c r="H278" i="1" s="1"/>
  <c r="M278" i="1" s="1"/>
  <c r="R277" i="1"/>
  <c r="N277" i="1"/>
  <c r="I277" i="1"/>
  <c r="H277" i="1" s="1"/>
  <c r="M277" i="1" s="1"/>
  <c r="R276" i="1"/>
  <c r="N276" i="1"/>
  <c r="I276" i="1"/>
  <c r="H276" i="1" s="1"/>
  <c r="M276" i="1" s="1"/>
  <c r="R275" i="1"/>
  <c r="N275" i="1"/>
  <c r="I275" i="1"/>
  <c r="H275" i="1" s="1"/>
  <c r="M275" i="1" s="1"/>
  <c r="O275" i="1" s="1"/>
  <c r="R274" i="1"/>
  <c r="N274" i="1"/>
  <c r="I274" i="1"/>
  <c r="H274" i="1" s="1"/>
  <c r="M274" i="1" s="1"/>
  <c r="O274" i="1" s="1"/>
  <c r="R273" i="1"/>
  <c r="N273" i="1"/>
  <c r="I273" i="1"/>
  <c r="H273" i="1" s="1"/>
  <c r="M273" i="1" s="1"/>
  <c r="O273" i="1" s="1"/>
  <c r="R272" i="1"/>
  <c r="N272" i="1"/>
  <c r="I272" i="1"/>
  <c r="M272" i="1" s="1"/>
  <c r="N271" i="1"/>
  <c r="I271" i="1"/>
  <c r="H271" i="1"/>
  <c r="M271" i="1" s="1"/>
  <c r="N270" i="1"/>
  <c r="I270" i="1"/>
  <c r="H270" i="1" s="1"/>
  <c r="M270" i="1" s="1"/>
  <c r="Q270" i="1" s="1"/>
  <c r="R269" i="1"/>
  <c r="N269" i="1"/>
  <c r="I269" i="1"/>
  <c r="H269" i="1" s="1"/>
  <c r="M269" i="1" s="1"/>
  <c r="R268" i="1"/>
  <c r="N268" i="1"/>
  <c r="I268" i="1"/>
  <c r="H268" i="1" s="1"/>
  <c r="M268" i="1" s="1"/>
  <c r="R267" i="1"/>
  <c r="N267" i="1"/>
  <c r="I267" i="1"/>
  <c r="H267" i="1" s="1"/>
  <c r="M267" i="1" s="1"/>
  <c r="R266" i="1"/>
  <c r="N266" i="1"/>
  <c r="I266" i="1"/>
  <c r="M266" i="1" s="1"/>
  <c r="R265" i="1"/>
  <c r="N265" i="1"/>
  <c r="I265" i="1"/>
  <c r="M265" i="1" s="1"/>
  <c r="O265" i="1" s="1"/>
  <c r="R264" i="1"/>
  <c r="N264" i="1"/>
  <c r="I264" i="1"/>
  <c r="M264" i="1" s="1"/>
  <c r="R263" i="1"/>
  <c r="N263" i="1"/>
  <c r="I263" i="1"/>
  <c r="M263" i="1" s="1"/>
  <c r="R262" i="1"/>
  <c r="N262" i="1"/>
  <c r="I262" i="1"/>
  <c r="M262" i="1" s="1"/>
  <c r="R261" i="1"/>
  <c r="N261" i="1"/>
  <c r="I261" i="1"/>
  <c r="H261" i="1" s="1"/>
  <c r="M261" i="1" s="1"/>
  <c r="R260" i="1"/>
  <c r="N260" i="1"/>
  <c r="I260" i="1"/>
  <c r="H260" i="1" s="1"/>
  <c r="M260" i="1" s="1"/>
  <c r="O260" i="1" s="1"/>
  <c r="R259" i="1"/>
  <c r="N259" i="1"/>
  <c r="I259" i="1"/>
  <c r="H259" i="1" s="1"/>
  <c r="M259" i="1" s="1"/>
  <c r="O259" i="1" s="1"/>
  <c r="R258" i="1"/>
  <c r="N258" i="1"/>
  <c r="I258" i="1"/>
  <c r="H258" i="1"/>
  <c r="M258" i="1" s="1"/>
  <c r="R257" i="1"/>
  <c r="N257" i="1"/>
  <c r="I257" i="1"/>
  <c r="H257" i="1" s="1"/>
  <c r="M257" i="1" s="1"/>
  <c r="R256" i="1"/>
  <c r="N256" i="1"/>
  <c r="I256" i="1"/>
  <c r="H256" i="1" s="1"/>
  <c r="M256" i="1" s="1"/>
  <c r="R255" i="1"/>
  <c r="N255" i="1"/>
  <c r="I255" i="1"/>
  <c r="R254" i="1"/>
  <c r="N254" i="1"/>
  <c r="I254" i="1"/>
  <c r="H254" i="1" s="1"/>
  <c r="M254" i="1" s="1"/>
  <c r="O254" i="1" s="1"/>
  <c r="R253" i="1"/>
  <c r="N253" i="1"/>
  <c r="I253" i="1"/>
  <c r="H253" i="1" s="1"/>
  <c r="M253" i="1" s="1"/>
  <c r="R252" i="1"/>
  <c r="N252" i="1"/>
  <c r="I252" i="1"/>
  <c r="H252" i="1" s="1"/>
  <c r="M252" i="1" s="1"/>
  <c r="R251" i="1"/>
  <c r="N251" i="1"/>
  <c r="I251" i="1"/>
  <c r="R250" i="1"/>
  <c r="N250" i="1"/>
  <c r="I250" i="1"/>
  <c r="H250" i="1" s="1"/>
  <c r="M250" i="1" s="1"/>
  <c r="R249" i="1"/>
  <c r="N249" i="1"/>
  <c r="I249" i="1"/>
  <c r="H249" i="1" s="1"/>
  <c r="M249" i="1" s="1"/>
  <c r="R248" i="1"/>
  <c r="N248" i="1"/>
  <c r="I248" i="1"/>
  <c r="H248" i="1" s="1"/>
  <c r="M248" i="1" s="1"/>
  <c r="R247" i="1"/>
  <c r="N247" i="1"/>
  <c r="I247" i="1"/>
  <c r="H247" i="1" s="1"/>
  <c r="M247" i="1" s="1"/>
  <c r="O247" i="1" s="1"/>
  <c r="R246" i="1"/>
  <c r="N246" i="1"/>
  <c r="I246" i="1"/>
  <c r="R245" i="1"/>
  <c r="N245" i="1"/>
  <c r="I245" i="1"/>
  <c r="H245" i="1" s="1"/>
  <c r="M245" i="1" s="1"/>
  <c r="O245" i="1" s="1"/>
  <c r="R244" i="1"/>
  <c r="N244" i="1"/>
  <c r="I244" i="1"/>
  <c r="H244" i="1" s="1"/>
  <c r="M244" i="1" s="1"/>
  <c r="R243" i="1"/>
  <c r="N243" i="1"/>
  <c r="I243" i="1"/>
  <c r="H243" i="1" s="1"/>
  <c r="M243" i="1" s="1"/>
  <c r="O243" i="1" s="1"/>
  <c r="R242" i="1"/>
  <c r="N242" i="1"/>
  <c r="I242" i="1"/>
  <c r="H242" i="1" s="1"/>
  <c r="M242" i="1" s="1"/>
  <c r="R241" i="1"/>
  <c r="N241" i="1"/>
  <c r="I241" i="1"/>
  <c r="R240" i="1"/>
  <c r="N240" i="1"/>
  <c r="I240" i="1"/>
  <c r="H240" i="1" s="1"/>
  <c r="M240" i="1" s="1"/>
  <c r="O240" i="1" s="1"/>
  <c r="R239" i="1"/>
  <c r="N239" i="1"/>
  <c r="I239" i="1"/>
  <c r="R238" i="1"/>
  <c r="N238" i="1"/>
  <c r="I238" i="1"/>
  <c r="H238" i="1"/>
  <c r="R237" i="1"/>
  <c r="N237" i="1"/>
  <c r="I237" i="1"/>
  <c r="M237" i="1" s="1"/>
  <c r="R236" i="1"/>
  <c r="N236" i="1"/>
  <c r="I236" i="1"/>
  <c r="M236" i="1" s="1"/>
  <c r="N235" i="1"/>
  <c r="I235" i="1"/>
  <c r="M235" i="1" s="1"/>
  <c r="O235" i="1" s="1"/>
  <c r="Q235" i="1" s="1"/>
  <c r="R235" i="1" s="1"/>
  <c r="N234" i="1"/>
  <c r="I234" i="1"/>
  <c r="M234" i="1" s="1"/>
  <c r="N233" i="1"/>
  <c r="I233" i="1"/>
  <c r="H233" i="1" s="1"/>
  <c r="M233" i="1" s="1"/>
  <c r="O233" i="1" s="1"/>
  <c r="N232" i="1"/>
  <c r="I232" i="1"/>
  <c r="H232" i="1" s="1"/>
  <c r="M232" i="1" s="1"/>
  <c r="N231" i="1"/>
  <c r="I231" i="1"/>
  <c r="H231" i="1" s="1"/>
  <c r="M231" i="1" s="1"/>
  <c r="R230" i="1"/>
  <c r="N230" i="1"/>
  <c r="I230" i="1"/>
  <c r="H230" i="1" s="1"/>
  <c r="M230" i="1" s="1"/>
  <c r="R229" i="1"/>
  <c r="N229" i="1"/>
  <c r="I229" i="1"/>
  <c r="H229" i="1" s="1"/>
  <c r="M229" i="1" s="1"/>
  <c r="R228" i="1"/>
  <c r="N228" i="1"/>
  <c r="I228" i="1"/>
  <c r="H228" i="1" s="1"/>
  <c r="M228" i="1" s="1"/>
  <c r="R227" i="1"/>
  <c r="N227" i="1"/>
  <c r="I227" i="1"/>
  <c r="H227" i="1" s="1"/>
  <c r="M227" i="1" s="1"/>
  <c r="R226" i="1"/>
  <c r="N226" i="1"/>
  <c r="I226" i="1"/>
  <c r="H226" i="1" s="1"/>
  <c r="M226" i="1" s="1"/>
  <c r="R225" i="1"/>
  <c r="N225" i="1"/>
  <c r="I225" i="1"/>
  <c r="H225" i="1" s="1"/>
  <c r="M225" i="1" s="1"/>
  <c r="R224" i="1"/>
  <c r="N224" i="1"/>
  <c r="I224" i="1"/>
  <c r="M224" i="1" s="1"/>
  <c r="O224" i="1" s="1"/>
  <c r="N223" i="1"/>
  <c r="I223" i="1"/>
  <c r="M223" i="1" s="1"/>
  <c r="N222" i="1"/>
  <c r="I222" i="1"/>
  <c r="M222" i="1" s="1"/>
  <c r="R221" i="1"/>
  <c r="N221" i="1"/>
  <c r="I221" i="1"/>
  <c r="R220" i="1"/>
  <c r="N220" i="1"/>
  <c r="I220" i="1"/>
  <c r="H220" i="1" s="1"/>
  <c r="M220" i="1" s="1"/>
  <c r="R219" i="1"/>
  <c r="N219" i="1"/>
  <c r="I219" i="1"/>
  <c r="M219" i="1" s="1"/>
  <c r="R218" i="1"/>
  <c r="N218" i="1"/>
  <c r="I218" i="1"/>
  <c r="H218" i="1" s="1"/>
  <c r="M218" i="1" s="1"/>
  <c r="R217" i="1"/>
  <c r="N217" i="1"/>
  <c r="I217" i="1"/>
  <c r="H217" i="1" s="1"/>
  <c r="M217" i="1" s="1"/>
  <c r="O217" i="1" s="1"/>
  <c r="R216" i="1"/>
  <c r="N216" i="1"/>
  <c r="I216" i="1"/>
  <c r="H216" i="1" s="1"/>
  <c r="M216" i="1" s="1"/>
  <c r="N215" i="1"/>
  <c r="I215" i="1"/>
  <c r="H215" i="1" s="1"/>
  <c r="M215" i="1" s="1"/>
  <c r="N214" i="1"/>
  <c r="I214" i="1"/>
  <c r="H214" i="1" s="1"/>
  <c r="M214" i="1" s="1"/>
  <c r="N213" i="1"/>
  <c r="I213" i="1"/>
  <c r="H213" i="1" s="1"/>
  <c r="M213" i="1" s="1"/>
  <c r="R212" i="1"/>
  <c r="N212" i="1"/>
  <c r="I212" i="1"/>
  <c r="M212" i="1" s="1"/>
  <c r="N211" i="1"/>
  <c r="I211" i="1"/>
  <c r="M211" i="1" s="1"/>
  <c r="N210" i="1"/>
  <c r="I210" i="1"/>
  <c r="M210" i="1" s="1"/>
  <c r="R209" i="1"/>
  <c r="N209" i="1"/>
  <c r="I209" i="1"/>
  <c r="M209" i="1" s="1"/>
  <c r="R208" i="1"/>
  <c r="N208" i="1"/>
  <c r="I208" i="1"/>
  <c r="N207" i="1"/>
  <c r="I207" i="1"/>
  <c r="H207" i="1" s="1"/>
  <c r="M207" i="1" s="1"/>
  <c r="N206" i="1"/>
  <c r="I206" i="1"/>
  <c r="H206" i="1" s="1"/>
  <c r="M206" i="1" s="1"/>
  <c r="N205" i="1"/>
  <c r="I205" i="1"/>
  <c r="H205" i="1" s="1"/>
  <c r="M205" i="1" s="1"/>
  <c r="R204" i="1"/>
  <c r="N204" i="1"/>
  <c r="I204" i="1"/>
  <c r="M204" i="1" s="1"/>
  <c r="N203" i="1"/>
  <c r="I203" i="1"/>
  <c r="H203" i="1" s="1"/>
  <c r="M203" i="1" s="1"/>
  <c r="N202" i="1"/>
  <c r="I202" i="1"/>
  <c r="H202" i="1" s="1"/>
  <c r="M202" i="1" s="1"/>
  <c r="Q202" i="1" s="1"/>
  <c r="R202" i="1" s="1"/>
  <c r="N201" i="1"/>
  <c r="I201" i="1"/>
  <c r="M201" i="1" s="1"/>
  <c r="Q201" i="1" s="1"/>
  <c r="R201" i="1" s="1"/>
  <c r="N200" i="1"/>
  <c r="I200" i="1"/>
  <c r="N199" i="1"/>
  <c r="I199" i="1"/>
  <c r="M199" i="1" s="1"/>
  <c r="Q199" i="1" s="1"/>
  <c r="R199" i="1" s="1"/>
  <c r="N198" i="1"/>
  <c r="I198" i="1"/>
  <c r="M198" i="1" s="1"/>
  <c r="N197" i="1"/>
  <c r="I197" i="1"/>
  <c r="N196" i="1"/>
  <c r="I196" i="1"/>
  <c r="M196" i="1" s="1"/>
  <c r="N195" i="1"/>
  <c r="I195" i="1"/>
  <c r="M195" i="1" s="1"/>
  <c r="Q195" i="1" s="1"/>
  <c r="R195" i="1" s="1"/>
  <c r="N194" i="1"/>
  <c r="I194" i="1"/>
  <c r="H194" i="1" s="1"/>
  <c r="M194" i="1" s="1"/>
  <c r="N193" i="1"/>
  <c r="I193" i="1"/>
  <c r="H193" i="1" s="1"/>
  <c r="M193" i="1" s="1"/>
  <c r="Q193" i="1" s="1"/>
  <c r="R193" i="1" s="1"/>
  <c r="N192" i="1"/>
  <c r="I192" i="1"/>
  <c r="H192" i="1" s="1"/>
  <c r="M192" i="1" s="1"/>
  <c r="N191" i="1"/>
  <c r="I191" i="1"/>
  <c r="H191" i="1" s="1"/>
  <c r="M191" i="1" s="1"/>
  <c r="N190" i="1"/>
  <c r="I190" i="1"/>
  <c r="H190" i="1" s="1"/>
  <c r="M190" i="1" s="1"/>
  <c r="Q190" i="1" s="1"/>
  <c r="R190" i="1" s="1"/>
  <c r="N189" i="1"/>
  <c r="I189" i="1"/>
  <c r="H189" i="1" s="1"/>
  <c r="M189" i="1" s="1"/>
  <c r="N188" i="1"/>
  <c r="I188" i="1"/>
  <c r="H188" i="1" s="1"/>
  <c r="M188" i="1" s="1"/>
  <c r="N187" i="1"/>
  <c r="I187" i="1"/>
  <c r="H187" i="1" s="1"/>
  <c r="M187" i="1" s="1"/>
  <c r="N186" i="1"/>
  <c r="I186" i="1"/>
  <c r="H186" i="1" s="1"/>
  <c r="M186" i="1" s="1"/>
  <c r="N185" i="1"/>
  <c r="I185" i="1"/>
  <c r="H185" i="1" s="1"/>
  <c r="M185" i="1" s="1"/>
  <c r="Q185" i="1" s="1"/>
  <c r="R185" i="1" s="1"/>
  <c r="N184" i="1"/>
  <c r="I184" i="1"/>
  <c r="H184" i="1" s="1"/>
  <c r="M184" i="1" s="1"/>
  <c r="N183" i="1"/>
  <c r="I183" i="1"/>
  <c r="H183" i="1" s="1"/>
  <c r="M183" i="1" s="1"/>
  <c r="O183" i="1" s="1"/>
  <c r="N182" i="1"/>
  <c r="I182" i="1"/>
  <c r="H182" i="1" s="1"/>
  <c r="M182" i="1" s="1"/>
  <c r="Q182" i="1" s="1"/>
  <c r="R182" i="1" s="1"/>
  <c r="N181" i="1"/>
  <c r="I181" i="1"/>
  <c r="H181" i="1" s="1"/>
  <c r="M181" i="1" s="1"/>
  <c r="N180" i="1"/>
  <c r="I180" i="1"/>
  <c r="H180" i="1" s="1"/>
  <c r="M180" i="1" s="1"/>
  <c r="N179" i="1"/>
  <c r="I179" i="1"/>
  <c r="H179" i="1" s="1"/>
  <c r="M179" i="1" s="1"/>
  <c r="N178" i="1"/>
  <c r="I178" i="1"/>
  <c r="H178" i="1" s="1"/>
  <c r="M178" i="1" s="1"/>
  <c r="N177" i="1"/>
  <c r="I177" i="1"/>
  <c r="N176" i="1"/>
  <c r="I176" i="1"/>
  <c r="H176" i="1" s="1"/>
  <c r="M176" i="1" s="1"/>
  <c r="N175" i="1"/>
  <c r="I175" i="1"/>
  <c r="H175" i="1" s="1"/>
  <c r="M175" i="1" s="1"/>
  <c r="N174" i="1"/>
  <c r="I174" i="1"/>
  <c r="H174" i="1" s="1"/>
  <c r="M174" i="1" s="1"/>
  <c r="N173" i="1"/>
  <c r="I173" i="1"/>
  <c r="H173" i="1" s="1"/>
  <c r="M173" i="1" s="1"/>
  <c r="N172" i="1"/>
  <c r="I172" i="1"/>
  <c r="H172" i="1" s="1"/>
  <c r="M172" i="1" s="1"/>
  <c r="N171" i="1"/>
  <c r="I171" i="1"/>
  <c r="H171" i="1" s="1"/>
  <c r="M171" i="1" s="1"/>
  <c r="N170" i="1"/>
  <c r="I170" i="1"/>
  <c r="H170" i="1" s="1"/>
  <c r="M170" i="1" s="1"/>
  <c r="N169" i="1"/>
  <c r="I169" i="1"/>
  <c r="H169" i="1" s="1"/>
  <c r="M169" i="1" s="1"/>
  <c r="Q169" i="1" s="1"/>
  <c r="R169" i="1" s="1"/>
  <c r="N168" i="1"/>
  <c r="I168" i="1"/>
  <c r="H168" i="1" s="1"/>
  <c r="M168" i="1" s="1"/>
  <c r="N167" i="1"/>
  <c r="I167" i="1"/>
  <c r="H167" i="1" s="1"/>
  <c r="M167" i="1" s="1"/>
  <c r="N166" i="1"/>
  <c r="I166" i="1"/>
  <c r="H166" i="1" s="1"/>
  <c r="M166" i="1" s="1"/>
  <c r="Q166" i="1" s="1"/>
  <c r="R166" i="1" s="1"/>
  <c r="N165" i="1"/>
  <c r="I165" i="1"/>
  <c r="H165" i="1" s="1"/>
  <c r="M165" i="1" s="1"/>
  <c r="N164" i="1"/>
  <c r="I164" i="1"/>
  <c r="H164" i="1" s="1"/>
  <c r="M164" i="1" s="1"/>
  <c r="N163" i="1"/>
  <c r="I163" i="1"/>
  <c r="H163" i="1" s="1"/>
  <c r="M163" i="1" s="1"/>
  <c r="N162" i="1"/>
  <c r="I162" i="1"/>
  <c r="H162" i="1" s="1"/>
  <c r="M162" i="1" s="1"/>
  <c r="N161" i="1"/>
  <c r="I161" i="1"/>
  <c r="H161" i="1" s="1"/>
  <c r="M161" i="1" s="1"/>
  <c r="Q161" i="1" s="1"/>
  <c r="R161" i="1" s="1"/>
  <c r="N160" i="1"/>
  <c r="I160" i="1"/>
  <c r="H160" i="1" s="1"/>
  <c r="M160" i="1" s="1"/>
  <c r="N159" i="1"/>
  <c r="I159" i="1"/>
  <c r="H159" i="1" s="1"/>
  <c r="M159" i="1" s="1"/>
  <c r="N158" i="1"/>
  <c r="I158" i="1"/>
  <c r="H158" i="1" s="1"/>
  <c r="M158" i="1" s="1"/>
  <c r="N157" i="1"/>
  <c r="I157" i="1"/>
  <c r="H157" i="1" s="1"/>
  <c r="M157" i="1" s="1"/>
  <c r="N156" i="1"/>
  <c r="I156" i="1"/>
  <c r="H156" i="1" s="1"/>
  <c r="M156" i="1" s="1"/>
  <c r="N155" i="1"/>
  <c r="I155" i="1"/>
  <c r="H155" i="1" s="1"/>
  <c r="M155" i="1" s="1"/>
  <c r="N154" i="1"/>
  <c r="I154" i="1"/>
  <c r="H154" i="1" s="1"/>
  <c r="M154" i="1" s="1"/>
  <c r="N153" i="1"/>
  <c r="I153" i="1"/>
  <c r="H153" i="1" s="1"/>
  <c r="M153" i="1" s="1"/>
  <c r="Q153" i="1" s="1"/>
  <c r="R153" i="1" s="1"/>
  <c r="N152" i="1"/>
  <c r="I152" i="1"/>
  <c r="H152" i="1" s="1"/>
  <c r="M152" i="1" s="1"/>
  <c r="N151" i="1"/>
  <c r="I151" i="1"/>
  <c r="H151" i="1" s="1"/>
  <c r="M151" i="1" s="1"/>
  <c r="N150" i="1"/>
  <c r="I150" i="1"/>
  <c r="H150" i="1" s="1"/>
  <c r="M150" i="1" s="1"/>
  <c r="Q150" i="1" s="1"/>
  <c r="R150" i="1" s="1"/>
  <c r="N149" i="1"/>
  <c r="I149" i="1"/>
  <c r="H149" i="1" s="1"/>
  <c r="M149" i="1" s="1"/>
  <c r="N148" i="1"/>
  <c r="I148" i="1"/>
  <c r="H148" i="1" s="1"/>
  <c r="M148" i="1" s="1"/>
  <c r="N147" i="1"/>
  <c r="I147" i="1"/>
  <c r="H147" i="1" s="1"/>
  <c r="M147" i="1" s="1"/>
  <c r="Q147" i="1" s="1"/>
  <c r="R147" i="1" s="1"/>
  <c r="N146" i="1"/>
  <c r="I146" i="1"/>
  <c r="H146" i="1" s="1"/>
  <c r="M146" i="1" s="1"/>
  <c r="Q146" i="1" s="1"/>
  <c r="R146" i="1" s="1"/>
  <c r="N145" i="1"/>
  <c r="I145" i="1"/>
  <c r="H145" i="1" s="1"/>
  <c r="M145" i="1" s="1"/>
  <c r="O145" i="1" s="1"/>
  <c r="R144" i="1"/>
  <c r="N144" i="1"/>
  <c r="I144" i="1"/>
  <c r="H144" i="1" s="1"/>
  <c r="M144" i="1" s="1"/>
  <c r="N143" i="1"/>
  <c r="I143" i="1"/>
  <c r="H143" i="1" s="1"/>
  <c r="M143" i="1" s="1"/>
  <c r="N142" i="1"/>
  <c r="I142" i="1"/>
  <c r="H142" i="1" s="1"/>
  <c r="M142" i="1" s="1"/>
  <c r="N141" i="1"/>
  <c r="I141" i="1"/>
  <c r="H141" i="1" s="1"/>
  <c r="M141" i="1" s="1"/>
  <c r="N140" i="1"/>
  <c r="I140" i="1"/>
  <c r="H140" i="1" s="1"/>
  <c r="M140" i="1" s="1"/>
  <c r="Q140" i="1" s="1"/>
  <c r="R140" i="1" s="1"/>
  <c r="N139" i="1"/>
  <c r="I139" i="1"/>
  <c r="H139" i="1" s="1"/>
  <c r="N138" i="1"/>
  <c r="I138" i="1"/>
  <c r="H138" i="1" s="1"/>
  <c r="M138" i="1" s="1"/>
  <c r="Q138" i="1" s="1"/>
  <c r="R138" i="1" s="1"/>
  <c r="N134" i="1"/>
  <c r="I134" i="1"/>
  <c r="M134" i="1" s="1"/>
  <c r="Q134" i="1" s="1"/>
  <c r="R134" i="1" s="1"/>
  <c r="N133" i="1"/>
  <c r="I133" i="1"/>
  <c r="H133" i="1" s="1"/>
  <c r="M133" i="1" s="1"/>
  <c r="Q133" i="1" s="1"/>
  <c r="R133" i="1" s="1"/>
  <c r="N132" i="1"/>
  <c r="I132" i="1"/>
  <c r="H132" i="1" s="1"/>
  <c r="M132" i="1" s="1"/>
  <c r="N131" i="1"/>
  <c r="I131" i="1"/>
  <c r="H131" i="1" s="1"/>
  <c r="M131" i="1" s="1"/>
  <c r="N130" i="1"/>
  <c r="I130" i="1"/>
  <c r="M130" i="1" s="1"/>
  <c r="Q130" i="1" s="1"/>
  <c r="R130" i="1" s="1"/>
  <c r="N129" i="1"/>
  <c r="I129" i="1"/>
  <c r="H129" i="1" s="1"/>
  <c r="M129" i="1" s="1"/>
  <c r="N128" i="1"/>
  <c r="I128" i="1"/>
  <c r="H128" i="1" s="1"/>
  <c r="M128" i="1" s="1"/>
  <c r="Q128" i="1" s="1"/>
  <c r="R128" i="1" s="1"/>
  <c r="N127" i="1"/>
  <c r="I127" i="1"/>
  <c r="N126" i="1"/>
  <c r="I126" i="1"/>
  <c r="H126" i="1" s="1"/>
  <c r="M126" i="1" s="1"/>
  <c r="N125" i="1"/>
  <c r="I125" i="1"/>
  <c r="H125" i="1"/>
  <c r="M125" i="1" s="1"/>
  <c r="N124" i="1"/>
  <c r="I124" i="1"/>
  <c r="H124" i="1" s="1"/>
  <c r="M124" i="1" s="1"/>
  <c r="N123" i="1"/>
  <c r="I123" i="1"/>
  <c r="N122" i="1"/>
  <c r="I122" i="1"/>
  <c r="H122" i="1" s="1"/>
  <c r="M122" i="1" s="1"/>
  <c r="N121" i="1"/>
  <c r="I121" i="1"/>
  <c r="H121" i="1" s="1"/>
  <c r="M121" i="1" s="1"/>
  <c r="N120" i="1"/>
  <c r="I120" i="1"/>
  <c r="H120" i="1" s="1"/>
  <c r="M120" i="1" s="1"/>
  <c r="N119" i="1"/>
  <c r="I119" i="1"/>
  <c r="N118" i="1"/>
  <c r="I118" i="1"/>
  <c r="M118" i="1" s="1"/>
  <c r="Q118" i="1" s="1"/>
  <c r="R118" i="1" s="1"/>
  <c r="N117" i="1"/>
  <c r="I117" i="1"/>
  <c r="H117" i="1" s="1"/>
  <c r="M117" i="1" s="1"/>
  <c r="N116" i="1"/>
  <c r="I116" i="1"/>
  <c r="M116" i="1" s="1"/>
  <c r="N115" i="1"/>
  <c r="I115" i="1"/>
  <c r="M115" i="1" s="1"/>
  <c r="Q115" i="1" s="1"/>
  <c r="R115" i="1" s="1"/>
  <c r="N114" i="1"/>
  <c r="I114" i="1"/>
  <c r="H114" i="1" s="1"/>
  <c r="M114" i="1" s="1"/>
  <c r="N113" i="1"/>
  <c r="I113" i="1"/>
  <c r="H113" i="1" s="1"/>
  <c r="M113" i="1" s="1"/>
  <c r="Q113" i="1" s="1"/>
  <c r="R113" i="1" s="1"/>
  <c r="N112" i="1"/>
  <c r="I112" i="1"/>
  <c r="H112" i="1" s="1"/>
  <c r="M112" i="1" s="1"/>
  <c r="N111" i="1"/>
  <c r="I111" i="1"/>
  <c r="N110" i="1"/>
  <c r="I110" i="1"/>
  <c r="M110" i="1" s="1"/>
  <c r="O110" i="1" s="1"/>
  <c r="N109" i="1"/>
  <c r="I109" i="1"/>
  <c r="H109" i="1" s="1"/>
  <c r="M109" i="1" s="1"/>
  <c r="Q109" i="1" s="1"/>
  <c r="R109" i="1" s="1"/>
  <c r="N108" i="1"/>
  <c r="I108" i="1"/>
  <c r="H108" i="1" s="1"/>
  <c r="M108" i="1" s="1"/>
  <c r="N107" i="1"/>
  <c r="I107" i="1"/>
  <c r="H107" i="1" s="1"/>
  <c r="M107" i="1" s="1"/>
  <c r="N106" i="1"/>
  <c r="I106" i="1"/>
  <c r="H106" i="1" s="1"/>
  <c r="M106" i="1" s="1"/>
  <c r="N105" i="1"/>
  <c r="I105" i="1"/>
  <c r="H105" i="1" s="1"/>
  <c r="M105" i="1" s="1"/>
  <c r="N104" i="1"/>
  <c r="I104" i="1"/>
  <c r="H104" i="1" s="1"/>
  <c r="M104" i="1" s="1"/>
  <c r="N103" i="1"/>
  <c r="I103" i="1"/>
  <c r="H103" i="1" s="1"/>
  <c r="M103" i="1" s="1"/>
  <c r="N102" i="1"/>
  <c r="I102" i="1"/>
  <c r="H102" i="1" s="1"/>
  <c r="M102" i="1" s="1"/>
  <c r="N101" i="1"/>
  <c r="I101" i="1"/>
  <c r="H101" i="1" s="1"/>
  <c r="M101" i="1" s="1"/>
  <c r="N100" i="1"/>
  <c r="I100" i="1"/>
  <c r="H100" i="1" s="1"/>
  <c r="M100" i="1" s="1"/>
  <c r="N99" i="1"/>
  <c r="I99" i="1"/>
  <c r="H99" i="1" s="1"/>
  <c r="M99" i="1" s="1"/>
  <c r="Q99" i="1" s="1"/>
  <c r="R99" i="1" s="1"/>
  <c r="N98" i="1"/>
  <c r="I98" i="1"/>
  <c r="H98" i="1" s="1"/>
  <c r="M98" i="1" s="1"/>
  <c r="N97" i="1"/>
  <c r="I97" i="1"/>
  <c r="H97" i="1" s="1"/>
  <c r="M97" i="1" s="1"/>
  <c r="N96" i="1"/>
  <c r="I96" i="1"/>
  <c r="M96" i="1" s="1"/>
  <c r="Q96" i="1" s="1"/>
  <c r="R96" i="1" s="1"/>
  <c r="N95" i="1"/>
  <c r="I95" i="1"/>
  <c r="H95" i="1" s="1"/>
  <c r="M95" i="1" s="1"/>
  <c r="N94" i="1"/>
  <c r="I94" i="1"/>
  <c r="H94" i="1" s="1"/>
  <c r="M94" i="1" s="1"/>
  <c r="N93" i="1"/>
  <c r="I93" i="1"/>
  <c r="H93" i="1" s="1"/>
  <c r="M93" i="1" s="1"/>
  <c r="N92" i="1"/>
  <c r="I92" i="1"/>
  <c r="H92" i="1" s="1"/>
  <c r="M92" i="1" s="1"/>
  <c r="N91" i="1"/>
  <c r="I91" i="1"/>
  <c r="N90" i="1"/>
  <c r="I90" i="1"/>
  <c r="H90" i="1" s="1"/>
  <c r="M90" i="1" s="1"/>
  <c r="Q90" i="1" s="1"/>
  <c r="R90" i="1" s="1"/>
  <c r="N89" i="1"/>
  <c r="I89" i="1"/>
  <c r="H89" i="1" s="1"/>
  <c r="M89" i="1" s="1"/>
  <c r="N88" i="1"/>
  <c r="I88" i="1"/>
  <c r="H88" i="1" s="1"/>
  <c r="M88" i="1" s="1"/>
  <c r="N87" i="1"/>
  <c r="I87" i="1"/>
  <c r="H87" i="1" s="1"/>
  <c r="M87" i="1" s="1"/>
  <c r="N86" i="1"/>
  <c r="I86" i="1"/>
  <c r="M86" i="1" s="1"/>
  <c r="N85" i="1"/>
  <c r="I85" i="1"/>
  <c r="H85" i="1" s="1"/>
  <c r="M85" i="1" s="1"/>
  <c r="Q85" i="1" s="1"/>
  <c r="R85" i="1" s="1"/>
  <c r="N84" i="1"/>
  <c r="I84" i="1"/>
  <c r="H84" i="1"/>
  <c r="M84" i="1" s="1"/>
  <c r="N83" i="1"/>
  <c r="I83" i="1"/>
  <c r="H83" i="1" s="1"/>
  <c r="M83" i="1" s="1"/>
  <c r="N82" i="1"/>
  <c r="I82" i="1"/>
  <c r="H82" i="1" s="1"/>
  <c r="M82" i="1" s="1"/>
  <c r="Q82" i="1" s="1"/>
  <c r="R82" i="1" s="1"/>
  <c r="N81" i="1"/>
  <c r="I81" i="1"/>
  <c r="N80" i="1"/>
  <c r="I80" i="1"/>
  <c r="H80" i="1" s="1"/>
  <c r="M80" i="1" s="1"/>
  <c r="N79" i="1"/>
  <c r="I79" i="1"/>
  <c r="H79" i="1" s="1"/>
  <c r="M79" i="1" s="1"/>
  <c r="N78" i="1"/>
  <c r="I78" i="1"/>
  <c r="H78" i="1" s="1"/>
  <c r="M78" i="1" s="1"/>
  <c r="N77" i="1"/>
  <c r="I77" i="1"/>
  <c r="H77" i="1" s="1"/>
  <c r="M77" i="1" s="1"/>
  <c r="Q77" i="1" s="1"/>
  <c r="R77" i="1" s="1"/>
  <c r="N76" i="1"/>
  <c r="I76" i="1"/>
  <c r="H76" i="1" s="1"/>
  <c r="M76" i="1" s="1"/>
  <c r="N75" i="1"/>
  <c r="I75" i="1"/>
  <c r="H75" i="1" s="1"/>
  <c r="M75" i="1" s="1"/>
  <c r="N74" i="1"/>
  <c r="I74" i="1"/>
  <c r="H74" i="1" s="1"/>
  <c r="M74" i="1" s="1"/>
  <c r="N73" i="1"/>
  <c r="I73" i="1"/>
  <c r="H73" i="1" s="1"/>
  <c r="M73" i="1" s="1"/>
  <c r="N72" i="1"/>
  <c r="I72" i="1"/>
  <c r="M72" i="1" s="1"/>
  <c r="N71" i="1"/>
  <c r="I71" i="1"/>
  <c r="M71" i="1" s="1"/>
  <c r="Q71" i="1" s="1"/>
  <c r="R71" i="1" s="1"/>
  <c r="N70" i="1"/>
  <c r="I70" i="1"/>
  <c r="H70" i="1" s="1"/>
  <c r="M70" i="1" s="1"/>
  <c r="N69" i="1"/>
  <c r="I69" i="1"/>
  <c r="H69" i="1" s="1"/>
  <c r="M69" i="1" s="1"/>
  <c r="N68" i="1"/>
  <c r="I68" i="1"/>
  <c r="H68" i="1" s="1"/>
  <c r="M68" i="1" s="1"/>
  <c r="N67" i="1"/>
  <c r="I67" i="1"/>
  <c r="H67" i="1" s="1"/>
  <c r="M67" i="1" s="1"/>
  <c r="N66" i="1"/>
  <c r="I66" i="1"/>
  <c r="H66" i="1" s="1"/>
  <c r="M66" i="1" s="1"/>
  <c r="N65" i="1"/>
  <c r="I65" i="1"/>
  <c r="H65" i="1" s="1"/>
  <c r="M65" i="1" s="1"/>
  <c r="N64" i="1"/>
  <c r="I64" i="1"/>
  <c r="H64" i="1"/>
  <c r="M64" i="1" s="1"/>
  <c r="Q64" i="1" s="1"/>
  <c r="R64" i="1" s="1"/>
  <c r="N63" i="1"/>
  <c r="I63" i="1"/>
  <c r="H63" i="1" s="1"/>
  <c r="M63" i="1" s="1"/>
  <c r="Q63" i="1" s="1"/>
  <c r="N62" i="1"/>
  <c r="I62" i="1"/>
  <c r="M62" i="1" s="1"/>
  <c r="N61" i="1"/>
  <c r="I61" i="1"/>
  <c r="H61" i="1" s="1"/>
  <c r="M61" i="1" s="1"/>
  <c r="N60" i="1"/>
  <c r="I60" i="1"/>
  <c r="H60" i="1" s="1"/>
  <c r="M60" i="1" s="1"/>
  <c r="N59" i="1"/>
  <c r="I59" i="1"/>
  <c r="M59" i="1" s="1"/>
  <c r="N58" i="1"/>
  <c r="I58" i="1"/>
  <c r="H58" i="1" s="1"/>
  <c r="M58" i="1" s="1"/>
  <c r="N57" i="1"/>
  <c r="I57" i="1"/>
  <c r="H57" i="1" s="1"/>
  <c r="M57" i="1" s="1"/>
  <c r="N56" i="1"/>
  <c r="I56" i="1"/>
  <c r="N55" i="1"/>
  <c r="I55" i="1"/>
  <c r="H55" i="1" s="1"/>
  <c r="M55" i="1" s="1"/>
  <c r="N54" i="1"/>
  <c r="I54" i="1"/>
  <c r="N53" i="1"/>
  <c r="I53" i="1"/>
  <c r="H53" i="1" s="1"/>
  <c r="M53" i="1" s="1"/>
  <c r="N52" i="1"/>
  <c r="I52" i="1"/>
  <c r="M52" i="1" s="1"/>
  <c r="N51" i="1"/>
  <c r="I51" i="1"/>
  <c r="H51" i="1" s="1"/>
  <c r="M51" i="1" s="1"/>
  <c r="Q51" i="1" s="1"/>
  <c r="R51" i="1" s="1"/>
  <c r="N50" i="1"/>
  <c r="I50" i="1"/>
  <c r="H50" i="1"/>
  <c r="M50" i="1" s="1"/>
  <c r="N49" i="1"/>
  <c r="I49" i="1"/>
  <c r="N48" i="1"/>
  <c r="I48" i="1"/>
  <c r="H48" i="1" s="1"/>
  <c r="M48" i="1" s="1"/>
  <c r="N47" i="1"/>
  <c r="I47" i="1"/>
  <c r="H47" i="1" s="1"/>
  <c r="M47" i="1" s="1"/>
  <c r="Q47" i="1" s="1"/>
  <c r="R47" i="1" s="1"/>
  <c r="N46" i="1"/>
  <c r="I46" i="1"/>
  <c r="M46" i="1" s="1"/>
  <c r="N45" i="1"/>
  <c r="I45" i="1"/>
  <c r="H45" i="1" s="1"/>
  <c r="M45" i="1" s="1"/>
  <c r="N44" i="1"/>
  <c r="I44" i="1"/>
  <c r="H44" i="1" s="1"/>
  <c r="N43" i="1"/>
  <c r="I43" i="1"/>
  <c r="H43" i="1" s="1"/>
  <c r="M43" i="1" s="1"/>
  <c r="N42" i="1"/>
  <c r="I42" i="1"/>
  <c r="H42" i="1" s="1"/>
  <c r="M42" i="1" s="1"/>
  <c r="N41" i="1"/>
  <c r="I41" i="1"/>
  <c r="H41" i="1" s="1"/>
  <c r="M41" i="1" s="1"/>
  <c r="N40" i="1"/>
  <c r="I40" i="1"/>
  <c r="N39" i="1"/>
  <c r="I39" i="1"/>
  <c r="N38" i="1"/>
  <c r="I38" i="1"/>
  <c r="N37" i="1"/>
  <c r="I37" i="1"/>
  <c r="H37" i="1" s="1"/>
  <c r="N36" i="1"/>
  <c r="I36" i="1"/>
  <c r="M36" i="1" s="1"/>
  <c r="O36" i="1" s="1"/>
  <c r="N35" i="1"/>
  <c r="I35" i="1"/>
  <c r="H35" i="1" s="1"/>
  <c r="M35" i="1" s="1"/>
  <c r="N34" i="1"/>
  <c r="I34" i="1"/>
  <c r="H34" i="1"/>
  <c r="M34" i="1" s="1"/>
  <c r="Q34" i="1" s="1"/>
  <c r="R34" i="1" s="1"/>
  <c r="N33" i="1"/>
  <c r="I33" i="1"/>
  <c r="H33" i="1" s="1"/>
  <c r="M33" i="1" s="1"/>
  <c r="N32" i="1"/>
  <c r="I32" i="1"/>
  <c r="H32" i="1" s="1"/>
  <c r="M32" i="1" s="1"/>
  <c r="N31" i="1"/>
  <c r="I31" i="1"/>
  <c r="H31" i="1" s="1"/>
  <c r="M31" i="1" s="1"/>
  <c r="N30" i="1"/>
  <c r="I30" i="1"/>
  <c r="H30" i="1" s="1"/>
  <c r="M30" i="1" s="1"/>
  <c r="N29" i="1"/>
  <c r="I29" i="1"/>
  <c r="H29" i="1" s="1"/>
  <c r="M29" i="1" s="1"/>
  <c r="N28" i="1"/>
  <c r="I28" i="1"/>
  <c r="H28" i="1" s="1"/>
  <c r="M28" i="1" s="1"/>
  <c r="N27" i="1"/>
  <c r="I27" i="1"/>
  <c r="H27" i="1" s="1"/>
  <c r="M27" i="1" s="1"/>
  <c r="N26" i="1"/>
  <c r="I26" i="1"/>
  <c r="N25" i="1"/>
  <c r="I25" i="1"/>
  <c r="H25" i="1" s="1"/>
  <c r="M25" i="1" s="1"/>
  <c r="N24" i="1"/>
  <c r="I24" i="1"/>
  <c r="M24" i="1" s="1"/>
  <c r="O24" i="1" s="1"/>
  <c r="N23" i="1"/>
  <c r="I23" i="1"/>
  <c r="H23" i="1" s="1"/>
  <c r="M23" i="1" s="1"/>
  <c r="Q23" i="1" s="1"/>
  <c r="N22" i="1"/>
  <c r="I22" i="1"/>
  <c r="H22" i="1" s="1"/>
  <c r="M22" i="1" s="1"/>
  <c r="N21" i="1"/>
  <c r="I21" i="1"/>
  <c r="H21" i="1" s="1"/>
  <c r="M21" i="1" s="1"/>
  <c r="N20" i="1"/>
  <c r="I20" i="1"/>
  <c r="H20" i="1" s="1"/>
  <c r="M20" i="1" s="1"/>
  <c r="N19" i="1"/>
  <c r="I19" i="1"/>
  <c r="H19" i="1" s="1"/>
  <c r="M19" i="1" s="1"/>
  <c r="N18" i="1"/>
  <c r="I18" i="1"/>
  <c r="H18" i="1" s="1"/>
  <c r="M18" i="1" s="1"/>
  <c r="N17" i="1"/>
  <c r="I17" i="1"/>
  <c r="H17" i="1" s="1"/>
  <c r="M17" i="1" s="1"/>
  <c r="N16" i="1"/>
  <c r="I16" i="1"/>
  <c r="M16" i="1" s="1"/>
  <c r="N15" i="1"/>
  <c r="I15" i="1"/>
  <c r="H15" i="1" s="1"/>
  <c r="M15" i="1" s="1"/>
  <c r="N14" i="1"/>
  <c r="I14" i="1"/>
  <c r="H14" i="1" s="1"/>
  <c r="M14" i="1" s="1"/>
  <c r="N13" i="1"/>
  <c r="I13" i="1"/>
  <c r="H13" i="1" s="1"/>
  <c r="M13" i="1" s="1"/>
  <c r="N12" i="1"/>
  <c r="I12" i="1"/>
  <c r="H12" i="1" s="1"/>
  <c r="M12" i="1" s="1"/>
  <c r="O12" i="1" s="1"/>
  <c r="N11" i="1"/>
  <c r="I11" i="1"/>
  <c r="H11" i="1"/>
  <c r="M11" i="1" s="1"/>
  <c r="N10" i="1"/>
  <c r="I10" i="1"/>
  <c r="H10" i="1" s="1"/>
  <c r="M10" i="1" s="1"/>
  <c r="N9" i="1"/>
  <c r="I9" i="1"/>
  <c r="N8" i="1"/>
  <c r="I8" i="1"/>
  <c r="H8" i="1" s="1"/>
  <c r="M8" i="1" s="1"/>
  <c r="N7" i="1"/>
  <c r="I7" i="1"/>
  <c r="M7" i="1" s="1"/>
  <c r="N6" i="1"/>
  <c r="I6" i="1"/>
  <c r="H6" i="1" s="1"/>
  <c r="M6" i="1" s="1"/>
  <c r="N5" i="1"/>
  <c r="I5" i="1"/>
  <c r="H5" i="1" s="1"/>
  <c r="M5" i="1" s="1"/>
  <c r="N4" i="1"/>
  <c r="I4" i="1"/>
  <c r="H4" i="1"/>
  <c r="M4" i="1" s="1"/>
  <c r="R3" i="1"/>
  <c r="N3" i="1"/>
  <c r="I3" i="1"/>
  <c r="H3" i="1" s="1"/>
  <c r="M3" i="1" s="1"/>
  <c r="H994" i="1" l="1"/>
  <c r="M994" i="1" s="1"/>
  <c r="H651" i="1"/>
  <c r="M651" i="1" s="1"/>
  <c r="H555" i="1"/>
  <c r="M555" i="1" s="1"/>
  <c r="H335" i="1"/>
  <c r="M335" i="1" s="1"/>
  <c r="H56" i="1"/>
  <c r="M56" i="1" s="1"/>
  <c r="H1256" i="1"/>
  <c r="M1256" i="1" s="1"/>
  <c r="H990" i="1"/>
  <c r="M990" i="1" s="1"/>
  <c r="H251" i="1"/>
  <c r="M251" i="1" s="1"/>
  <c r="H239" i="1"/>
  <c r="M239" i="1" s="1"/>
  <c r="O239" i="1" s="1"/>
  <c r="H654" i="1"/>
  <c r="M654" i="1" s="1"/>
  <c r="H501" i="1"/>
  <c r="M501" i="1" s="1"/>
  <c r="H123" i="1"/>
  <c r="M123" i="1" s="1"/>
  <c r="H603" i="1"/>
  <c r="M603" i="1" s="1"/>
  <c r="O572" i="1"/>
  <c r="H1086" i="1"/>
  <c r="H850" i="1"/>
  <c r="M850" i="1" s="1"/>
  <c r="O850" i="1" s="1"/>
  <c r="H359" i="1"/>
  <c r="M359" i="1" s="1"/>
  <c r="O359" i="1" s="1"/>
  <c r="H293" i="1"/>
  <c r="M293" i="1" s="1"/>
  <c r="O699" i="1"/>
  <c r="H127" i="1"/>
  <c r="M127" i="1" s="1"/>
  <c r="H1271" i="1"/>
  <c r="M1271" i="1" s="1"/>
  <c r="H119" i="1"/>
  <c r="H506" i="1"/>
  <c r="M506" i="1" s="1"/>
  <c r="H381" i="1"/>
  <c r="M381" i="1" s="1"/>
  <c r="H246" i="1"/>
  <c r="M246" i="1" s="1"/>
  <c r="O246" i="1" s="1"/>
  <c r="H1365" i="1"/>
  <c r="M1365" i="1" s="1"/>
  <c r="H292" i="1"/>
  <c r="M292" i="1" s="1"/>
  <c r="H255" i="1"/>
  <c r="M255" i="1" s="1"/>
  <c r="O255" i="1" s="1"/>
  <c r="H177" i="1"/>
  <c r="M177" i="1" s="1"/>
  <c r="Q177" i="1" s="1"/>
  <c r="R177" i="1" s="1"/>
  <c r="H346" i="1"/>
  <c r="M346" i="1" s="1"/>
  <c r="H290" i="1"/>
  <c r="M290" i="1" s="1"/>
  <c r="H38" i="1"/>
  <c r="M38" i="1" s="1"/>
  <c r="H26" i="1"/>
  <c r="M26" i="1" s="1"/>
  <c r="Q26" i="1" s="1"/>
  <c r="H1470" i="1"/>
  <c r="M1470" i="1" s="1"/>
  <c r="H1001" i="1"/>
  <c r="M1001" i="1" s="1"/>
  <c r="O1001" i="1" s="1"/>
  <c r="H722" i="1"/>
  <c r="M722" i="1" s="1"/>
  <c r="H587" i="1"/>
  <c r="M587" i="1" s="1"/>
  <c r="Q587" i="1" s="1"/>
  <c r="R587" i="1" s="1"/>
  <c r="H510" i="1"/>
  <c r="M510" i="1" s="1"/>
  <c r="O651" i="1"/>
  <c r="H9" i="1"/>
  <c r="M9" i="1" s="1"/>
  <c r="V138" i="1"/>
  <c r="O209" i="1"/>
  <c r="O248" i="1"/>
  <c r="H54" i="1"/>
  <c r="O1604" i="1"/>
  <c r="M1589" i="1"/>
  <c r="M1578" i="1"/>
  <c r="O1572" i="1"/>
  <c r="M1546" i="1"/>
  <c r="Q1546" i="1" s="1"/>
  <c r="R1546" i="1" s="1"/>
  <c r="M1461" i="1"/>
  <c r="O1461" i="1" s="1"/>
  <c r="M1428" i="1"/>
  <c r="M1424" i="1"/>
  <c r="M1316" i="1"/>
  <c r="O1316" i="1" s="1"/>
  <c r="O1297" i="1"/>
  <c r="O1218" i="1"/>
  <c r="M1214" i="1"/>
  <c r="O1151" i="1"/>
  <c r="Q1148" i="1"/>
  <c r="R1148" i="1" s="1"/>
  <c r="M1145" i="1"/>
  <c r="M1132" i="1"/>
  <c r="M1075" i="1"/>
  <c r="Q1075" i="1" s="1"/>
  <c r="R1075" i="1" s="1"/>
  <c r="M919" i="1"/>
  <c r="O919" i="1" s="1"/>
  <c r="M905" i="1"/>
  <c r="M579" i="1"/>
  <c r="M564" i="1"/>
  <c r="M561" i="1"/>
  <c r="O561" i="1" s="1"/>
  <c r="M553" i="1"/>
  <c r="M547" i="1"/>
  <c r="O547" i="1" s="1"/>
  <c r="H1756" i="1"/>
  <c r="M1756" i="1" s="1"/>
  <c r="Q1756" i="1" s="1"/>
  <c r="R1756" i="1" s="1"/>
  <c r="M1753" i="1"/>
  <c r="O1753" i="1" s="1"/>
  <c r="M1748" i="1"/>
  <c r="M1714" i="1"/>
  <c r="M1671" i="1"/>
  <c r="M1614" i="1"/>
  <c r="O1614" i="1" s="1"/>
  <c r="O600" i="1"/>
  <c r="H596" i="1"/>
  <c r="M596" i="1" s="1"/>
  <c r="Q596" i="1" s="1"/>
  <c r="R596" i="1" s="1"/>
  <c r="M1058" i="1"/>
  <c r="Q1058" i="1" s="1"/>
  <c r="M1007" i="1"/>
  <c r="O1007" i="1" s="1"/>
  <c r="M963" i="1"/>
  <c r="O893" i="1"/>
  <c r="Q893" i="1" s="1"/>
  <c r="R893" i="1" s="1"/>
  <c r="M878" i="1"/>
  <c r="O878" i="1" s="1"/>
  <c r="M877" i="1"/>
  <c r="Q877" i="1" s="1"/>
  <c r="R877" i="1" s="1"/>
  <c r="M842" i="1"/>
  <c r="O842" i="1" s="1"/>
  <c r="R823" i="1"/>
  <c r="M797" i="1"/>
  <c r="O797" i="1" s="1"/>
  <c r="M792" i="1"/>
  <c r="M656" i="1"/>
  <c r="O1660" i="1"/>
  <c r="M1629" i="1"/>
  <c r="Q1629" i="1" s="1"/>
  <c r="R1629" i="1" s="1"/>
  <c r="M496" i="1"/>
  <c r="M417" i="1"/>
  <c r="H221" i="1"/>
  <c r="M221" i="1" s="1"/>
  <c r="O221" i="1" s="1"/>
  <c r="M200" i="1"/>
  <c r="Q200" i="1" s="1"/>
  <c r="R200" i="1" s="1"/>
  <c r="M197" i="1"/>
  <c r="Q197" i="1" s="1"/>
  <c r="R197" i="1" s="1"/>
  <c r="M44" i="1"/>
  <c r="Q44" i="1" s="1"/>
  <c r="R44" i="1" s="1"/>
  <c r="M333" i="1"/>
  <c r="O309" i="1"/>
  <c r="M306" i="1"/>
  <c r="M303" i="1"/>
  <c r="O303" i="1" s="1"/>
  <c r="M91" i="1"/>
  <c r="Q91" i="1" s="1"/>
  <c r="R91" i="1" s="1"/>
  <c r="H49" i="1"/>
  <c r="M49" i="1" s="1"/>
  <c r="Q49" i="1" s="1"/>
  <c r="Q175" i="1"/>
  <c r="R175" i="1" s="1"/>
  <c r="H40" i="1"/>
  <c r="M40" i="1" s="1"/>
  <c r="M39" i="1"/>
  <c r="Q39" i="1" s="1"/>
  <c r="R39" i="1" s="1"/>
  <c r="M37" i="1"/>
  <c r="Q37" i="1" s="1"/>
  <c r="R37" i="1" s="1"/>
  <c r="M1638" i="1"/>
  <c r="R1478" i="1"/>
  <c r="R1530" i="1"/>
  <c r="R1541" i="1"/>
  <c r="O441" i="1"/>
  <c r="O534" i="1"/>
  <c r="O916" i="1"/>
  <c r="O981" i="1"/>
  <c r="O1038" i="1"/>
  <c r="O1245" i="1"/>
  <c r="O1668" i="1"/>
  <c r="O250" i="1"/>
  <c r="O262" i="1"/>
  <c r="O297" i="1"/>
  <c r="O343" i="1"/>
  <c r="O348" i="1"/>
  <c r="O366" i="1"/>
  <c r="O402" i="1"/>
  <c r="O454" i="1"/>
  <c r="O467" i="1"/>
  <c r="O552" i="1"/>
  <c r="O574" i="1"/>
  <c r="O577" i="1"/>
  <c r="O612" i="1"/>
  <c r="O666" i="1"/>
  <c r="O774" i="1"/>
  <c r="O862" i="1"/>
  <c r="O904" i="1"/>
  <c r="O966" i="1"/>
  <c r="O1003" i="1"/>
  <c r="O1018" i="1"/>
  <c r="O1023" i="1"/>
  <c r="O1028" i="1"/>
  <c r="O1033" i="1"/>
  <c r="O1041" i="1"/>
  <c r="O1108" i="1"/>
  <c r="O1248" i="1"/>
  <c r="O1283" i="1"/>
  <c r="O1309" i="1"/>
  <c r="Q1309" i="1" s="1"/>
  <c r="R1309" i="1" s="1"/>
  <c r="O1389" i="1"/>
  <c r="O1394" i="1"/>
  <c r="O1527" i="1"/>
  <c r="O1568" i="1"/>
  <c r="O1653" i="1"/>
  <c r="O1676" i="1"/>
  <c r="O730" i="1"/>
  <c r="O810" i="1"/>
  <c r="O1036" i="1"/>
  <c r="O1583" i="1"/>
  <c r="O319" i="1"/>
  <c r="O442" i="1"/>
  <c r="O685" i="1"/>
  <c r="O917" i="1"/>
  <c r="O1207" i="1"/>
  <c r="O1395" i="1"/>
  <c r="O1405" i="1"/>
  <c r="O1590" i="1"/>
  <c r="O1677" i="1"/>
  <c r="O1690" i="1"/>
  <c r="O1725" i="1"/>
  <c r="O79" i="1"/>
  <c r="O155" i="1"/>
  <c r="O159" i="1"/>
  <c r="O244" i="1"/>
  <c r="O950" i="1"/>
  <c r="O970" i="1"/>
  <c r="O3" i="1"/>
  <c r="O210" i="1"/>
  <c r="Q210" i="1" s="1"/>
  <c r="R210" i="1" s="1"/>
  <c r="O225" i="1"/>
  <c r="O256" i="1"/>
  <c r="O261" i="1"/>
  <c r="O266" i="1"/>
  <c r="O296" i="1"/>
  <c r="O342" i="1"/>
  <c r="O365" i="1"/>
  <c r="O378" i="1"/>
  <c r="O495" i="1"/>
  <c r="O502" i="1"/>
  <c r="O517" i="1"/>
  <c r="O531" i="1"/>
  <c r="O551" i="1"/>
  <c r="O608" i="1"/>
  <c r="O623" i="1"/>
  <c r="O644" i="1"/>
  <c r="O683" i="1"/>
  <c r="O1257" i="1"/>
  <c r="O1275" i="1"/>
  <c r="O1300" i="1"/>
  <c r="O1362" i="1"/>
  <c r="O1408" i="1"/>
  <c r="O1717" i="1"/>
  <c r="O337" i="1"/>
  <c r="O355" i="1"/>
  <c r="O368" i="1"/>
  <c r="O490" i="1"/>
  <c r="O500" i="1"/>
  <c r="O536" i="1"/>
  <c r="O614" i="1"/>
  <c r="O678" i="1"/>
  <c r="O758" i="1"/>
  <c r="O776" i="1"/>
  <c r="O803" i="1"/>
  <c r="O913" i="1"/>
  <c r="O923" i="1"/>
  <c r="O1005" i="1"/>
  <c r="O1010" i="1"/>
  <c r="O1015" i="1"/>
  <c r="O1030" i="1"/>
  <c r="O1069" i="1"/>
  <c r="O1175" i="1"/>
  <c r="O1182" i="1"/>
  <c r="O1223" i="1"/>
  <c r="O1234" i="1"/>
  <c r="O1260" i="1"/>
  <c r="O1308" i="1"/>
  <c r="Q1308" i="1" s="1"/>
  <c r="O1330" i="1"/>
  <c r="O1345" i="1"/>
  <c r="O1401" i="1"/>
  <c r="O1494" i="1"/>
  <c r="O1642" i="1"/>
  <c r="O1726" i="1"/>
  <c r="R629" i="1"/>
  <c r="Q712" i="1"/>
  <c r="R712" i="1" s="1"/>
  <c r="O712" i="1"/>
  <c r="Q584" i="1"/>
  <c r="R584" i="1" s="1"/>
  <c r="O584" i="1"/>
  <c r="O582" i="1"/>
  <c r="Q582" i="1"/>
  <c r="R582" i="1" s="1"/>
  <c r="O242" i="1"/>
  <c r="O251" i="1"/>
  <c r="O258" i="1"/>
  <c r="O449" i="1"/>
  <c r="O529" i="1"/>
  <c r="Q1695" i="1"/>
  <c r="R1695" i="1" s="1"/>
  <c r="O1695" i="1"/>
  <c r="O140" i="1"/>
  <c r="O223" i="1"/>
  <c r="Q223" i="1" s="1"/>
  <c r="R223" i="1" s="1"/>
  <c r="O249" i="1"/>
  <c r="O263" i="1"/>
  <c r="O276" i="1"/>
  <c r="O284" i="1"/>
  <c r="O295" i="1"/>
  <c r="O305" i="1"/>
  <c r="O325" i="1"/>
  <c r="O332" i="1"/>
  <c r="O351" i="1"/>
  <c r="O356" i="1"/>
  <c r="O363" i="1"/>
  <c r="O375" i="1"/>
  <c r="H404" i="1"/>
  <c r="M404" i="1" s="1"/>
  <c r="O404" i="1" s="1"/>
  <c r="O415" i="1"/>
  <c r="O497" i="1"/>
  <c r="O504" i="1"/>
  <c r="O527" i="1"/>
  <c r="O541" i="1"/>
  <c r="O548" i="1"/>
  <c r="O573" i="1"/>
  <c r="O591" i="1"/>
  <c r="O658" i="1"/>
  <c r="O670" i="1"/>
  <c r="O675" i="1"/>
  <c r="Q727" i="1"/>
  <c r="R727" i="1" s="1"/>
  <c r="O727" i="1"/>
  <c r="O775" i="1"/>
  <c r="M238" i="1"/>
  <c r="O238" i="1" s="1"/>
  <c r="O288" i="1"/>
  <c r="M321" i="1"/>
  <c r="O321" i="1" s="1"/>
  <c r="O447" i="1"/>
  <c r="Q941" i="1"/>
  <c r="O941" i="1"/>
  <c r="O93" i="1"/>
  <c r="Q110" i="1"/>
  <c r="R110" i="1" s="1"/>
  <c r="O138" i="1"/>
  <c r="O252" i="1"/>
  <c r="O277" i="1"/>
  <c r="O289" i="1"/>
  <c r="O326" i="1"/>
  <c r="O347" i="1"/>
  <c r="O352" i="1"/>
  <c r="O357" i="1"/>
  <c r="O371" i="1"/>
  <c r="O416" i="1"/>
  <c r="O423" i="1"/>
  <c r="M430" i="1"/>
  <c r="O430" i="1" s="1"/>
  <c r="O450" i="1"/>
  <c r="O465" i="1"/>
  <c r="O475" i="1"/>
  <c r="O493" i="1"/>
  <c r="O520" i="1"/>
  <c r="H978" i="1"/>
  <c r="O1020" i="1"/>
  <c r="O1622" i="1"/>
  <c r="O147" i="1"/>
  <c r="O151" i="1"/>
  <c r="O191" i="1"/>
  <c r="O204" i="1"/>
  <c r="O219" i="1"/>
  <c r="O257" i="1"/>
  <c r="O269" i="1"/>
  <c r="O272" i="1"/>
  <c r="O280" i="1"/>
  <c r="O340" i="1"/>
  <c r="O345" i="1"/>
  <c r="O369" i="1"/>
  <c r="O409" i="1"/>
  <c r="O413" i="1"/>
  <c r="Q413" i="1" s="1"/>
  <c r="R413" i="1" s="1"/>
  <c r="O438" i="1"/>
  <c r="O443" i="1"/>
  <c r="O448" i="1"/>
  <c r="O470" i="1"/>
  <c r="O488" i="1"/>
  <c r="O503" i="1"/>
  <c r="O593" i="1"/>
  <c r="O1107" i="1"/>
  <c r="Q1107" i="1"/>
  <c r="R1107" i="1" s="1"/>
  <c r="Q1438" i="1"/>
  <c r="R1438" i="1" s="1"/>
  <c r="O1438" i="1"/>
  <c r="Q24" i="1"/>
  <c r="R24" i="1" s="1"/>
  <c r="M630" i="1"/>
  <c r="O630" i="1" s="1"/>
  <c r="H208" i="1"/>
  <c r="M208" i="1" s="1"/>
  <c r="O208" i="1" s="1"/>
  <c r="O222" i="1"/>
  <c r="Q222" i="1" s="1"/>
  <c r="R222" i="1" s="1"/>
  <c r="O228" i="1"/>
  <c r="O237" i="1"/>
  <c r="O253" i="1"/>
  <c r="O267" i="1"/>
  <c r="O278" i="1"/>
  <c r="O327" i="1"/>
  <c r="O338" i="1"/>
  <c r="O360" i="1"/>
  <c r="O372" i="1"/>
  <c r="O374" i="1"/>
  <c r="O414" i="1"/>
  <c r="Q414" i="1" s="1"/>
  <c r="R414" i="1" s="1"/>
  <c r="O451" i="1"/>
  <c r="O478" i="1"/>
  <c r="O494" i="1"/>
  <c r="O543" i="1"/>
  <c r="O602" i="1"/>
  <c r="O605" i="1"/>
  <c r="O991" i="1"/>
  <c r="O1016" i="1"/>
  <c r="O1140" i="1"/>
  <c r="Q1140" i="1"/>
  <c r="R1140" i="1" s="1"/>
  <c r="O1634" i="1"/>
  <c r="Q1634" i="1"/>
  <c r="R1634" i="1" s="1"/>
  <c r="O639" i="1"/>
  <c r="Q639" i="1" s="1"/>
  <c r="R639" i="1" s="1"/>
  <c r="O645" i="1"/>
  <c r="O661" i="1"/>
  <c r="O668" i="1"/>
  <c r="O771" i="1"/>
  <c r="O778" i="1"/>
  <c r="O785" i="1"/>
  <c r="O849" i="1"/>
  <c r="O851" i="1"/>
  <c r="O868" i="1"/>
  <c r="O883" i="1"/>
  <c r="O896" i="1"/>
  <c r="O929" i="1"/>
  <c r="O952" i="1"/>
  <c r="O976" i="1"/>
  <c r="O983" i="1"/>
  <c r="O1004" i="1"/>
  <c r="O1043" i="1"/>
  <c r="O1152" i="1"/>
  <c r="O1162" i="1"/>
  <c r="O1167" i="1"/>
  <c r="O1174" i="1"/>
  <c r="O1201" i="1"/>
  <c r="O1206" i="1"/>
  <c r="O1211" i="1"/>
  <c r="O1216" i="1"/>
  <c r="O1254" i="1"/>
  <c r="O1261" i="1"/>
  <c r="O1276" i="1"/>
  <c r="O1374" i="1"/>
  <c r="O1393" i="1"/>
  <c r="O1409" i="1"/>
  <c r="O1416" i="1"/>
  <c r="O1440" i="1"/>
  <c r="O1444" i="1"/>
  <c r="O1482" i="1"/>
  <c r="O1497" i="1"/>
  <c r="O1535" i="1"/>
  <c r="O1588" i="1"/>
  <c r="O1607" i="1"/>
  <c r="O1623" i="1"/>
  <c r="O1684" i="1"/>
  <c r="O1689" i="1"/>
  <c r="O1698" i="1"/>
  <c r="O894" i="1"/>
  <c r="O905" i="1"/>
  <c r="O910" i="1"/>
  <c r="O959" i="1"/>
  <c r="O1194" i="1"/>
  <c r="O1219" i="1"/>
  <c r="O1232" i="1"/>
  <c r="O1247" i="1"/>
  <c r="O1259" i="1"/>
  <c r="O1329" i="1"/>
  <c r="O1343" i="1"/>
  <c r="O1386" i="1"/>
  <c r="O1419" i="1"/>
  <c r="O1513" i="1"/>
  <c r="O1616" i="1"/>
  <c r="O1643" i="1"/>
  <c r="O657" i="1"/>
  <c r="O709" i="1"/>
  <c r="M716" i="1"/>
  <c r="O781" i="1"/>
  <c r="O783" i="1"/>
  <c r="O790" i="1"/>
  <c r="O804" i="1"/>
  <c r="O830" i="1"/>
  <c r="Q830" i="1" s="1"/>
  <c r="R830" i="1" s="1"/>
  <c r="O847" i="1"/>
  <c r="O861" i="1"/>
  <c r="O866" i="1"/>
  <c r="O1079" i="1"/>
  <c r="O634" i="1"/>
  <c r="O693" i="1"/>
  <c r="O772" i="1"/>
  <c r="M899" i="1"/>
  <c r="O899" i="1" s="1"/>
  <c r="O996" i="1"/>
  <c r="O1150" i="1"/>
  <c r="O1277" i="1"/>
  <c r="O1315" i="1"/>
  <c r="O1321" i="1"/>
  <c r="O1353" i="1"/>
  <c r="O1410" i="1"/>
  <c r="O1417" i="1"/>
  <c r="O1460" i="1"/>
  <c r="O1483" i="1"/>
  <c r="O1520" i="1"/>
  <c r="O1685" i="1"/>
  <c r="O1721" i="1"/>
  <c r="O1735" i="1"/>
  <c r="O606" i="1"/>
  <c r="O674" i="1"/>
  <c r="O681" i="1"/>
  <c r="O686" i="1"/>
  <c r="O691" i="1"/>
  <c r="O763" i="1"/>
  <c r="O793" i="1"/>
  <c r="O798" i="1"/>
  <c r="M838" i="1"/>
  <c r="O838" i="1" s="1"/>
  <c r="O906" i="1"/>
  <c r="O911" i="1"/>
  <c r="O933" i="1"/>
  <c r="O965" i="1"/>
  <c r="O988" i="1"/>
  <c r="O994" i="1"/>
  <c r="O1013" i="1"/>
  <c r="O1095" i="1"/>
  <c r="O1142" i="1"/>
  <c r="M1178" i="1"/>
  <c r="Q1178" i="1" s="1"/>
  <c r="R1178" i="1" s="1"/>
  <c r="O1235" i="1"/>
  <c r="O1243" i="1"/>
  <c r="O1265" i="1"/>
  <c r="O1699" i="1"/>
  <c r="Q1699" i="1" s="1"/>
  <c r="R1699" i="1" s="1"/>
  <c r="O1747" i="1"/>
  <c r="O973" i="1"/>
  <c r="O997" i="1"/>
  <c r="O1006" i="1"/>
  <c r="O1035" i="1"/>
  <c r="O1042" i="1"/>
  <c r="O1049" i="1"/>
  <c r="O1051" i="1"/>
  <c r="M1090" i="1"/>
  <c r="O1090" i="1" s="1"/>
  <c r="O1148" i="1"/>
  <c r="O1164" i="1"/>
  <c r="O1171" i="1"/>
  <c r="O1173" i="1"/>
  <c r="O1205" i="1"/>
  <c r="O1210" i="1"/>
  <c r="O1215" i="1"/>
  <c r="O1228" i="1"/>
  <c r="O1359" i="1"/>
  <c r="Q1362" i="1"/>
  <c r="R1362" i="1" s="1"/>
  <c r="O1390" i="1"/>
  <c r="O1423" i="1"/>
  <c r="O1478" i="1"/>
  <c r="O1529" i="1"/>
  <c r="O1534" i="1"/>
  <c r="M1587" i="1"/>
  <c r="Q1587" i="1" s="1"/>
  <c r="R1587" i="1" s="1"/>
  <c r="O1596" i="1"/>
  <c r="O1618" i="1"/>
  <c r="O1640" i="1"/>
  <c r="O1654" i="1"/>
  <c r="O1659" i="1"/>
  <c r="O1664" i="1"/>
  <c r="O1673" i="1"/>
  <c r="O1678" i="1"/>
  <c r="O1683" i="1"/>
  <c r="O1691" i="1"/>
  <c r="O1703" i="1"/>
  <c r="M1724" i="1"/>
  <c r="O1724" i="1" s="1"/>
  <c r="O647" i="1"/>
  <c r="O677" i="1"/>
  <c r="O689" i="1"/>
  <c r="O694" i="1"/>
  <c r="M717" i="1"/>
  <c r="O729" i="1"/>
  <c r="O745" i="1"/>
  <c r="O755" i="1"/>
  <c r="O764" i="1"/>
  <c r="O773" i="1"/>
  <c r="O834" i="1"/>
  <c r="O900" i="1"/>
  <c r="O909" i="1"/>
  <c r="O921" i="1"/>
  <c r="O971" i="1"/>
  <c r="O980" i="1"/>
  <c r="O1011" i="1"/>
  <c r="O1075" i="1"/>
  <c r="O1078" i="1"/>
  <c r="O1099" i="1"/>
  <c r="O1154" i="1"/>
  <c r="O1169" i="1"/>
  <c r="O1186" i="1"/>
  <c r="O1193" i="1"/>
  <c r="O1208" i="1"/>
  <c r="O1213" i="1"/>
  <c r="O1231" i="1"/>
  <c r="O1241" i="1"/>
  <c r="O1258" i="1"/>
  <c r="O1306" i="1"/>
  <c r="O1383" i="1"/>
  <c r="O1418" i="1"/>
  <c r="O1484" i="1"/>
  <c r="O1489" i="1"/>
  <c r="O1503" i="1"/>
  <c r="O1532" i="1"/>
  <c r="O1563" i="1"/>
  <c r="O1566" i="1"/>
  <c r="O1575" i="1"/>
  <c r="O1578" i="1"/>
  <c r="O1657" i="1"/>
  <c r="O1671" i="1"/>
  <c r="O1700" i="1"/>
  <c r="Q1700" i="1" s="1"/>
  <c r="R1700" i="1" s="1"/>
  <c r="O1736" i="1"/>
  <c r="Q74" i="1"/>
  <c r="R74" i="1" s="1"/>
  <c r="O74" i="1"/>
  <c r="Q174" i="1"/>
  <c r="R174" i="1" s="1"/>
  <c r="O174" i="1"/>
  <c r="O955" i="1"/>
  <c r="Q955" i="1"/>
  <c r="R955" i="1" s="1"/>
  <c r="Q57" i="1"/>
  <c r="R57" i="1" s="1"/>
  <c r="O57" i="1"/>
  <c r="Q107" i="1"/>
  <c r="O107" i="1"/>
  <c r="O211" i="1"/>
  <c r="Q211" i="1"/>
  <c r="R270" i="1"/>
  <c r="O389" i="1"/>
  <c r="Q389" i="1"/>
  <c r="R389" i="1" s="1"/>
  <c r="O88" i="1"/>
  <c r="Q88" i="1"/>
  <c r="R88" i="1" s="1"/>
  <c r="O60" i="1"/>
  <c r="Q60" i="1"/>
  <c r="R60" i="1" s="1"/>
  <c r="O65" i="1"/>
  <c r="Q65" i="1"/>
  <c r="R65" i="1" s="1"/>
  <c r="Q196" i="1"/>
  <c r="R196" i="1" s="1"/>
  <c r="O196" i="1"/>
  <c r="Q58" i="1"/>
  <c r="R58" i="1" s="1"/>
  <c r="O58" i="1"/>
  <c r="Q68" i="1"/>
  <c r="R68" i="1" s="1"/>
  <c r="O68" i="1"/>
  <c r="Q116" i="1"/>
  <c r="O116" i="1"/>
  <c r="O124" i="1"/>
  <c r="Q124" i="1"/>
  <c r="R124" i="1" s="1"/>
  <c r="O50" i="1"/>
  <c r="Q154" i="1"/>
  <c r="R154" i="1" s="1"/>
  <c r="O154" i="1"/>
  <c r="Q158" i="1"/>
  <c r="R158" i="1" s="1"/>
  <c r="O158" i="1"/>
  <c r="Q12" i="1"/>
  <c r="R12" i="1" s="1"/>
  <c r="Q52" i="1"/>
  <c r="R52" i="1" s="1"/>
  <c r="O52" i="1"/>
  <c r="O514" i="1"/>
  <c r="Q514" i="1"/>
  <c r="Q145" i="1"/>
  <c r="R145" i="1" s="1"/>
  <c r="Q155" i="1"/>
  <c r="R155" i="1" s="1"/>
  <c r="Q233" i="1"/>
  <c r="R233" i="1" s="1"/>
  <c r="Q381" i="1"/>
  <c r="O560" i="1"/>
  <c r="Q560" i="1"/>
  <c r="O563" i="1"/>
  <c r="Q563" i="1"/>
  <c r="R563" i="1" s="1"/>
  <c r="Q583" i="1"/>
  <c r="R583" i="1" s="1"/>
  <c r="O583" i="1"/>
  <c r="O599" i="1"/>
  <c r="Q599" i="1"/>
  <c r="R599" i="1" s="1"/>
  <c r="O935" i="1"/>
  <c r="Q935" i="1"/>
  <c r="Q1143" i="1"/>
  <c r="R1143" i="1" s="1"/>
  <c r="O1143" i="1"/>
  <c r="O1743" i="1"/>
  <c r="Q1743" i="1"/>
  <c r="R1743" i="1" s="1"/>
  <c r="O144" i="1"/>
  <c r="O175" i="1"/>
  <c r="O234" i="1"/>
  <c r="Q234" i="1" s="1"/>
  <c r="R234" i="1" s="1"/>
  <c r="O268" i="1"/>
  <c r="O330" i="1"/>
  <c r="O334" i="1"/>
  <c r="O358" i="1"/>
  <c r="O399" i="1"/>
  <c r="O422" i="1"/>
  <c r="O440" i="1"/>
  <c r="O458" i="1"/>
  <c r="O487" i="1"/>
  <c r="O509" i="1"/>
  <c r="O522" i="1"/>
  <c r="Q569" i="1"/>
  <c r="R569" i="1" s="1"/>
  <c r="O569" i="1"/>
  <c r="Q594" i="1"/>
  <c r="R594" i="1" s="1"/>
  <c r="O594" i="1"/>
  <c r="O597" i="1"/>
  <c r="Q597" i="1"/>
  <c r="R597" i="1" s="1"/>
  <c r="O627" i="1"/>
  <c r="Q707" i="1"/>
  <c r="O707" i="1"/>
  <c r="O795" i="1"/>
  <c r="Q824" i="1"/>
  <c r="O824" i="1"/>
  <c r="O870" i="1"/>
  <c r="Q882" i="1"/>
  <c r="R882" i="1" s="1"/>
  <c r="O882" i="1"/>
  <c r="O895" i="1"/>
  <c r="O930" i="1"/>
  <c r="Q1133" i="1"/>
  <c r="R1133" i="1" s="1"/>
  <c r="O1133" i="1"/>
  <c r="Q1180" i="1"/>
  <c r="R1180" i="1" s="1"/>
  <c r="O1180" i="1"/>
  <c r="O96" i="1"/>
  <c r="Q151" i="1"/>
  <c r="R151" i="1" s="1"/>
  <c r="O167" i="1"/>
  <c r="Q183" i="1"/>
  <c r="R183" i="1" s="1"/>
  <c r="O212" i="1"/>
  <c r="O227" i="1"/>
  <c r="O229" i="1"/>
  <c r="O264" i="1"/>
  <c r="O302" i="1"/>
  <c r="O310" i="1"/>
  <c r="O312" i="1"/>
  <c r="O350" i="1"/>
  <c r="O373" i="1"/>
  <c r="O401" i="1"/>
  <c r="O405" i="1"/>
  <c r="O420" i="1"/>
  <c r="O456" i="1"/>
  <c r="O474" i="1"/>
  <c r="O505" i="1"/>
  <c r="O545" i="1"/>
  <c r="O576" i="1"/>
  <c r="O665" i="1"/>
  <c r="O684" i="1"/>
  <c r="O719" i="1"/>
  <c r="O744" i="1"/>
  <c r="Q744" i="1"/>
  <c r="R744" i="1" s="1"/>
  <c r="Q936" i="1"/>
  <c r="R936" i="1" s="1"/>
  <c r="O936" i="1"/>
  <c r="Q945" i="1"/>
  <c r="R945" i="1" s="1"/>
  <c r="O945" i="1"/>
  <c r="O1056" i="1"/>
  <c r="Q1056" i="1"/>
  <c r="Q1063" i="1"/>
  <c r="R1063" i="1" s="1"/>
  <c r="O1063" i="1"/>
  <c r="O104" i="1"/>
  <c r="O567" i="1"/>
  <c r="Q567" i="1"/>
  <c r="R567" i="1" s="1"/>
  <c r="Q723" i="1"/>
  <c r="R723" i="1" s="1"/>
  <c r="O723" i="1"/>
  <c r="Q735" i="1"/>
  <c r="R735" i="1" s="1"/>
  <c r="O735" i="1"/>
  <c r="Q816" i="1"/>
  <c r="O816" i="1"/>
  <c r="M928" i="1"/>
  <c r="O928" i="1" s="1"/>
  <c r="O1580" i="1"/>
  <c r="Q1580" i="1"/>
  <c r="R1580" i="1" s="1"/>
  <c r="O291" i="1"/>
  <c r="O315" i="1"/>
  <c r="O335" i="1"/>
  <c r="O344" i="1"/>
  <c r="O364" i="1"/>
  <c r="O370" i="1"/>
  <c r="O463" i="1"/>
  <c r="M975" i="1"/>
  <c r="O975" i="1" s="1"/>
  <c r="H979" i="1"/>
  <c r="M979" i="1" s="1"/>
  <c r="O979" i="1" s="1"/>
  <c r="O1116" i="1"/>
  <c r="Q1116" i="1"/>
  <c r="R1116" i="1" s="1"/>
  <c r="Q1280" i="1"/>
  <c r="R1280" i="1" s="1"/>
  <c r="O1280" i="1"/>
  <c r="Q1577" i="1"/>
  <c r="R1577" i="1" s="1"/>
  <c r="O1577" i="1"/>
  <c r="Q1617" i="1"/>
  <c r="R1617" i="1" s="1"/>
  <c r="O1617" i="1"/>
  <c r="Q1624" i="1"/>
  <c r="R1624" i="1" s="1"/>
  <c r="O1624" i="1"/>
  <c r="Q159" i="1"/>
  <c r="R159" i="1" s="1"/>
  <c r="O216" i="1"/>
  <c r="O218" i="1"/>
  <c r="O220" i="1"/>
  <c r="O230" i="1"/>
  <c r="O236" i="1"/>
  <c r="O388" i="1"/>
  <c r="O394" i="1"/>
  <c r="O406" i="1"/>
  <c r="O457" i="1"/>
  <c r="O479" i="1"/>
  <c r="Q590" i="1"/>
  <c r="R590" i="1" s="1"/>
  <c r="O590" i="1"/>
  <c r="O601" i="1"/>
  <c r="Q601" i="1"/>
  <c r="Q637" i="1"/>
  <c r="R637" i="1" s="1"/>
  <c r="O637" i="1"/>
  <c r="Q733" i="1"/>
  <c r="R733" i="1" s="1"/>
  <c r="O733" i="1"/>
  <c r="O840" i="1"/>
  <c r="O854" i="1"/>
  <c r="O934" i="1"/>
  <c r="O968" i="1"/>
  <c r="O986" i="1"/>
  <c r="O439" i="1"/>
  <c r="O464" i="1"/>
  <c r="O466" i="1"/>
  <c r="O484" i="1"/>
  <c r="O486" i="1"/>
  <c r="O491" i="1"/>
  <c r="O515" i="1"/>
  <c r="O521" i="1"/>
  <c r="O526" i="1"/>
  <c r="O539" i="1"/>
  <c r="O736" i="1"/>
  <c r="Q739" i="1"/>
  <c r="R739" i="1" s="1"/>
  <c r="Q884" i="1"/>
  <c r="R884" i="1" s="1"/>
  <c r="O884" i="1"/>
  <c r="O982" i="1"/>
  <c r="O1526" i="1"/>
  <c r="Q1526" i="1"/>
  <c r="R1526" i="1" s="1"/>
  <c r="O82" i="1"/>
  <c r="O90" i="1"/>
  <c r="O190" i="1"/>
  <c r="O226" i="1"/>
  <c r="H241" i="1"/>
  <c r="M241" i="1" s="1"/>
  <c r="O241" i="1" s="1"/>
  <c r="O341" i="1"/>
  <c r="O349" i="1"/>
  <c r="O412" i="1"/>
  <c r="O424" i="1"/>
  <c r="O446" i="1"/>
  <c r="O455" i="1"/>
  <c r="O480" i="1"/>
  <c r="O482" i="1"/>
  <c r="O537" i="1"/>
  <c r="O555" i="1"/>
  <c r="O557" i="1"/>
  <c r="Q613" i="1"/>
  <c r="R613" i="1" s="1"/>
  <c r="O613" i="1"/>
  <c r="O641" i="1"/>
  <c r="O676" i="1"/>
  <c r="Q710" i="1"/>
  <c r="R710" i="1" s="1"/>
  <c r="O710" i="1"/>
  <c r="Q740" i="1"/>
  <c r="R740" i="1" s="1"/>
  <c r="O740" i="1"/>
  <c r="O831" i="1"/>
  <c r="O897" i="1"/>
  <c r="O932" i="1"/>
  <c r="O947" i="1"/>
  <c r="O1008" i="1"/>
  <c r="Q1053" i="1"/>
  <c r="R1053" i="1" s="1"/>
  <c r="O1053" i="1"/>
  <c r="M1166" i="1"/>
  <c r="O1166" i="1" s="1"/>
  <c r="O542" i="1"/>
  <c r="O546" i="1"/>
  <c r="O550" i="1"/>
  <c r="O649" i="1"/>
  <c r="O672" i="1"/>
  <c r="M725" i="1"/>
  <c r="Q725" i="1" s="1"/>
  <c r="R725" i="1" s="1"/>
  <c r="O857" i="1"/>
  <c r="O874" i="1"/>
  <c r="Q874" i="1" s="1"/>
  <c r="R874" i="1" s="1"/>
  <c r="O890" i="1"/>
  <c r="O902" i="1"/>
  <c r="O989" i="1"/>
  <c r="O993" i="1"/>
  <c r="O1024" i="1"/>
  <c r="H1141" i="1"/>
  <c r="O1147" i="1"/>
  <c r="O1161" i="1"/>
  <c r="Q1334" i="1"/>
  <c r="R1334" i="1" s="1"/>
  <c r="O1334" i="1"/>
  <c r="Q1351" i="1"/>
  <c r="R1351" i="1" s="1"/>
  <c r="O1351" i="1"/>
  <c r="O1427" i="1"/>
  <c r="Q1427" i="1"/>
  <c r="R1427" i="1" s="1"/>
  <c r="O1592" i="1"/>
  <c r="Q1592" i="1"/>
  <c r="R1592" i="1" s="1"/>
  <c r="M713" i="1"/>
  <c r="O713" i="1" s="1"/>
  <c r="O770" i="1"/>
  <c r="O777" i="1"/>
  <c r="O832" i="1"/>
  <c r="O875" i="1"/>
  <c r="Q875" i="1" s="1"/>
  <c r="R875" i="1" s="1"/>
  <c r="O914" i="1"/>
  <c r="O931" i="1"/>
  <c r="O987" i="1"/>
  <c r="O1022" i="1"/>
  <c r="O1031" i="1"/>
  <c r="O1087" i="1"/>
  <c r="Q1117" i="1"/>
  <c r="O1117" i="1"/>
  <c r="O1126" i="1"/>
  <c r="O1138" i="1"/>
  <c r="Q1138" i="1" s="1"/>
  <c r="R1138" i="1" s="1"/>
  <c r="O1229" i="1"/>
  <c r="O1363" i="1"/>
  <c r="O1366" i="1"/>
  <c r="O1397" i="1"/>
  <c r="O1399" i="1"/>
  <c r="O1464" i="1"/>
  <c r="O1492" i="1"/>
  <c r="O1662" i="1"/>
  <c r="O1680" i="1"/>
  <c r="O1713" i="1"/>
  <c r="Q1713" i="1"/>
  <c r="O1732" i="1"/>
  <c r="O619" i="1"/>
  <c r="O626" i="1"/>
  <c r="O632" i="1"/>
  <c r="O652" i="1"/>
  <c r="O662" i="1"/>
  <c r="O751" i="1"/>
  <c r="M759" i="1"/>
  <c r="O759" i="1" s="1"/>
  <c r="O859" i="1"/>
  <c r="O912" i="1"/>
  <c r="O944" i="1"/>
  <c r="Q1088" i="1"/>
  <c r="O1088" i="1"/>
  <c r="O1406" i="1"/>
  <c r="O535" i="1"/>
  <c r="O650" i="1"/>
  <c r="O673" i="1"/>
  <c r="O696" i="1"/>
  <c r="Q748" i="1"/>
  <c r="R748" i="1" s="1"/>
  <c r="O757" i="1"/>
  <c r="O762" i="1"/>
  <c r="O794" i="1"/>
  <c r="M821" i="1"/>
  <c r="O821" i="1" s="1"/>
  <c r="O823" i="1"/>
  <c r="O864" i="1"/>
  <c r="O869" i="1"/>
  <c r="O876" i="1"/>
  <c r="O961" i="1"/>
  <c r="O1029" i="1"/>
  <c r="Q1076" i="1"/>
  <c r="R1076" i="1" s="1"/>
  <c r="Q1156" i="1"/>
  <c r="R1156" i="1" s="1"/>
  <c r="O1156" i="1"/>
  <c r="O1165" i="1"/>
  <c r="O1420" i="1"/>
  <c r="O1462" i="1"/>
  <c r="O1557" i="1"/>
  <c r="Q1557" i="1"/>
  <c r="R1557" i="1" s="1"/>
  <c r="Q1599" i="1"/>
  <c r="R1599" i="1" s="1"/>
  <c r="O1599" i="1"/>
  <c r="M1650" i="1"/>
  <c r="O1650" i="1" s="1"/>
  <c r="O1728" i="1"/>
  <c r="O570" i="1"/>
  <c r="O622" i="1"/>
  <c r="O667" i="1"/>
  <c r="M714" i="1"/>
  <c r="Q714" i="1" s="1"/>
  <c r="R714" i="1" s="1"/>
  <c r="O786" i="1"/>
  <c r="O788" i="1"/>
  <c r="O809" i="1"/>
  <c r="O846" i="1"/>
  <c r="O856" i="1"/>
  <c r="O858" i="1"/>
  <c r="O948" i="1"/>
  <c r="O984" i="1"/>
  <c r="O990" i="1"/>
  <c r="O1000" i="1"/>
  <c r="O1025" i="1"/>
  <c r="O1032" i="1"/>
  <c r="O1118" i="1"/>
  <c r="O1436" i="1"/>
  <c r="Q1436" i="1"/>
  <c r="R1436" i="1" s="1"/>
  <c r="Q1446" i="1"/>
  <c r="R1446" i="1" s="1"/>
  <c r="O1446" i="1"/>
  <c r="O1593" i="1"/>
  <c r="Q1603" i="1"/>
  <c r="R1603" i="1" s="1"/>
  <c r="O1603" i="1"/>
  <c r="O629" i="1"/>
  <c r="O631" i="1"/>
  <c r="O646" i="1"/>
  <c r="O690" i="1"/>
  <c r="O706" i="1"/>
  <c r="Q762" i="1"/>
  <c r="R762" i="1" s="1"/>
  <c r="O784" i="1"/>
  <c r="O844" i="1"/>
  <c r="O867" i="1"/>
  <c r="O881" i="1"/>
  <c r="O885" i="1"/>
  <c r="O891" i="1"/>
  <c r="O901" i="1"/>
  <c r="Q944" i="1"/>
  <c r="R944" i="1" s="1"/>
  <c r="O998" i="1"/>
  <c r="O1002" i="1"/>
  <c r="O1034" i="1"/>
  <c r="O1196" i="1"/>
  <c r="M1325" i="1"/>
  <c r="O1336" i="1"/>
  <c r="O1411" i="1"/>
  <c r="O1536" i="1"/>
  <c r="O1539" i="1"/>
  <c r="Q1600" i="1"/>
  <c r="R1600" i="1" s="1"/>
  <c r="O1600" i="1"/>
  <c r="O1656" i="1"/>
  <c r="O1739" i="1"/>
  <c r="O1391" i="1"/>
  <c r="O1396" i="1"/>
  <c r="O1403" i="1"/>
  <c r="O1407" i="1"/>
  <c r="O1412" i="1"/>
  <c r="O1479" i="1"/>
  <c r="O1710" i="1"/>
  <c r="O1047" i="1"/>
  <c r="O1064" i="1"/>
  <c r="O1199" i="1"/>
  <c r="O1230" i="1"/>
  <c r="O1242" i="1"/>
  <c r="O1253" i="1"/>
  <c r="O1332" i="1"/>
  <c r="O1342" i="1"/>
  <c r="O1421" i="1"/>
  <c r="O1495" i="1"/>
  <c r="O1537" i="1"/>
  <c r="O1556" i="1"/>
  <c r="O1565" i="1"/>
  <c r="O1655" i="1"/>
  <c r="O1686" i="1"/>
  <c r="M1693" i="1"/>
  <c r="O1693" i="1" s="1"/>
  <c r="O1733" i="1"/>
  <c r="O1172" i="1"/>
  <c r="O1184" i="1"/>
  <c r="O1225" i="1"/>
  <c r="O1233" i="1"/>
  <c r="O1240" i="1"/>
  <c r="O1249" i="1"/>
  <c r="O1262" i="1"/>
  <c r="O1264" i="1"/>
  <c r="Q1264" i="1" s="1"/>
  <c r="R1264" i="1" s="1"/>
  <c r="O1267" i="1"/>
  <c r="O1320" i="1"/>
  <c r="H1326" i="1"/>
  <c r="O1373" i="1"/>
  <c r="O1378" i="1"/>
  <c r="O1398" i="1"/>
  <c r="O1400" i="1"/>
  <c r="O1414" i="1"/>
  <c r="O1465" i="1"/>
  <c r="O1491" i="1"/>
  <c r="O1493" i="1"/>
  <c r="O1528" i="1"/>
  <c r="O1573" i="1"/>
  <c r="O1625" i="1"/>
  <c r="O1628" i="1"/>
  <c r="O1665" i="1"/>
  <c r="O1711" i="1"/>
  <c r="O1746" i="1"/>
  <c r="O1155" i="1"/>
  <c r="O1256" i="1"/>
  <c r="O1384" i="1"/>
  <c r="O1404" i="1"/>
  <c r="O1422" i="1"/>
  <c r="O1447" i="1"/>
  <c r="O1487" i="1"/>
  <c r="O1496" i="1"/>
  <c r="O1516" i="1"/>
  <c r="O1531" i="1"/>
  <c r="O1595" i="1"/>
  <c r="O1608" i="1"/>
  <c r="O1611" i="1"/>
  <c r="Q1625" i="1"/>
  <c r="R1625" i="1" s="1"/>
  <c r="M1651" i="1"/>
  <c r="O1651" i="1" s="1"/>
  <c r="O1675" i="1"/>
  <c r="O1682" i="1"/>
  <c r="O1702" i="1"/>
  <c r="O1734" i="1"/>
  <c r="O1040" i="1"/>
  <c r="O1048" i="1"/>
  <c r="O1052" i="1"/>
  <c r="O1089" i="1"/>
  <c r="O1123" i="1"/>
  <c r="O1189" i="1"/>
  <c r="O1236" i="1"/>
  <c r="O1250" i="1"/>
  <c r="O1415" i="1"/>
  <c r="O1472" i="1"/>
  <c r="O1485" i="1"/>
  <c r="O1533" i="1"/>
  <c r="Q1568" i="1"/>
  <c r="R1568" i="1" s="1"/>
  <c r="O1574" i="1"/>
  <c r="O1639" i="1"/>
  <c r="O1641" i="1"/>
  <c r="O1645" i="1"/>
  <c r="O1697" i="1"/>
  <c r="O1709" i="1"/>
  <c r="O1720" i="1"/>
  <c r="O1722" i="1"/>
  <c r="O1754" i="1"/>
  <c r="Q4" i="1"/>
  <c r="O4" i="1"/>
  <c r="Q29" i="1"/>
  <c r="O29" i="1"/>
  <c r="O6" i="1"/>
  <c r="Q6" i="1"/>
  <c r="Q17" i="1"/>
  <c r="R17" i="1" s="1"/>
  <c r="O17" i="1"/>
  <c r="Q21" i="1"/>
  <c r="R21" i="1" s="1"/>
  <c r="O21" i="1"/>
  <c r="Q66" i="1"/>
  <c r="R66" i="1" s="1"/>
  <c r="O66" i="1"/>
  <c r="O56" i="1"/>
  <c r="Q56" i="1"/>
  <c r="R56" i="1" s="1"/>
  <c r="O25" i="1"/>
  <c r="Q25" i="1"/>
  <c r="R25" i="1" s="1"/>
  <c r="Q27" i="1"/>
  <c r="R27" i="1" s="1"/>
  <c r="O27" i="1"/>
  <c r="Q46" i="1"/>
  <c r="R46" i="1" s="1"/>
  <c r="O46" i="1"/>
  <c r="Q97" i="1"/>
  <c r="O97" i="1"/>
  <c r="R23" i="1"/>
  <c r="O11" i="1"/>
  <c r="Q11" i="1"/>
  <c r="R11" i="1" s="1"/>
  <c r="Q15" i="1"/>
  <c r="R15" i="1" s="1"/>
  <c r="O15" i="1"/>
  <c r="Q30" i="1"/>
  <c r="O30" i="1"/>
  <c r="Q32" i="1"/>
  <c r="O32" i="1"/>
  <c r="Q42" i="1"/>
  <c r="R42" i="1" s="1"/>
  <c r="O42" i="1"/>
  <c r="Q14" i="1"/>
  <c r="R14" i="1" s="1"/>
  <c r="O14" i="1"/>
  <c r="O48" i="1"/>
  <c r="Q48" i="1"/>
  <c r="R48" i="1" s="1"/>
  <c r="O55" i="1"/>
  <c r="Q55" i="1"/>
  <c r="R55" i="1" s="1"/>
  <c r="Q61" i="1"/>
  <c r="R61" i="1" s="1"/>
  <c r="O61" i="1"/>
  <c r="O7" i="1"/>
  <c r="Q7" i="1"/>
  <c r="O22" i="1"/>
  <c r="Q22" i="1"/>
  <c r="R22" i="1" s="1"/>
  <c r="Q28" i="1"/>
  <c r="R28" i="1" s="1"/>
  <c r="O28" i="1"/>
  <c r="Q53" i="1"/>
  <c r="R53" i="1" s="1"/>
  <c r="O53" i="1"/>
  <c r="O8" i="1"/>
  <c r="Q8" i="1"/>
  <c r="Q105" i="1"/>
  <c r="O105" i="1"/>
  <c r="Q18" i="1"/>
  <c r="R18" i="1" s="1"/>
  <c r="O18" i="1"/>
  <c r="Q13" i="1"/>
  <c r="O13" i="1"/>
  <c r="O20" i="1"/>
  <c r="Q20" i="1"/>
  <c r="O5" i="1"/>
  <c r="Q5" i="1"/>
  <c r="Q16" i="1"/>
  <c r="R16" i="1" s="1"/>
  <c r="O16" i="1"/>
  <c r="Q43" i="1"/>
  <c r="O43" i="1"/>
  <c r="O45" i="1"/>
  <c r="Q45" i="1"/>
  <c r="R45" i="1" s="1"/>
  <c r="Q10" i="1"/>
  <c r="O10" i="1"/>
  <c r="Q19" i="1"/>
  <c r="R19" i="1" s="1"/>
  <c r="O19" i="1"/>
  <c r="O31" i="1"/>
  <c r="Q31" i="1"/>
  <c r="O33" i="1"/>
  <c r="Q33" i="1"/>
  <c r="R33" i="1" s="1"/>
  <c r="Q35" i="1"/>
  <c r="O35" i="1"/>
  <c r="Q41" i="1"/>
  <c r="O41" i="1"/>
  <c r="Q36" i="1"/>
  <c r="R36" i="1" s="1"/>
  <c r="O23" i="1"/>
  <c r="O26" i="1"/>
  <c r="O34" i="1"/>
  <c r="Q70" i="1"/>
  <c r="R70" i="1" s="1"/>
  <c r="O70" i="1"/>
  <c r="Q73" i="1"/>
  <c r="R73" i="1" s="1"/>
  <c r="O73" i="1"/>
  <c r="Q75" i="1"/>
  <c r="R75" i="1" s="1"/>
  <c r="O75" i="1"/>
  <c r="Q89" i="1"/>
  <c r="R89" i="1" s="1"/>
  <c r="O89" i="1"/>
  <c r="Q93" i="1"/>
  <c r="R93" i="1" s="1"/>
  <c r="Q95" i="1"/>
  <c r="R95" i="1" s="1"/>
  <c r="O95" i="1"/>
  <c r="Q100" i="1"/>
  <c r="O100" i="1"/>
  <c r="O113" i="1"/>
  <c r="Q121" i="1"/>
  <c r="R121" i="1" s="1"/>
  <c r="O121" i="1"/>
  <c r="Q129" i="1"/>
  <c r="R129" i="1" s="1"/>
  <c r="O129" i="1"/>
  <c r="Q131" i="1"/>
  <c r="O131" i="1"/>
  <c r="Q50" i="1"/>
  <c r="R50" i="1" s="1"/>
  <c r="O51" i="1"/>
  <c r="O71" i="1"/>
  <c r="Q86" i="1"/>
  <c r="R86" i="1" s="1"/>
  <c r="O86" i="1"/>
  <c r="Q92" i="1"/>
  <c r="R92" i="1" s="1"/>
  <c r="O92" i="1"/>
  <c r="Q102" i="1"/>
  <c r="R102" i="1" s="1"/>
  <c r="O102" i="1"/>
  <c r="Q112" i="1"/>
  <c r="R112" i="1" s="1"/>
  <c r="O112" i="1"/>
  <c r="Q125" i="1"/>
  <c r="R125" i="1" s="1"/>
  <c r="O125" i="1"/>
  <c r="Q143" i="1"/>
  <c r="R143" i="1" s="1"/>
  <c r="O143" i="1"/>
  <c r="Q59" i="1"/>
  <c r="R59" i="1" s="1"/>
  <c r="O59" i="1"/>
  <c r="Q83" i="1"/>
  <c r="R83" i="1" s="1"/>
  <c r="O83" i="1"/>
  <c r="Q120" i="1"/>
  <c r="R120" i="1" s="1"/>
  <c r="O120" i="1"/>
  <c r="O77" i="1"/>
  <c r="Q106" i="1"/>
  <c r="R106" i="1" s="1"/>
  <c r="O106" i="1"/>
  <c r="Q117" i="1"/>
  <c r="R117" i="1" s="1"/>
  <c r="O117" i="1"/>
  <c r="Q123" i="1"/>
  <c r="R123" i="1" s="1"/>
  <c r="O123" i="1"/>
  <c r="O148" i="1"/>
  <c r="Q148" i="1"/>
  <c r="R148" i="1" s="1"/>
  <c r="O47" i="1"/>
  <c r="Q67" i="1"/>
  <c r="R67" i="1" s="1"/>
  <c r="O67" i="1"/>
  <c r="Q69" i="1"/>
  <c r="O69" i="1"/>
  <c r="Q72" i="1"/>
  <c r="O72" i="1"/>
  <c r="Q76" i="1"/>
  <c r="R76" i="1" s="1"/>
  <c r="O76" i="1"/>
  <c r="Q80" i="1"/>
  <c r="R80" i="1" s="1"/>
  <c r="O80" i="1"/>
  <c r="Q94" i="1"/>
  <c r="R94" i="1" s="1"/>
  <c r="O94" i="1"/>
  <c r="O99" i="1"/>
  <c r="Q101" i="1"/>
  <c r="R101" i="1" s="1"/>
  <c r="O101" i="1"/>
  <c r="Q103" i="1"/>
  <c r="R103" i="1" s="1"/>
  <c r="O103" i="1"/>
  <c r="Q104" i="1"/>
  <c r="R104" i="1" s="1"/>
  <c r="Q108" i="1"/>
  <c r="R108" i="1" s="1"/>
  <c r="O108" i="1"/>
  <c r="O126" i="1"/>
  <c r="Q126" i="1"/>
  <c r="R126" i="1" s="1"/>
  <c r="Q132" i="1"/>
  <c r="R132" i="1" s="1"/>
  <c r="O132" i="1"/>
  <c r="O141" i="1"/>
  <c r="Q141" i="1"/>
  <c r="R141" i="1" s="1"/>
  <c r="O63" i="1"/>
  <c r="O64" i="1"/>
  <c r="O85" i="1"/>
  <c r="Q87" i="1"/>
  <c r="R87" i="1" s="1"/>
  <c r="O87" i="1"/>
  <c r="Q98" i="1"/>
  <c r="R98" i="1" s="1"/>
  <c r="O98" i="1"/>
  <c r="H111" i="1"/>
  <c r="M111" i="1" s="1"/>
  <c r="Q79" i="1"/>
  <c r="Q84" i="1"/>
  <c r="R84" i="1" s="1"/>
  <c r="O84" i="1"/>
  <c r="Q114" i="1"/>
  <c r="O114" i="1"/>
  <c r="M54" i="1"/>
  <c r="Q62" i="1"/>
  <c r="R62" i="1" s="1"/>
  <c r="O62" i="1"/>
  <c r="R63" i="1"/>
  <c r="Q78" i="1"/>
  <c r="R78" i="1" s="1"/>
  <c r="O78" i="1"/>
  <c r="Q122" i="1"/>
  <c r="R122" i="1" s="1"/>
  <c r="O122" i="1"/>
  <c r="O127" i="1"/>
  <c r="Q127" i="1"/>
  <c r="R127" i="1" s="1"/>
  <c r="O128" i="1"/>
  <c r="O130" i="1"/>
  <c r="Q160" i="1"/>
  <c r="R160" i="1" s="1"/>
  <c r="O160" i="1"/>
  <c r="O165" i="1"/>
  <c r="Q165" i="1"/>
  <c r="R165" i="1" s="1"/>
  <c r="Q167" i="1"/>
  <c r="R167" i="1" s="1"/>
  <c r="Q170" i="1"/>
  <c r="R170" i="1" s="1"/>
  <c r="O170" i="1"/>
  <c r="Q180" i="1"/>
  <c r="R180" i="1" s="1"/>
  <c r="O180" i="1"/>
  <c r="Q198" i="1"/>
  <c r="R198" i="1" s="1"/>
  <c r="O198" i="1"/>
  <c r="Q203" i="1"/>
  <c r="R203" i="1" s="1"/>
  <c r="O203" i="1"/>
  <c r="O213" i="1"/>
  <c r="Q213" i="1"/>
  <c r="Q286" i="1"/>
  <c r="R286" i="1" s="1"/>
  <c r="O286" i="1"/>
  <c r="Q383" i="1"/>
  <c r="O383" i="1"/>
  <c r="O588" i="1"/>
  <c r="Q588" i="1"/>
  <c r="R588" i="1" s="1"/>
  <c r="H81" i="1"/>
  <c r="M81" i="1" s="1"/>
  <c r="O142" i="1"/>
  <c r="Q142" i="1"/>
  <c r="R142" i="1" s="1"/>
  <c r="O149" i="1"/>
  <c r="Q149" i="1"/>
  <c r="R149" i="1" s="1"/>
  <c r="Q168" i="1"/>
  <c r="R168" i="1" s="1"/>
  <c r="O168" i="1"/>
  <c r="O173" i="1"/>
  <c r="Q173" i="1"/>
  <c r="R173" i="1" s="1"/>
  <c r="Q178" i="1"/>
  <c r="R178" i="1" s="1"/>
  <c r="O178" i="1"/>
  <c r="Q188" i="1"/>
  <c r="R188" i="1" s="1"/>
  <c r="O188" i="1"/>
  <c r="O392" i="1"/>
  <c r="Q392" i="1"/>
  <c r="Q163" i="1"/>
  <c r="R163" i="1" s="1"/>
  <c r="O163" i="1"/>
  <c r="Q176" i="1"/>
  <c r="R176" i="1" s="1"/>
  <c r="O176" i="1"/>
  <c r="O181" i="1"/>
  <c r="Q181" i="1"/>
  <c r="R181" i="1" s="1"/>
  <c r="Q186" i="1"/>
  <c r="R186" i="1" s="1"/>
  <c r="O186" i="1"/>
  <c r="Q206" i="1"/>
  <c r="R206" i="1" s="1"/>
  <c r="O206" i="1"/>
  <c r="Q214" i="1"/>
  <c r="R214" i="1" s="1"/>
  <c r="O214" i="1"/>
  <c r="Q287" i="1"/>
  <c r="R287" i="1" s="1"/>
  <c r="O287" i="1"/>
  <c r="O379" i="1"/>
  <c r="Q379" i="1"/>
  <c r="O395" i="1"/>
  <c r="Q395" i="1"/>
  <c r="Q518" i="1"/>
  <c r="O518" i="1"/>
  <c r="Q589" i="1"/>
  <c r="R589" i="1" s="1"/>
  <c r="O589" i="1"/>
  <c r="M139" i="1"/>
  <c r="Q171" i="1"/>
  <c r="R171" i="1" s="1"/>
  <c r="O171" i="1"/>
  <c r="Q184" i="1"/>
  <c r="R184" i="1" s="1"/>
  <c r="O184" i="1"/>
  <c r="O189" i="1"/>
  <c r="Q189" i="1"/>
  <c r="R189" i="1" s="1"/>
  <c r="Q191" i="1"/>
  <c r="R191" i="1" s="1"/>
  <c r="Q194" i="1"/>
  <c r="R194" i="1" s="1"/>
  <c r="O194" i="1"/>
  <c r="Q231" i="1"/>
  <c r="O231" i="1"/>
  <c r="O393" i="1"/>
  <c r="Q393" i="1"/>
  <c r="R393" i="1" s="1"/>
  <c r="O580" i="1"/>
  <c r="Q580" i="1"/>
  <c r="R580" i="1" s="1"/>
  <c r="O133" i="1"/>
  <c r="O134" i="1"/>
  <c r="Q152" i="1"/>
  <c r="R152" i="1" s="1"/>
  <c r="O152" i="1"/>
  <c r="Q156" i="1"/>
  <c r="R156" i="1" s="1"/>
  <c r="O156" i="1"/>
  <c r="Q179" i="1"/>
  <c r="R179" i="1" s="1"/>
  <c r="O179" i="1"/>
  <c r="Q192" i="1"/>
  <c r="R192" i="1" s="1"/>
  <c r="O192" i="1"/>
  <c r="Q207" i="1"/>
  <c r="R207" i="1" s="1"/>
  <c r="O207" i="1"/>
  <c r="Q516" i="1"/>
  <c r="O516" i="1"/>
  <c r="Q519" i="1"/>
  <c r="O519" i="1"/>
  <c r="O566" i="1"/>
  <c r="Q566" i="1"/>
  <c r="R566" i="1" s="1"/>
  <c r="O603" i="1"/>
  <c r="Q603" i="1"/>
  <c r="R603" i="1" s="1"/>
  <c r="O118" i="1"/>
  <c r="O146" i="1"/>
  <c r="O166" i="1"/>
  <c r="Q187" i="1"/>
  <c r="R187" i="1" s="1"/>
  <c r="O187" i="1"/>
  <c r="Q215" i="1"/>
  <c r="O215" i="1"/>
  <c r="Q232" i="1"/>
  <c r="R232" i="1" s="1"/>
  <c r="O232" i="1"/>
  <c r="Q285" i="1"/>
  <c r="O285" i="1"/>
  <c r="Q299" i="1"/>
  <c r="O299" i="1"/>
  <c r="O396" i="1"/>
  <c r="Q396" i="1"/>
  <c r="R396" i="1" s="1"/>
  <c r="Q507" i="1"/>
  <c r="O507" i="1"/>
  <c r="O512" i="1"/>
  <c r="Q512" i="1"/>
  <c r="O109" i="1"/>
  <c r="O115" i="1"/>
  <c r="Q164" i="1"/>
  <c r="R164" i="1" s="1"/>
  <c r="O164" i="1"/>
  <c r="Q271" i="1"/>
  <c r="O271" i="1"/>
  <c r="Q387" i="1"/>
  <c r="R387" i="1" s="1"/>
  <c r="O387" i="1"/>
  <c r="Q510" i="1"/>
  <c r="R510" i="1" s="1"/>
  <c r="O510" i="1"/>
  <c r="O150" i="1"/>
  <c r="O157" i="1"/>
  <c r="Q157" i="1"/>
  <c r="R157" i="1" s="1"/>
  <c r="Q162" i="1"/>
  <c r="R162" i="1" s="1"/>
  <c r="O162" i="1"/>
  <c r="Q172" i="1"/>
  <c r="R172" i="1" s="1"/>
  <c r="O172" i="1"/>
  <c r="O182" i="1"/>
  <c r="Q205" i="1"/>
  <c r="O205" i="1"/>
  <c r="O300" i="1"/>
  <c r="Q300" i="1"/>
  <c r="R300" i="1" s="1"/>
  <c r="Q385" i="1"/>
  <c r="R385" i="1" s="1"/>
  <c r="O385" i="1"/>
  <c r="Q397" i="1"/>
  <c r="R397" i="1" s="1"/>
  <c r="O397" i="1"/>
  <c r="O195" i="1"/>
  <c r="O199" i="1"/>
  <c r="M313" i="1"/>
  <c r="O313" i="1" s="1"/>
  <c r="O428" i="1"/>
  <c r="Q517" i="1"/>
  <c r="R517" i="1" s="1"/>
  <c r="O587" i="1"/>
  <c r="Q598" i="1"/>
  <c r="Q602" i="1"/>
  <c r="Q617" i="1"/>
  <c r="R617" i="1" s="1"/>
  <c r="O617" i="1"/>
  <c r="O698" i="1"/>
  <c r="Q698" i="1"/>
  <c r="O705" i="1"/>
  <c r="Q705" i="1"/>
  <c r="R705" i="1" s="1"/>
  <c r="Q728" i="1"/>
  <c r="R728" i="1" s="1"/>
  <c r="O728" i="1"/>
  <c r="O731" i="1"/>
  <c r="Q731" i="1"/>
  <c r="R731" i="1" s="1"/>
  <c r="Q753" i="1"/>
  <c r="R753" i="1" s="1"/>
  <c r="O753" i="1"/>
  <c r="Q767" i="1"/>
  <c r="R767" i="1" s="1"/>
  <c r="O767" i="1"/>
  <c r="O339" i="1"/>
  <c r="O391" i="1"/>
  <c r="O403" i="1"/>
  <c r="O426" i="1"/>
  <c r="O437" i="1"/>
  <c r="O453" i="1"/>
  <c r="O469" i="1"/>
  <c r="O485" i="1"/>
  <c r="O508" i="1"/>
  <c r="H523" i="1"/>
  <c r="M523" i="1" s="1"/>
  <c r="O523" i="1" s="1"/>
  <c r="O544" i="1"/>
  <c r="O708" i="1"/>
  <c r="Q708" i="1"/>
  <c r="Q738" i="1"/>
  <c r="R738" i="1" s="1"/>
  <c r="O738" i="1"/>
  <c r="M318" i="1"/>
  <c r="O318" i="1" s="1"/>
  <c r="M432" i="1"/>
  <c r="O432" i="1" s="1"/>
  <c r="Q565" i="1"/>
  <c r="R565" i="1" s="1"/>
  <c r="O565" i="1"/>
  <c r="Q586" i="1"/>
  <c r="R586" i="1" s="1"/>
  <c r="O586" i="1"/>
  <c r="O609" i="1"/>
  <c r="Q609" i="1"/>
  <c r="R609" i="1" s="1"/>
  <c r="O635" i="1"/>
  <c r="Q635" i="1"/>
  <c r="R635" i="1" s="1"/>
  <c r="O721" i="1"/>
  <c r="Q721" i="1"/>
  <c r="R721" i="1" s="1"/>
  <c r="O726" i="1"/>
  <c r="Q726" i="1"/>
  <c r="R726" i="1" s="1"/>
  <c r="Q732" i="1"/>
  <c r="R732" i="1" s="1"/>
  <c r="O732" i="1"/>
  <c r="Q743" i="1"/>
  <c r="R743" i="1" s="1"/>
  <c r="O743" i="1"/>
  <c r="O153" i="1"/>
  <c r="O161" i="1"/>
  <c r="O169" i="1"/>
  <c r="O177" i="1"/>
  <c r="O185" i="1"/>
  <c r="O193" i="1"/>
  <c r="O202" i="1"/>
  <c r="O270" i="1"/>
  <c r="O380" i="1"/>
  <c r="Q391" i="1"/>
  <c r="O419" i="1"/>
  <c r="M434" i="1"/>
  <c r="O434" i="1" s="1"/>
  <c r="O498" i="1"/>
  <c r="Q508" i="1"/>
  <c r="R508" i="1" s="1"/>
  <c r="O554" i="1"/>
  <c r="O568" i="1"/>
  <c r="O595" i="1"/>
  <c r="Q605" i="1"/>
  <c r="Q611" i="1"/>
  <c r="R611" i="1" s="1"/>
  <c r="Q615" i="1"/>
  <c r="O615" i="1"/>
  <c r="O624" i="1"/>
  <c r="O754" i="1"/>
  <c r="Q754" i="1"/>
  <c r="O765" i="1"/>
  <c r="Q765" i="1"/>
  <c r="R765" i="1" s="1"/>
  <c r="O201" i="1"/>
  <c r="Q289" i="1"/>
  <c r="O411" i="1"/>
  <c r="M436" i="1"/>
  <c r="O436" i="1" s="1"/>
  <c r="Q618" i="1"/>
  <c r="O618" i="1"/>
  <c r="Q633" i="1"/>
  <c r="O633" i="1"/>
  <c r="O703" i="1"/>
  <c r="Q703" i="1"/>
  <c r="R703" i="1" s="1"/>
  <c r="Q722" i="1"/>
  <c r="R722" i="1" s="1"/>
  <c r="O722" i="1"/>
  <c r="O741" i="1"/>
  <c r="Q741" i="1"/>
  <c r="R741" i="1" s="1"/>
  <c r="O307" i="1"/>
  <c r="M314" i="1"/>
  <c r="O314" i="1" s="1"/>
  <c r="M317" i="1"/>
  <c r="O317" i="1" s="1"/>
  <c r="O382" i="1"/>
  <c r="O398" i="1"/>
  <c r="O427" i="1"/>
  <c r="H431" i="1"/>
  <c r="M431" i="1" s="1"/>
  <c r="O431" i="1" s="1"/>
  <c r="O538" i="1"/>
  <c r="O558" i="1"/>
  <c r="H562" i="1"/>
  <c r="M562" i="1" s="1"/>
  <c r="Q604" i="1"/>
  <c r="R604" i="1" s="1"/>
  <c r="O604" i="1"/>
  <c r="Q616" i="1"/>
  <c r="R616" i="1" s="1"/>
  <c r="O616" i="1"/>
  <c r="Q636" i="1"/>
  <c r="R636" i="1" s="1"/>
  <c r="O636" i="1"/>
  <c r="O766" i="1"/>
  <c r="Q766" i="1"/>
  <c r="M524" i="1"/>
  <c r="O524" i="1" s="1"/>
  <c r="O585" i="1"/>
  <c r="Q585" i="1"/>
  <c r="R585" i="1" s="1"/>
  <c r="Q704" i="1"/>
  <c r="R704" i="1" s="1"/>
  <c r="O704" i="1"/>
  <c r="O386" i="1"/>
  <c r="H435" i="1"/>
  <c r="M435" i="1" s="1"/>
  <c r="O435" i="1" s="1"/>
  <c r="O444" i="1"/>
  <c r="O460" i="1"/>
  <c r="O476" i="1"/>
  <c r="O492" i="1"/>
  <c r="O501" i="1"/>
  <c r="O511" i="1"/>
  <c r="O528" i="1"/>
  <c r="O607" i="1"/>
  <c r="O737" i="1"/>
  <c r="Q737" i="1"/>
  <c r="R737" i="1" s="1"/>
  <c r="O592" i="1"/>
  <c r="M700" i="1"/>
  <c r="O700" i="1" s="1"/>
  <c r="O711" i="1"/>
  <c r="Q711" i="1"/>
  <c r="R711" i="1" s="1"/>
  <c r="Q720" i="1"/>
  <c r="R720" i="1" s="1"/>
  <c r="Q736" i="1"/>
  <c r="R736" i="1" s="1"/>
  <c r="O746" i="1"/>
  <c r="O750" i="1"/>
  <c r="Q763" i="1"/>
  <c r="O802" i="1"/>
  <c r="H812" i="1"/>
  <c r="M812" i="1" s="1"/>
  <c r="O578" i="1"/>
  <c r="M702" i="1"/>
  <c r="H715" i="1"/>
  <c r="M715" i="1" s="1"/>
  <c r="O747" i="1"/>
  <c r="O756" i="1"/>
  <c r="O769" i="1"/>
  <c r="Q798" i="1"/>
  <c r="Q814" i="1"/>
  <c r="R814" i="1" s="1"/>
  <c r="O814" i="1"/>
  <c r="H820" i="1"/>
  <c r="M820" i="1" s="1"/>
  <c r="O820" i="1" s="1"/>
  <c r="H839" i="1"/>
  <c r="M839" i="1" s="1"/>
  <c r="O839" i="1" s="1"/>
  <c r="Q871" i="1"/>
  <c r="O871" i="1"/>
  <c r="H760" i="1"/>
  <c r="M760" i="1" s="1"/>
  <c r="O760" i="1" s="1"/>
  <c r="Q806" i="1"/>
  <c r="R806" i="1" s="1"/>
  <c r="O806" i="1"/>
  <c r="M822" i="1"/>
  <c r="O822" i="1" s="1"/>
  <c r="O828" i="1"/>
  <c r="Q828" i="1"/>
  <c r="M837" i="1"/>
  <c r="O837" i="1" s="1"/>
  <c r="Q940" i="1"/>
  <c r="R940" i="1" s="1"/>
  <c r="O940" i="1"/>
  <c r="Q578" i="1"/>
  <c r="O581" i="1"/>
  <c r="M610" i="1"/>
  <c r="O638" i="1"/>
  <c r="O640" i="1"/>
  <c r="O724" i="1"/>
  <c r="Q729" i="1"/>
  <c r="R729" i="1" s="1"/>
  <c r="O734" i="1"/>
  <c r="Q747" i="1"/>
  <c r="R747" i="1" s="1"/>
  <c r="O872" i="1"/>
  <c r="Q872" i="1"/>
  <c r="R872" i="1" s="1"/>
  <c r="O697" i="1"/>
  <c r="H701" i="1"/>
  <c r="M701" i="1" s="1"/>
  <c r="O718" i="1"/>
  <c r="O742" i="1"/>
  <c r="O749" i="1"/>
  <c r="Q764" i="1"/>
  <c r="R764" i="1" s="1"/>
  <c r="O801" i="1"/>
  <c r="O807" i="1"/>
  <c r="O811" i="1"/>
  <c r="Q811" i="1"/>
  <c r="O817" i="1"/>
  <c r="Q818" i="1"/>
  <c r="Q938" i="1"/>
  <c r="R938" i="1" s="1"/>
  <c r="O938" i="1"/>
  <c r="O571" i="1"/>
  <c r="M621" i="1"/>
  <c r="O621" i="1" s="1"/>
  <c r="O671" i="1"/>
  <c r="O829" i="1"/>
  <c r="Q957" i="1"/>
  <c r="O957" i="1"/>
  <c r="M761" i="1"/>
  <c r="O761" i="1" s="1"/>
  <c r="O800" i="1"/>
  <c r="Q800" i="1"/>
  <c r="R800" i="1" s="1"/>
  <c r="Q819" i="1"/>
  <c r="R819" i="1" s="1"/>
  <c r="O819" i="1"/>
  <c r="O825" i="1"/>
  <c r="Q825" i="1"/>
  <c r="O752" i="1"/>
  <c r="Q752" i="1"/>
  <c r="R752" i="1" s="1"/>
  <c r="O768" i="1"/>
  <c r="M836" i="1"/>
  <c r="O836" i="1" s="1"/>
  <c r="O848" i="1"/>
  <c r="O860" i="1"/>
  <c r="M898" i="1"/>
  <c r="O898" i="1" s="1"/>
  <c r="O942" i="1"/>
  <c r="O972" i="1"/>
  <c r="Q1083" i="1"/>
  <c r="R1083" i="1" s="1"/>
  <c r="O1083" i="1"/>
  <c r="O1092" i="1"/>
  <c r="Q1092" i="1"/>
  <c r="O805" i="1"/>
  <c r="Q813" i="1"/>
  <c r="R813" i="1" s="1"/>
  <c r="O813" i="1"/>
  <c r="O827" i="1"/>
  <c r="O855" i="1"/>
  <c r="O887" i="1"/>
  <c r="O903" i="1"/>
  <c r="M937" i="1"/>
  <c r="O964" i="1"/>
  <c r="O1027" i="1"/>
  <c r="Q1111" i="1"/>
  <c r="R1111" i="1" s="1"/>
  <c r="O1111" i="1"/>
  <c r="Q1114" i="1"/>
  <c r="R1114" i="1" s="1"/>
  <c r="O1114" i="1"/>
  <c r="O939" i="1"/>
  <c r="Q939" i="1"/>
  <c r="R939" i="1" s="1"/>
  <c r="O956" i="1"/>
  <c r="Q956" i="1"/>
  <c r="R956" i="1" s="1"/>
  <c r="O1054" i="1"/>
  <c r="Q1054" i="1"/>
  <c r="R1054" i="1" s="1"/>
  <c r="O1074" i="1"/>
  <c r="Q1074" i="1"/>
  <c r="R1074" i="1" s="1"/>
  <c r="Q1102" i="1"/>
  <c r="R1102" i="1" s="1"/>
  <c r="O1102" i="1"/>
  <c r="Q1136" i="1"/>
  <c r="O1136" i="1"/>
  <c r="O799" i="1"/>
  <c r="Q802" i="1"/>
  <c r="R802" i="1" s="1"/>
  <c r="Q805" i="1"/>
  <c r="R805" i="1" s="1"/>
  <c r="O815" i="1"/>
  <c r="M886" i="1"/>
  <c r="O886" i="1" s="1"/>
  <c r="O889" i="1"/>
  <c r="O954" i="1"/>
  <c r="O958" i="1"/>
  <c r="Q958" i="1" s="1"/>
  <c r="R958" i="1" s="1"/>
  <c r="Q1062" i="1"/>
  <c r="R1062" i="1" s="1"/>
  <c r="O1062" i="1"/>
  <c r="O1115" i="1"/>
  <c r="Q1115" i="1"/>
  <c r="R1115" i="1" s="1"/>
  <c r="O1139" i="1"/>
  <c r="Q1139" i="1"/>
  <c r="Q1146" i="1"/>
  <c r="R1146" i="1" s="1"/>
  <c r="O1146" i="1"/>
  <c r="O873" i="1"/>
  <c r="M951" i="1"/>
  <c r="O951" i="1" s="1"/>
  <c r="O969" i="1"/>
  <c r="O995" i="1"/>
  <c r="Q1057" i="1"/>
  <c r="O1057" i="1"/>
  <c r="O1112" i="1"/>
  <c r="Q1112" i="1"/>
  <c r="R1112" i="1" s="1"/>
  <c r="O1127" i="1"/>
  <c r="Q1127" i="1"/>
  <c r="O927" i="1"/>
  <c r="Q927" i="1"/>
  <c r="R927" i="1" s="1"/>
  <c r="O953" i="1"/>
  <c r="Q953" i="1"/>
  <c r="H1065" i="1"/>
  <c r="M1065" i="1" s="1"/>
  <c r="Q1072" i="1"/>
  <c r="R1072" i="1" s="1"/>
  <c r="O1072" i="1"/>
  <c r="O1097" i="1"/>
  <c r="Q1097" i="1"/>
  <c r="R1097" i="1" s="1"/>
  <c r="Q1109" i="1"/>
  <c r="R1109" i="1" s="1"/>
  <c r="O1109" i="1"/>
  <c r="O1130" i="1"/>
  <c r="Q1130" i="1"/>
  <c r="O1134" i="1"/>
  <c r="Q1134" i="1"/>
  <c r="M879" i="1"/>
  <c r="O879" i="1" s="1"/>
  <c r="O946" i="1"/>
  <c r="O1082" i="1"/>
  <c r="Q1082" i="1"/>
  <c r="R1082" i="1" s="1"/>
  <c r="O1113" i="1"/>
  <c r="Q1113" i="1"/>
  <c r="R1113" i="1" s="1"/>
  <c r="Q1149" i="1"/>
  <c r="R1149" i="1" s="1"/>
  <c r="O1149" i="1"/>
  <c r="O1158" i="1"/>
  <c r="Q1158" i="1"/>
  <c r="R1158" i="1" s="1"/>
  <c r="Q943" i="1"/>
  <c r="H974" i="1"/>
  <c r="M974" i="1" s="1"/>
  <c r="O974" i="1" s="1"/>
  <c r="O992" i="1"/>
  <c r="O1055" i="1"/>
  <c r="O1060" i="1"/>
  <c r="Q1101" i="1"/>
  <c r="R1101" i="1" s="1"/>
  <c r="O1101" i="1"/>
  <c r="O1110" i="1"/>
  <c r="Q1110" i="1"/>
  <c r="R1110" i="1" s="1"/>
  <c r="O1179" i="1"/>
  <c r="Q1179" i="1"/>
  <c r="R1179" i="1" s="1"/>
  <c r="M826" i="1"/>
  <c r="O826" i="1" s="1"/>
  <c r="O1037" i="1"/>
  <c r="Q1052" i="1"/>
  <c r="O1068" i="1"/>
  <c r="Q1070" i="1"/>
  <c r="Q1078" i="1"/>
  <c r="R1078" i="1" s="1"/>
  <c r="O1080" i="1"/>
  <c r="Q1089" i="1"/>
  <c r="O1106" i="1"/>
  <c r="O1176" i="1"/>
  <c r="O1185" i="1"/>
  <c r="O1198" i="1"/>
  <c r="O1271" i="1"/>
  <c r="Q1271" i="1"/>
  <c r="R1271" i="1" s="1"/>
  <c r="Q1274" i="1"/>
  <c r="R1274" i="1" s="1"/>
  <c r="O1274" i="1"/>
  <c r="Q1295" i="1"/>
  <c r="R1295" i="1" s="1"/>
  <c r="O1295" i="1"/>
  <c r="Q1319" i="1"/>
  <c r="R1319" i="1" s="1"/>
  <c r="O1319" i="1"/>
  <c r="Q1361" i="1"/>
  <c r="R1361" i="1" s="1"/>
  <c r="O1361" i="1"/>
  <c r="Q1372" i="1"/>
  <c r="R1372" i="1" s="1"/>
  <c r="O1372" i="1"/>
  <c r="Q1380" i="1"/>
  <c r="O1380" i="1"/>
  <c r="Q1445" i="1"/>
  <c r="O1445" i="1"/>
  <c r="Q1454" i="1"/>
  <c r="R1454" i="1" s="1"/>
  <c r="O1454" i="1"/>
  <c r="O1044" i="1"/>
  <c r="O1077" i="1"/>
  <c r="O1096" i="1"/>
  <c r="Q1160" i="1"/>
  <c r="R1160" i="1" s="1"/>
  <c r="O1160" i="1"/>
  <c r="Q1163" i="1"/>
  <c r="R1163" i="1" s="1"/>
  <c r="O1183" i="1"/>
  <c r="O1204" i="1"/>
  <c r="O1266" i="1"/>
  <c r="Q1266" i="1"/>
  <c r="Q1289" i="1"/>
  <c r="R1289" i="1" s="1"/>
  <c r="O1289" i="1"/>
  <c r="Q1346" i="1"/>
  <c r="R1346" i="1" s="1"/>
  <c r="O1346" i="1"/>
  <c r="Q1442" i="1"/>
  <c r="R1442" i="1" s="1"/>
  <c r="O1442" i="1"/>
  <c r="Q1269" i="1"/>
  <c r="R1269" i="1" s="1"/>
  <c r="O1269" i="1"/>
  <c r="Q1286" i="1"/>
  <c r="R1286" i="1" s="1"/>
  <c r="O1286" i="1"/>
  <c r="O1298" i="1"/>
  <c r="Q1298" i="1"/>
  <c r="R1298" i="1" s="1"/>
  <c r="Q1367" i="1"/>
  <c r="R1367" i="1" s="1"/>
  <c r="O1367" i="1"/>
  <c r="O1434" i="1"/>
  <c r="Q1434" i="1"/>
  <c r="R1434" i="1" s="1"/>
  <c r="O924" i="1"/>
  <c r="M926" i="1"/>
  <c r="O960" i="1"/>
  <c r="O1058" i="1"/>
  <c r="Q1067" i="1"/>
  <c r="R1067" i="1" s="1"/>
  <c r="O1071" i="1"/>
  <c r="Q1077" i="1"/>
  <c r="R1077" i="1" s="1"/>
  <c r="O1103" i="1"/>
  <c r="Q1108" i="1"/>
  <c r="R1108" i="1" s="1"/>
  <c r="M1157" i="1"/>
  <c r="O1195" i="1"/>
  <c r="O1214" i="1"/>
  <c r="Q1272" i="1"/>
  <c r="R1272" i="1" s="1"/>
  <c r="O1272" i="1"/>
  <c r="O1278" i="1"/>
  <c r="Q1278" i="1"/>
  <c r="R1278" i="1" s="1"/>
  <c r="Q1290" i="1"/>
  <c r="R1290" i="1" s="1"/>
  <c r="O1290" i="1"/>
  <c r="O1381" i="1"/>
  <c r="Q1381" i="1"/>
  <c r="R1381" i="1" s="1"/>
  <c r="O1045" i="1"/>
  <c r="Q1061" i="1"/>
  <c r="R1061" i="1" s="1"/>
  <c r="O1085" i="1"/>
  <c r="O1093" i="1"/>
  <c r="Q1095" i="1"/>
  <c r="R1095" i="1" s="1"/>
  <c r="O1098" i="1"/>
  <c r="O1100" i="1"/>
  <c r="Q1105" i="1"/>
  <c r="R1105" i="1" s="1"/>
  <c r="O1120" i="1"/>
  <c r="O1125" i="1"/>
  <c r="O1135" i="1"/>
  <c r="Q1135" i="1"/>
  <c r="R1135" i="1" s="1"/>
  <c r="Q1162" i="1"/>
  <c r="R1162" i="1" s="1"/>
  <c r="O1177" i="1"/>
  <c r="Q1177" i="1"/>
  <c r="Q1281" i="1"/>
  <c r="R1281" i="1" s="1"/>
  <c r="O1281" i="1"/>
  <c r="O1287" i="1"/>
  <c r="Q1287" i="1"/>
  <c r="R1287" i="1" s="1"/>
  <c r="Q1293" i="1"/>
  <c r="R1293" i="1" s="1"/>
  <c r="O1293" i="1"/>
  <c r="Q1340" i="1"/>
  <c r="R1340" i="1" s="1"/>
  <c r="O1340" i="1"/>
  <c r="O1347" i="1"/>
  <c r="Q1347" i="1"/>
  <c r="R1347" i="1" s="1"/>
  <c r="Q1350" i="1"/>
  <c r="R1350" i="1" s="1"/>
  <c r="O1350" i="1"/>
  <c r="O1368" i="1"/>
  <c r="Q1368" i="1"/>
  <c r="R1368" i="1" s="1"/>
  <c r="Q1437" i="1"/>
  <c r="R1437" i="1" s="1"/>
  <c r="O1437" i="1"/>
  <c r="O1050" i="1"/>
  <c r="O1066" i="1"/>
  <c r="O1084" i="1"/>
  <c r="O1188" i="1"/>
  <c r="H1190" i="1"/>
  <c r="M1190" i="1" s="1"/>
  <c r="O1190" i="1" s="1"/>
  <c r="Q1273" i="1"/>
  <c r="R1273" i="1" s="1"/>
  <c r="O1273" i="1"/>
  <c r="Q1284" i="1"/>
  <c r="R1284" i="1" s="1"/>
  <c r="O1284" i="1"/>
  <c r="O1305" i="1"/>
  <c r="Q1305" i="1"/>
  <c r="R1305" i="1" s="1"/>
  <c r="Q1335" i="1"/>
  <c r="R1335" i="1" s="1"/>
  <c r="O1335" i="1"/>
  <c r="O1338" i="1"/>
  <c r="Q1338" i="1"/>
  <c r="R1338" i="1" s="1"/>
  <c r="O1365" i="1"/>
  <c r="Q1365" i="1"/>
  <c r="R1365" i="1" s="1"/>
  <c r="H1129" i="1"/>
  <c r="M1129" i="1" s="1"/>
  <c r="O1129" i="1" s="1"/>
  <c r="Q1145" i="1"/>
  <c r="R1145" i="1" s="1"/>
  <c r="O1145" i="1"/>
  <c r="Q1238" i="1"/>
  <c r="R1238" i="1" s="1"/>
  <c r="O1238" i="1"/>
  <c r="Q1279" i="1"/>
  <c r="R1279" i="1" s="1"/>
  <c r="O1279" i="1"/>
  <c r="Q1288" i="1"/>
  <c r="R1288" i="1" s="1"/>
  <c r="O1288" i="1"/>
  <c r="O1291" i="1"/>
  <c r="Q1291" i="1"/>
  <c r="R1291" i="1" s="1"/>
  <c r="Q1294" i="1"/>
  <c r="R1294" i="1" s="1"/>
  <c r="O1294" i="1"/>
  <c r="O1333" i="1"/>
  <c r="Q1333" i="1"/>
  <c r="R1333" i="1" s="1"/>
  <c r="O1355" i="1"/>
  <c r="Q1355" i="1"/>
  <c r="R1355" i="1" s="1"/>
  <c r="O1360" i="1"/>
  <c r="Q1360" i="1"/>
  <c r="R1360" i="1" s="1"/>
  <c r="Q1369" i="1"/>
  <c r="R1369" i="1" s="1"/>
  <c r="O1369" i="1"/>
  <c r="O1429" i="1"/>
  <c r="Q1429" i="1"/>
  <c r="Q1453" i="1"/>
  <c r="R1453" i="1" s="1"/>
  <c r="O1453" i="1"/>
  <c r="H1059" i="1"/>
  <c r="M1059" i="1" s="1"/>
  <c r="O1073" i="1"/>
  <c r="O1081" i="1"/>
  <c r="Q1084" i="1"/>
  <c r="M1086" i="1"/>
  <c r="O1086" i="1" s="1"/>
  <c r="O1104" i="1"/>
  <c r="O1159" i="1"/>
  <c r="O1200" i="1"/>
  <c r="Q1226" i="1"/>
  <c r="O1226" i="1"/>
  <c r="Q1268" i="1"/>
  <c r="O1268" i="1"/>
  <c r="Q1282" i="1"/>
  <c r="R1282" i="1" s="1"/>
  <c r="O1282" i="1"/>
  <c r="Q1285" i="1"/>
  <c r="R1285" i="1" s="1"/>
  <c r="O1285" i="1"/>
  <c r="Q1314" i="1"/>
  <c r="R1314" i="1" s="1"/>
  <c r="O1314" i="1"/>
  <c r="O1377" i="1"/>
  <c r="Q1377" i="1"/>
  <c r="R1377" i="1" s="1"/>
  <c r="Q1441" i="1"/>
  <c r="R1441" i="1" s="1"/>
  <c r="O1441" i="1"/>
  <c r="M1246" i="1"/>
  <c r="O1246" i="1" s="1"/>
  <c r="O1270" i="1"/>
  <c r="O1292" i="1"/>
  <c r="O1302" i="1"/>
  <c r="O1312" i="1"/>
  <c r="M1324" i="1"/>
  <c r="M1327" i="1"/>
  <c r="O1339" i="1"/>
  <c r="O1356" i="1"/>
  <c r="O1358" i="1"/>
  <c r="O1375" i="1"/>
  <c r="M1388" i="1"/>
  <c r="O1388" i="1" s="1"/>
  <c r="Q1440" i="1"/>
  <c r="O1451" i="1"/>
  <c r="Q1458" i="1"/>
  <c r="O1458" i="1"/>
  <c r="Q1475" i="1"/>
  <c r="R1475" i="1" s="1"/>
  <c r="O1475" i="1"/>
  <c r="O1509" i="1"/>
  <c r="Q1509" i="1"/>
  <c r="Q1550" i="1"/>
  <c r="R1550" i="1" s="1"/>
  <c r="O1550" i="1"/>
  <c r="Q1553" i="1"/>
  <c r="R1553" i="1" s="1"/>
  <c r="O1553" i="1"/>
  <c r="O1598" i="1"/>
  <c r="Q1598" i="1"/>
  <c r="R1598" i="1" s="1"/>
  <c r="O1296" i="1"/>
  <c r="O1299" i="1"/>
  <c r="O1304" i="1"/>
  <c r="Q1336" i="1"/>
  <c r="R1336" i="1" s="1"/>
  <c r="O1364" i="1"/>
  <c r="O1424" i="1"/>
  <c r="Q1428" i="1"/>
  <c r="R1428" i="1" s="1"/>
  <c r="O1428" i="1"/>
  <c r="Q1447" i="1"/>
  <c r="R1447" i="1" s="1"/>
  <c r="O1449" i="1"/>
  <c r="O1470" i="1"/>
  <c r="Q1470" i="1"/>
  <c r="R1470" i="1" s="1"/>
  <c r="Q1506" i="1"/>
  <c r="R1506" i="1" s="1"/>
  <c r="O1506" i="1"/>
  <c r="Q1514" i="1"/>
  <c r="R1514" i="1" s="1"/>
  <c r="O1514" i="1"/>
  <c r="Q1517" i="1"/>
  <c r="R1517" i="1" s="1"/>
  <c r="O1517" i="1"/>
  <c r="Q1524" i="1"/>
  <c r="O1524" i="1"/>
  <c r="Q1545" i="1"/>
  <c r="R1545" i="1" s="1"/>
  <c r="O1545" i="1"/>
  <c r="O1548" i="1"/>
  <c r="Q1548" i="1"/>
  <c r="R1548" i="1" s="1"/>
  <c r="O1562" i="1"/>
  <c r="Q1562" i="1"/>
  <c r="R1562" i="1" s="1"/>
  <c r="O1582" i="1"/>
  <c r="Q1582" i="1"/>
  <c r="R1582" i="1" s="1"/>
  <c r="O1301" i="1"/>
  <c r="Q1301" i="1"/>
  <c r="R1301" i="1" s="1"/>
  <c r="M1387" i="1"/>
  <c r="O1387" i="1" s="1"/>
  <c r="O1426" i="1"/>
  <c r="Q1433" i="1"/>
  <c r="R1433" i="1" s="1"/>
  <c r="O1433" i="1"/>
  <c r="Q1450" i="1"/>
  <c r="R1450" i="1" s="1"/>
  <c r="O1450" i="1"/>
  <c r="Q1467" i="1"/>
  <c r="R1467" i="1" s="1"/>
  <c r="O1467" i="1"/>
  <c r="Q1473" i="1"/>
  <c r="R1473" i="1" s="1"/>
  <c r="O1473" i="1"/>
  <c r="Q1476" i="1"/>
  <c r="R1476" i="1" s="1"/>
  <c r="O1476" i="1"/>
  <c r="Q1500" i="1"/>
  <c r="R1500" i="1" s="1"/>
  <c r="O1500" i="1"/>
  <c r="Q1554" i="1"/>
  <c r="R1554" i="1" s="1"/>
  <c r="O1554" i="1"/>
  <c r="Q1570" i="1"/>
  <c r="R1570" i="1" s="1"/>
  <c r="O1570" i="1"/>
  <c r="O1615" i="1"/>
  <c r="Q1615" i="1"/>
  <c r="R1615" i="1" s="1"/>
  <c r="O1619" i="1"/>
  <c r="Q1619" i="1"/>
  <c r="R1619" i="1" s="1"/>
  <c r="Q1435" i="1"/>
  <c r="R1435" i="1" s="1"/>
  <c r="O1435" i="1"/>
  <c r="Q1439" i="1"/>
  <c r="R1439" i="1" s="1"/>
  <c r="O1439" i="1"/>
  <c r="O1443" i="1"/>
  <c r="H1459" i="1"/>
  <c r="M1459" i="1" s="1"/>
  <c r="O1459" i="1" s="1"/>
  <c r="Q1510" i="1"/>
  <c r="R1510" i="1" s="1"/>
  <c r="O1510" i="1"/>
  <c r="Q1515" i="1"/>
  <c r="R1515" i="1" s="1"/>
  <c r="O1515" i="1"/>
  <c r="O1525" i="1"/>
  <c r="Q1525" i="1"/>
  <c r="R1525" i="1" s="1"/>
  <c r="O1551" i="1"/>
  <c r="Q1551" i="1"/>
  <c r="R1551" i="1" s="1"/>
  <c r="O1559" i="1"/>
  <c r="Q1559" i="1"/>
  <c r="R1559" i="1" s="1"/>
  <c r="Q1605" i="1"/>
  <c r="R1605" i="1" s="1"/>
  <c r="O1605" i="1"/>
  <c r="O1303" i="1"/>
  <c r="O1311" i="1"/>
  <c r="O1349" i="1"/>
  <c r="Q1363" i="1"/>
  <c r="R1363" i="1" s="1"/>
  <c r="Q1374" i="1"/>
  <c r="R1374" i="1" s="1"/>
  <c r="O1382" i="1"/>
  <c r="Q1425" i="1"/>
  <c r="O1425" i="1"/>
  <c r="Q1452" i="1"/>
  <c r="R1452" i="1" s="1"/>
  <c r="O1456" i="1"/>
  <c r="O1468" i="1"/>
  <c r="Q1468" i="1"/>
  <c r="R1468" i="1" s="1"/>
  <c r="Q1471" i="1"/>
  <c r="O1471" i="1"/>
  <c r="Q1504" i="1"/>
  <c r="R1504" i="1" s="1"/>
  <c r="O1504" i="1"/>
  <c r="Q1507" i="1"/>
  <c r="R1507" i="1" s="1"/>
  <c r="O1507" i="1"/>
  <c r="O1620" i="1"/>
  <c r="Q1620" i="1"/>
  <c r="R1620" i="1" s="1"/>
  <c r="M1191" i="1"/>
  <c r="O1191" i="1" s="1"/>
  <c r="Q1313" i="1"/>
  <c r="O1318" i="1"/>
  <c r="H1322" i="1"/>
  <c r="M1322" i="1" s="1"/>
  <c r="O1322" i="1" s="1"/>
  <c r="O1352" i="1"/>
  <c r="O1357" i="1"/>
  <c r="O1371" i="1"/>
  <c r="O1431" i="1"/>
  <c r="Q1477" i="1"/>
  <c r="R1477" i="1" s="1"/>
  <c r="O1477" i="1"/>
  <c r="Q1498" i="1"/>
  <c r="R1498" i="1" s="1"/>
  <c r="O1498" i="1"/>
  <c r="Q1501" i="1"/>
  <c r="R1501" i="1" s="1"/>
  <c r="O1501" i="1"/>
  <c r="Q1511" i="1"/>
  <c r="R1511" i="1" s="1"/>
  <c r="O1511" i="1"/>
  <c r="O1543" i="1"/>
  <c r="Q1543" i="1"/>
  <c r="Q1552" i="1"/>
  <c r="R1552" i="1" s="1"/>
  <c r="O1552" i="1"/>
  <c r="O1606" i="1"/>
  <c r="Q1606" i="1"/>
  <c r="R1606" i="1" s="1"/>
  <c r="O1222" i="1"/>
  <c r="O1307" i="1"/>
  <c r="O1337" i="1"/>
  <c r="O1354" i="1"/>
  <c r="O1370" i="1"/>
  <c r="O1508" i="1"/>
  <c r="Q1508" i="1"/>
  <c r="R1508" i="1" s="1"/>
  <c r="O1538" i="1"/>
  <c r="Q1538" i="1"/>
  <c r="O1576" i="1"/>
  <c r="Q1576" i="1"/>
  <c r="R1576" i="1" s="1"/>
  <c r="O1591" i="1"/>
  <c r="Q1591" i="1"/>
  <c r="R1591" i="1" s="1"/>
  <c r="Q1432" i="1"/>
  <c r="R1432" i="1" s="1"/>
  <c r="O1432" i="1"/>
  <c r="Q1455" i="1"/>
  <c r="R1455" i="1" s="1"/>
  <c r="O1455" i="1"/>
  <c r="Q1469" i="1"/>
  <c r="R1469" i="1" s="1"/>
  <c r="O1469" i="1"/>
  <c r="O1502" i="1"/>
  <c r="Q1502" i="1"/>
  <c r="Q1544" i="1"/>
  <c r="R1544" i="1" s="1"/>
  <c r="O1544" i="1"/>
  <c r="Q1564" i="1"/>
  <c r="R1564" i="1" s="1"/>
  <c r="O1564" i="1"/>
  <c r="O1602" i="1"/>
  <c r="Q1602" i="1"/>
  <c r="R1602" i="1" s="1"/>
  <c r="O1512" i="1"/>
  <c r="O1519" i="1"/>
  <c r="O1547" i="1"/>
  <c r="O1555" i="1"/>
  <c r="O1561" i="1"/>
  <c r="O1579" i="1"/>
  <c r="O1626" i="1"/>
  <c r="Q1628" i="1"/>
  <c r="R1628" i="1" s="1"/>
  <c r="O1630" i="1"/>
  <c r="H1647" i="1"/>
  <c r="M1647" i="1" s="1"/>
  <c r="O1647" i="1" s="1"/>
  <c r="O1672" i="1"/>
  <c r="O1681" i="1"/>
  <c r="O1692" i="1"/>
  <c r="O1694" i="1"/>
  <c r="Q1698" i="1"/>
  <c r="H1705" i="1"/>
  <c r="M1705" i="1" s="1"/>
  <c r="O1705" i="1" s="1"/>
  <c r="M1723" i="1"/>
  <c r="O1723" i="1" s="1"/>
  <c r="O1541" i="1"/>
  <c r="O1558" i="1"/>
  <c r="Q1558" i="1"/>
  <c r="R1558" i="1" s="1"/>
  <c r="O1571" i="1"/>
  <c r="O1581" i="1"/>
  <c r="O1609" i="1"/>
  <c r="H1613" i="1"/>
  <c r="M1613" i="1" s="1"/>
  <c r="Q1616" i="1"/>
  <c r="R1616" i="1" s="1"/>
  <c r="O1621" i="1"/>
  <c r="O1701" i="1"/>
  <c r="Q1701" i="1" s="1"/>
  <c r="R1701" i="1" s="1"/>
  <c r="M1649" i="1"/>
  <c r="O1649" i="1" s="1"/>
  <c r="Q1719" i="1"/>
  <c r="R1719" i="1" s="1"/>
  <c r="O1719" i="1"/>
  <c r="O1448" i="1"/>
  <c r="O1457" i="1"/>
  <c r="M1466" i="1"/>
  <c r="H1499" i="1"/>
  <c r="M1499" i="1" s="1"/>
  <c r="O1499" i="1" s="1"/>
  <c r="O1505" i="1"/>
  <c r="O1518" i="1"/>
  <c r="O1530" i="1"/>
  <c r="O1540" i="1"/>
  <c r="O1560" i="1"/>
  <c r="Q1581" i="1"/>
  <c r="R1581" i="1" s="1"/>
  <c r="M1585" i="1"/>
  <c r="O1585" i="1" s="1"/>
  <c r="Q1609" i="1"/>
  <c r="R1609" i="1" s="1"/>
  <c r="O1633" i="1"/>
  <c r="O1636" i="1"/>
  <c r="Q1636" i="1"/>
  <c r="O1667" i="1"/>
  <c r="O1706" i="1"/>
  <c r="Q1741" i="1"/>
  <c r="R1741" i="1" s="1"/>
  <c r="O1741" i="1"/>
  <c r="Q1573" i="1"/>
  <c r="R1573" i="1" s="1"/>
  <c r="O1601" i="1"/>
  <c r="O1627" i="1"/>
  <c r="O1631" i="1"/>
  <c r="O1712" i="1"/>
  <c r="M1323" i="1"/>
  <c r="M1430" i="1"/>
  <c r="H1481" i="1"/>
  <c r="M1481" i="1" s="1"/>
  <c r="O1481" i="1" s="1"/>
  <c r="O1549" i="1"/>
  <c r="O1597" i="1"/>
  <c r="M1610" i="1"/>
  <c r="O1610" i="1" s="1"/>
  <c r="Q1618" i="1"/>
  <c r="R1618" i="1" s="1"/>
  <c r="Q1622" i="1"/>
  <c r="R1622" i="1" s="1"/>
  <c r="Q1633" i="1"/>
  <c r="R1633" i="1" s="1"/>
  <c r="M1635" i="1"/>
  <c r="M1648" i="1"/>
  <c r="O1648" i="1" s="1"/>
  <c r="M1704" i="1"/>
  <c r="O1704" i="1" s="1"/>
  <c r="O1742" i="1"/>
  <c r="Q1742" i="1"/>
  <c r="R1742" i="1" s="1"/>
  <c r="O1567" i="1"/>
  <c r="O1569" i="1"/>
  <c r="O1612" i="1"/>
  <c r="Q1612" i="1" s="1"/>
  <c r="R1612" i="1" s="1"/>
  <c r="Q1718" i="1"/>
  <c r="O1718" i="1"/>
  <c r="O1584" i="1"/>
  <c r="Q1584" i="1"/>
  <c r="R1584" i="1" s="1"/>
  <c r="H1586" i="1"/>
  <c r="M1586" i="1" s="1"/>
  <c r="Q1594" i="1"/>
  <c r="R1594" i="1" s="1"/>
  <c r="O1594" i="1"/>
  <c r="Q1632" i="1"/>
  <c r="R1632" i="1" s="1"/>
  <c r="O1632" i="1"/>
  <c r="Q1745" i="1"/>
  <c r="R1745" i="1" s="1"/>
  <c r="O1745" i="1"/>
  <c r="Q1751" i="1"/>
  <c r="R1751" i="1" s="1"/>
  <c r="O1751" i="1"/>
  <c r="Q1749" i="1"/>
  <c r="O1749" i="1"/>
  <c r="Q1744" i="1"/>
  <c r="R1744" i="1" s="1"/>
  <c r="O1744" i="1"/>
  <c r="Q1738" i="1"/>
  <c r="O1738" i="1"/>
  <c r="O1644" i="1"/>
  <c r="M1646" i="1"/>
  <c r="O1646" i="1" s="1"/>
  <c r="O1740" i="1"/>
  <c r="Q1750" i="1"/>
  <c r="R1750" i="1" s="1"/>
  <c r="O1750" i="1"/>
  <c r="Q1755" i="1"/>
  <c r="O1755" i="1"/>
  <c r="Q1752" i="1"/>
  <c r="R1752" i="1" s="1"/>
  <c r="O1752" i="1"/>
  <c r="M978" i="1" l="1"/>
  <c r="O978" i="1" s="1"/>
  <c r="O290" i="1"/>
  <c r="O292" i="1"/>
  <c r="O381" i="1"/>
  <c r="O293" i="1"/>
  <c r="O654" i="1"/>
  <c r="O9" i="1"/>
  <c r="Q9" i="1"/>
  <c r="Q38" i="1"/>
  <c r="R38" i="1" s="1"/>
  <c r="O38" i="1"/>
  <c r="R26" i="1"/>
  <c r="O963" i="1"/>
  <c r="O877" i="1"/>
  <c r="O656" i="1"/>
  <c r="O346" i="1"/>
  <c r="O1748" i="1"/>
  <c r="Q1748" i="1"/>
  <c r="R1748" i="1" s="1"/>
  <c r="O306" i="1"/>
  <c r="O333" i="1"/>
  <c r="M119" i="1"/>
  <c r="Q119" i="1" s="1"/>
  <c r="R119" i="1" s="1"/>
  <c r="O506" i="1"/>
  <c r="Q1614" i="1"/>
  <c r="R1614" i="1" s="1"/>
  <c r="O1546" i="1"/>
  <c r="Q1578" i="1"/>
  <c r="R1578" i="1" s="1"/>
  <c r="O1629" i="1"/>
  <c r="O1756" i="1"/>
  <c r="O1325" i="1"/>
  <c r="Q1325" i="1"/>
  <c r="R1325" i="1" s="1"/>
  <c r="Q1693" i="1"/>
  <c r="M1326" i="1"/>
  <c r="Q1326" i="1" s="1"/>
  <c r="R1326" i="1" s="1"/>
  <c r="O1714" i="1"/>
  <c r="O1589" i="1"/>
  <c r="O44" i="1"/>
  <c r="O553" i="1"/>
  <c r="Q716" i="1"/>
  <c r="R716" i="1" s="1"/>
  <c r="O716" i="1"/>
  <c r="Q579" i="1"/>
  <c r="O579" i="1"/>
  <c r="O564" i="1"/>
  <c r="Q564" i="1"/>
  <c r="R564" i="1" s="1"/>
  <c r="O596" i="1"/>
  <c r="O714" i="1"/>
  <c r="O792" i="1"/>
  <c r="Q713" i="1"/>
  <c r="R713" i="1" s="1"/>
  <c r="M1141" i="1"/>
  <c r="R1058" i="1"/>
  <c r="O1638" i="1"/>
  <c r="O496" i="1"/>
  <c r="O200" i="1"/>
  <c r="O91" i="1"/>
  <c r="O417" i="1"/>
  <c r="O39" i="1"/>
  <c r="O1132" i="1"/>
  <c r="Q1132" i="1"/>
  <c r="Q40" i="1"/>
  <c r="O40" i="1"/>
  <c r="O37" i="1"/>
  <c r="O49" i="1"/>
  <c r="R49" i="1"/>
  <c r="O197" i="1"/>
  <c r="Q878" i="1"/>
  <c r="R1308" i="1"/>
  <c r="R941" i="1"/>
  <c r="R211" i="1"/>
  <c r="R381" i="1"/>
  <c r="R560" i="1"/>
  <c r="R935" i="1"/>
  <c r="R707" i="1"/>
  <c r="R824" i="1"/>
  <c r="R1056" i="1"/>
  <c r="R601" i="1"/>
  <c r="R1088" i="1"/>
  <c r="R31" i="1"/>
  <c r="O1178" i="1"/>
  <c r="O1587" i="1"/>
  <c r="Q717" i="1"/>
  <c r="R717" i="1" s="1"/>
  <c r="O717" i="1"/>
  <c r="O1326" i="1"/>
  <c r="R514" i="1"/>
  <c r="R1117" i="1"/>
  <c r="R1713" i="1"/>
  <c r="R816" i="1"/>
  <c r="O725" i="1"/>
  <c r="O119" i="1"/>
  <c r="R116" i="1"/>
  <c r="R107" i="1"/>
  <c r="Q1613" i="1"/>
  <c r="O1613" i="1"/>
  <c r="O562" i="1"/>
  <c r="Q562" i="1"/>
  <c r="Q701" i="1"/>
  <c r="O701" i="1"/>
  <c r="O715" i="1"/>
  <c r="Q715" i="1"/>
  <c r="R715" i="1" s="1"/>
  <c r="Q81" i="1"/>
  <c r="R81" i="1" s="1"/>
  <c r="O81" i="1"/>
  <c r="Q1586" i="1"/>
  <c r="O1586" i="1"/>
  <c r="O812" i="1"/>
  <c r="Q812" i="1"/>
  <c r="Q111" i="1"/>
  <c r="O111" i="1"/>
  <c r="O1466" i="1"/>
  <c r="Q1466" i="1"/>
  <c r="R1538" i="1"/>
  <c r="Q1157" i="1"/>
  <c r="O1157" i="1"/>
  <c r="Q926" i="1"/>
  <c r="O926" i="1"/>
  <c r="R1134" i="1"/>
  <c r="R1127" i="1"/>
  <c r="R766" i="1"/>
  <c r="R271" i="1"/>
  <c r="R285" i="1"/>
  <c r="R518" i="1"/>
  <c r="R41" i="1"/>
  <c r="R43" i="1"/>
  <c r="R13" i="1"/>
  <c r="R30" i="1"/>
  <c r="R1693" i="1"/>
  <c r="R1543" i="1"/>
  <c r="R1445" i="1"/>
  <c r="Q610" i="1"/>
  <c r="O610" i="1"/>
  <c r="R763" i="1"/>
  <c r="R512" i="1"/>
  <c r="R213" i="1"/>
  <c r="R79" i="1"/>
  <c r="R1313" i="1"/>
  <c r="R1380" i="1"/>
  <c r="R818" i="1"/>
  <c r="R578" i="1"/>
  <c r="Q702" i="1"/>
  <c r="R702" i="1" s="1"/>
  <c r="O702" i="1"/>
  <c r="S214" i="1"/>
  <c r="R395" i="1"/>
  <c r="R72" i="1"/>
  <c r="R6" i="1"/>
  <c r="R1052" i="1"/>
  <c r="R754" i="1"/>
  <c r="R1425" i="1"/>
  <c r="R1738" i="1"/>
  <c r="R1471" i="1"/>
  <c r="R1458" i="1"/>
  <c r="Q1327" i="1"/>
  <c r="R1327" i="1" s="1"/>
  <c r="O1327" i="1"/>
  <c r="R1429" i="1"/>
  <c r="R1266" i="1"/>
  <c r="R1089" i="1"/>
  <c r="R1130" i="1"/>
  <c r="R825" i="1"/>
  <c r="R957" i="1"/>
  <c r="R289" i="1"/>
  <c r="R602" i="1"/>
  <c r="R205" i="1"/>
  <c r="R507" i="1"/>
  <c r="Q54" i="1"/>
  <c r="O54" i="1"/>
  <c r="R35" i="1"/>
  <c r="R97" i="1"/>
  <c r="R1636" i="1"/>
  <c r="R1502" i="1"/>
  <c r="Q1324" i="1"/>
  <c r="R1324" i="1" s="1"/>
  <c r="O1324" i="1"/>
  <c r="R1084" i="1"/>
  <c r="O1065" i="1"/>
  <c r="Q1065" i="1"/>
  <c r="R811" i="1"/>
  <c r="R633" i="1"/>
  <c r="R615" i="1"/>
  <c r="R708" i="1"/>
  <c r="R598" i="1"/>
  <c r="R519" i="1"/>
  <c r="R231" i="1"/>
  <c r="R379" i="1"/>
  <c r="R69" i="1"/>
  <c r="R5" i="1"/>
  <c r="R1524" i="1"/>
  <c r="R1718" i="1"/>
  <c r="Q1635" i="1"/>
  <c r="R1635" i="1" s="1"/>
  <c r="O1635" i="1"/>
  <c r="Q1430" i="1"/>
  <c r="O1430" i="1"/>
  <c r="R1698" i="1"/>
  <c r="R1440" i="1"/>
  <c r="R1268" i="1"/>
  <c r="R1177" i="1"/>
  <c r="R953" i="1"/>
  <c r="R1139" i="1"/>
  <c r="R1136" i="1"/>
  <c r="R798" i="1"/>
  <c r="R215" i="1"/>
  <c r="R392" i="1"/>
  <c r="R383" i="1"/>
  <c r="R114" i="1"/>
  <c r="R10" i="1"/>
  <c r="R105" i="1"/>
  <c r="R29" i="1"/>
  <c r="R1755" i="1"/>
  <c r="Q1323" i="1"/>
  <c r="O1323" i="1"/>
  <c r="R1509" i="1"/>
  <c r="R1070" i="1"/>
  <c r="R943" i="1"/>
  <c r="R1057" i="1"/>
  <c r="O937" i="1"/>
  <c r="Q937" i="1"/>
  <c r="R1092" i="1"/>
  <c r="R828" i="1"/>
  <c r="R871" i="1"/>
  <c r="R618" i="1"/>
  <c r="R605" i="1"/>
  <c r="R391" i="1"/>
  <c r="R516" i="1"/>
  <c r="Q139" i="1"/>
  <c r="R139" i="1" s="1"/>
  <c r="O139" i="1"/>
  <c r="R131" i="1"/>
  <c r="R100" i="1"/>
  <c r="R20" i="1"/>
  <c r="R8" i="1"/>
  <c r="R7" i="1"/>
  <c r="R9" i="1"/>
  <c r="Q1059" i="1"/>
  <c r="O1059" i="1"/>
  <c r="R1749" i="1"/>
  <c r="R1226" i="1"/>
  <c r="R698" i="1"/>
  <c r="R299" i="1"/>
  <c r="R32" i="1"/>
  <c r="R4" i="1"/>
  <c r="R579" i="1" l="1"/>
  <c r="R1323" i="1"/>
  <c r="O1141" i="1"/>
  <c r="Q1141" i="1"/>
  <c r="R1132" i="1"/>
  <c r="R40" i="1"/>
  <c r="R878" i="1"/>
  <c r="R701" i="1"/>
  <c r="R1586" i="1"/>
  <c r="R812" i="1"/>
  <c r="R111" i="1"/>
  <c r="R1430" i="1"/>
  <c r="R54" i="1"/>
  <c r="R1157" i="1"/>
  <c r="R1065" i="1"/>
  <c r="R610" i="1"/>
  <c r="R937" i="1"/>
  <c r="R1466" i="1"/>
  <c r="S1470" i="1"/>
  <c r="R562" i="1"/>
  <c r="R1059" i="1"/>
  <c r="R926" i="1"/>
  <c r="R1613" i="1"/>
  <c r="R1141" i="1" l="1"/>
</calcChain>
</file>

<file path=xl/sharedStrings.xml><?xml version="1.0" encoding="utf-8"?>
<sst xmlns="http://schemas.openxmlformats.org/spreadsheetml/2006/main" count="10786" uniqueCount="2577">
  <si>
    <t>Tipo de documento</t>
  </si>
  <si>
    <t>Folio</t>
  </si>
  <si>
    <t>Prefijo</t>
  </si>
  <si>
    <t>Fecha Emisión</t>
  </si>
  <si>
    <t>NIT Emisor</t>
  </si>
  <si>
    <t>Nombre Emisor</t>
  </si>
  <si>
    <t>EXENTO</t>
  </si>
  <si>
    <t>BASE G 19%</t>
  </si>
  <si>
    <t>IVA 19%</t>
  </si>
  <si>
    <t>BASE G 5%</t>
  </si>
  <si>
    <t>IVA 5%</t>
  </si>
  <si>
    <t>SUBTOTAL</t>
  </si>
  <si>
    <t>TOTAL IVA</t>
  </si>
  <si>
    <t>TOTAL</t>
  </si>
  <si>
    <t>BASE RETE</t>
  </si>
  <si>
    <t>RETENCION</t>
  </si>
  <si>
    <t>Factura electrónica</t>
  </si>
  <si>
    <t>76301</t>
  </si>
  <si>
    <t>GF</t>
  </si>
  <si>
    <t>24-06-2025</t>
  </si>
  <si>
    <t>3497299</t>
  </si>
  <si>
    <t>GIRALDO FRANCO OSCAR DARIO</t>
  </si>
  <si>
    <t>5130</t>
  </si>
  <si>
    <t>FEE</t>
  </si>
  <si>
    <t>12-09-2025</t>
  </si>
  <si>
    <t>72139503</t>
  </si>
  <si>
    <t>ELMER ENRIQUE PACHECO POLO</t>
  </si>
  <si>
    <t>5654636</t>
  </si>
  <si>
    <t>74988</t>
  </si>
  <si>
    <t>FED</t>
  </si>
  <si>
    <t>28-08-2025</t>
  </si>
  <si>
    <t>11051545</t>
  </si>
  <si>
    <t>DOMINGO RAFAEL LOPEZ GUERRA</t>
  </si>
  <si>
    <t>6893512</t>
  </si>
  <si>
    <t>8207</t>
  </si>
  <si>
    <t>FE</t>
  </si>
  <si>
    <t>02-09-2025</t>
  </si>
  <si>
    <t>1130612014</t>
  </si>
  <si>
    <t xml:space="preserve">WILFER OCTAVIO GALLO ZULUAGA </t>
  </si>
  <si>
    <t>8786222</t>
  </si>
  <si>
    <t>53922</t>
  </si>
  <si>
    <t>IGF</t>
  </si>
  <si>
    <t>25-11-2025</t>
  </si>
  <si>
    <t>91046104</t>
  </si>
  <si>
    <t>CRISTHIAM MANUEL ULLOA ACOSTA-INMADEC</t>
  </si>
  <si>
    <t>10934103</t>
  </si>
  <si>
    <t>816</t>
  </si>
  <si>
    <t>F</t>
  </si>
  <si>
    <t>06-12-2025</t>
  </si>
  <si>
    <t>72312545</t>
  </si>
  <si>
    <t>FERNEY ENRIQUE ZULUAGA GOMEZ</t>
  </si>
  <si>
    <t>78806</t>
  </si>
  <si>
    <t>16-08-2025</t>
  </si>
  <si>
    <t>15354493</t>
  </si>
  <si>
    <t>7458</t>
  </si>
  <si>
    <t>FEM</t>
  </si>
  <si>
    <t>01-08-2025</t>
  </si>
  <si>
    <t>1017264526</t>
  </si>
  <si>
    <t>MARIA FERNANDA RAMIREZ ALZATE-MAFFICK BEAUTY</t>
  </si>
  <si>
    <t>16933415</t>
  </si>
  <si>
    <t>85078</t>
  </si>
  <si>
    <t>24-12-2025</t>
  </si>
  <si>
    <t>21787776</t>
  </si>
  <si>
    <t>7891</t>
  </si>
  <si>
    <t>03-07-2025</t>
  </si>
  <si>
    <t>WILFER OCTAVIO GALLO ZULUAGA -facturacionimportacioneswg</t>
  </si>
  <si>
    <t>23781159</t>
  </si>
  <si>
    <t>116187</t>
  </si>
  <si>
    <t>06-09-2025</t>
  </si>
  <si>
    <t>GIRALDO FRANCO MARTHA ADELA</t>
  </si>
  <si>
    <t>26522415</t>
  </si>
  <si>
    <t>80333</t>
  </si>
  <si>
    <t>17-09-2025</t>
  </si>
  <si>
    <t>43162562</t>
  </si>
  <si>
    <t>5505</t>
  </si>
  <si>
    <t>18-12-2025</t>
  </si>
  <si>
    <t>43443858</t>
  </si>
  <si>
    <t>124401</t>
  </si>
  <si>
    <t>04-11-2025</t>
  </si>
  <si>
    <t>43785419</t>
  </si>
  <si>
    <t>5490</t>
  </si>
  <si>
    <t>15-12-2025</t>
  </si>
  <si>
    <t>52545717</t>
  </si>
  <si>
    <t>103421</t>
  </si>
  <si>
    <t>12-06-2025</t>
  </si>
  <si>
    <t>70142980</t>
  </si>
  <si>
    <t>82416</t>
  </si>
  <si>
    <t>29-10-2025</t>
  </si>
  <si>
    <t>70830650</t>
  </si>
  <si>
    <t>63588</t>
  </si>
  <si>
    <t>CJE</t>
  </si>
  <si>
    <t>04-10-2025</t>
  </si>
  <si>
    <t>CORREA CASTRO LUIS CARLOS</t>
  </si>
  <si>
    <t>76906</t>
  </si>
  <si>
    <t>07-07-2025</t>
  </si>
  <si>
    <t>78822</t>
  </si>
  <si>
    <t>888</t>
  </si>
  <si>
    <t>DB</t>
  </si>
  <si>
    <t>04-08-2025</t>
  </si>
  <si>
    <t>JUAN CARLOS SANCHEZ BLANCO</t>
  </si>
  <si>
    <t>98494946</t>
  </si>
  <si>
    <t>1537</t>
  </si>
  <si>
    <t>27-11-2025</t>
  </si>
  <si>
    <t>98702530</t>
  </si>
  <si>
    <t>352</t>
  </si>
  <si>
    <t>07-03-2025</t>
  </si>
  <si>
    <t>JUAN CARLOS SANCHEZ BLANCO-BEBE Y NIÑOS</t>
  </si>
  <si>
    <t>800011170</t>
  </si>
  <si>
    <t>RIMOPLASTICAS S.A</t>
  </si>
  <si>
    <t>155</t>
  </si>
  <si>
    <t>FV</t>
  </si>
  <si>
    <t>30-12-2025</t>
  </si>
  <si>
    <t>1124060096</t>
  </si>
  <si>
    <t>RABIH SERHAN TOUFIC</t>
  </si>
  <si>
    <t>800039858</t>
  </si>
  <si>
    <t>LABORATORIO DE COSMETICOS MARBELLINE SAS</t>
  </si>
  <si>
    <t>78194</t>
  </si>
  <si>
    <t>31-07-2025</t>
  </si>
  <si>
    <t>800063923</t>
  </si>
  <si>
    <t>LABORATORIOS ROSS D" ELEN S.A.S.</t>
  </si>
  <si>
    <t>76720</t>
  </si>
  <si>
    <t>23-09-2025</t>
  </si>
  <si>
    <t>800094742</t>
  </si>
  <si>
    <t>SURTILINEAS DEL CARIBE S.A</t>
  </si>
  <si>
    <t>413</t>
  </si>
  <si>
    <t>MLFE</t>
  </si>
  <si>
    <t>18-10-2025</t>
  </si>
  <si>
    <t>1098703608</t>
  </si>
  <si>
    <t>CONFECCIONES MY LADY</t>
  </si>
  <si>
    <t>800135342</t>
  </si>
  <si>
    <t>LAGOBO DISTRIBUCIONES SAS</t>
  </si>
  <si>
    <t>19741</t>
  </si>
  <si>
    <t>E</t>
  </si>
  <si>
    <t>18-07-2025</t>
  </si>
  <si>
    <t>GALLEGO GOMEZ MARIA FLORELBA-comercializadorabigstar</t>
  </si>
  <si>
    <t>800155993</t>
  </si>
  <si>
    <t>DISISTEMA LTDA</t>
  </si>
  <si>
    <t>1674</t>
  </si>
  <si>
    <t>11-06-2025</t>
  </si>
  <si>
    <t>800160395</t>
  </si>
  <si>
    <t>1698</t>
  </si>
  <si>
    <t>EM</t>
  </si>
  <si>
    <t>12-08-2025</t>
  </si>
  <si>
    <t>1030578099</t>
  </si>
  <si>
    <t>EIMAR MENESES ROJAS</t>
  </si>
  <si>
    <t>800167200</t>
  </si>
  <si>
    <t>Espumas Santafé S.A.S.</t>
  </si>
  <si>
    <t>431</t>
  </si>
  <si>
    <t>17-03-2025</t>
  </si>
  <si>
    <t>800179834</t>
  </si>
  <si>
    <t>INVERSIONES SUPPORT S.A.</t>
  </si>
  <si>
    <t>77759</t>
  </si>
  <si>
    <t>24-07-2025</t>
  </si>
  <si>
    <t>800180354</t>
  </si>
  <si>
    <t>LABORATORIOS RONVAR S.A.S</t>
  </si>
  <si>
    <t>37</t>
  </si>
  <si>
    <t>FEV</t>
  </si>
  <si>
    <t>1090444148</t>
  </si>
  <si>
    <t>MARLON ANDRES PRADA MORA-SM KIDS</t>
  </si>
  <si>
    <t>800183056</t>
  </si>
  <si>
    <t>DISTRILECO CAUCASIA S.A.S</t>
  </si>
  <si>
    <t>83711</t>
  </si>
  <si>
    <t>26-11-2025</t>
  </si>
  <si>
    <t>800240674</t>
  </si>
  <si>
    <t>SKY S.A.S.</t>
  </si>
  <si>
    <t>913</t>
  </si>
  <si>
    <t>06-08-2025</t>
  </si>
  <si>
    <t>800248617</t>
  </si>
  <si>
    <t>RUQUIM S.A.S.</t>
  </si>
  <si>
    <t>109802</t>
  </si>
  <si>
    <t>28-07-2025</t>
  </si>
  <si>
    <t>802008192</t>
  </si>
  <si>
    <t>SOLUCIONES MAF S.A.S.</t>
  </si>
  <si>
    <t>83703</t>
  </si>
  <si>
    <t>802020940</t>
  </si>
  <si>
    <t>DISTRIBUCIONES OMAR ORREGO SA</t>
  </si>
  <si>
    <t>75895</t>
  </si>
  <si>
    <t>13-06-2025</t>
  </si>
  <si>
    <t>802023507</t>
  </si>
  <si>
    <t>CONNY DE LA COSTA S.A.S.</t>
  </si>
  <si>
    <t>361</t>
  </si>
  <si>
    <t>SW</t>
  </si>
  <si>
    <t>1000546840</t>
  </si>
  <si>
    <t>ESTEFANIA RUIZ HERRERA-wonderbag</t>
  </si>
  <si>
    <t>811008383</t>
  </si>
  <si>
    <t>COSMETICOS SAMY SA</t>
  </si>
  <si>
    <t>116223</t>
  </si>
  <si>
    <t>811035695</t>
  </si>
  <si>
    <t>INTERNACIONAL DE BELLEZA SAS</t>
  </si>
  <si>
    <t>117</t>
  </si>
  <si>
    <t>POS</t>
  </si>
  <si>
    <t>16-09-2025</t>
  </si>
  <si>
    <t>ALEXANDER PEREZ ORTIZ-JHONAL.80</t>
  </si>
  <si>
    <t>811038906</t>
  </si>
  <si>
    <t>TERSA COSMETICOS SAS</t>
  </si>
  <si>
    <t>1501</t>
  </si>
  <si>
    <t>12-03-2025</t>
  </si>
  <si>
    <t>811042078</t>
  </si>
  <si>
    <t>CONFECCION Y DISTRIBUCIONES FIRLAN S.A.S</t>
  </si>
  <si>
    <t>103661</t>
  </si>
  <si>
    <t>14-06-2025</t>
  </si>
  <si>
    <t>830053340</t>
  </si>
  <si>
    <t>TRAMONTINA DE COLOMBIA S A S</t>
  </si>
  <si>
    <t>267</t>
  </si>
  <si>
    <t>24-01-2025</t>
  </si>
  <si>
    <t>JUAN CARLOS SANCHEZ BLANCO-distribebesyniños</t>
  </si>
  <si>
    <t>830137141</t>
  </si>
  <si>
    <t>OVALL COSMETICS S.A.S</t>
  </si>
  <si>
    <t>432</t>
  </si>
  <si>
    <t>860020536</t>
  </si>
  <si>
    <t>BARDOT S.A.S</t>
  </si>
  <si>
    <t>398</t>
  </si>
  <si>
    <t>11-09-2025</t>
  </si>
  <si>
    <t>890101176</t>
  </si>
  <si>
    <t>MEICO S.A.</t>
  </si>
  <si>
    <t>24</t>
  </si>
  <si>
    <t>19-08-2025</t>
  </si>
  <si>
    <t>1023971463</t>
  </si>
  <si>
    <t>laura valentina quiroga gonzalez</t>
  </si>
  <si>
    <t>890900071</t>
  </si>
  <si>
    <t>NOVEDADES PLASTICAS S.A.</t>
  </si>
  <si>
    <t>107659</t>
  </si>
  <si>
    <t>12-07-2025</t>
  </si>
  <si>
    <t>900033549</t>
  </si>
  <si>
    <t>MEGATOYS S.A.S</t>
  </si>
  <si>
    <t>409</t>
  </si>
  <si>
    <t>10-10-2025</t>
  </si>
  <si>
    <t>900062992</t>
  </si>
  <si>
    <t>EVACOL SAS</t>
  </si>
  <si>
    <t>69945</t>
  </si>
  <si>
    <t>30-01-2025</t>
  </si>
  <si>
    <t>900096674</t>
  </si>
  <si>
    <t>PLASTICOS INTEGRALES S.A.S PLINSA</t>
  </si>
  <si>
    <t>1874</t>
  </si>
  <si>
    <t>10-09-2025</t>
  </si>
  <si>
    <t>900136121</t>
  </si>
  <si>
    <t>COSMETICOS JOHNVERY S. A. S</t>
  </si>
  <si>
    <t>1521</t>
  </si>
  <si>
    <t>21-03-2025</t>
  </si>
  <si>
    <t>900138589</t>
  </si>
  <si>
    <t>COSMETICOS MYE &amp; CIA SOCIEDAD EN COMANDITA SIMPLE</t>
  </si>
  <si>
    <t>76913</t>
  </si>
  <si>
    <t>900157685</t>
  </si>
  <si>
    <t>INGEPRODUCTOS SAS</t>
  </si>
  <si>
    <t>1817</t>
  </si>
  <si>
    <t>14-08-2025</t>
  </si>
  <si>
    <t>900196041</t>
  </si>
  <si>
    <t>CONFECCIONES EXODOS SPORT S.A.S.</t>
  </si>
  <si>
    <t>802</t>
  </si>
  <si>
    <t>02-12-2025</t>
  </si>
  <si>
    <t>900260021</t>
  </si>
  <si>
    <t>TEJIDOS Y CONFECCIONES GERPAR S.A.S</t>
  </si>
  <si>
    <t>84336</t>
  </si>
  <si>
    <t>09-12-2025</t>
  </si>
  <si>
    <t>900271306</t>
  </si>
  <si>
    <t>SURTITIENDAS GALVAN S.A.S</t>
  </si>
  <si>
    <t>1387</t>
  </si>
  <si>
    <t>15-01-2025</t>
  </si>
  <si>
    <t>900334132</t>
  </si>
  <si>
    <t>PLASDECOR DE MONTERIA S.A.S EN REORGANIZACION</t>
  </si>
  <si>
    <t>1809</t>
  </si>
  <si>
    <t>900371103</t>
  </si>
  <si>
    <t>DISTRIBUIDORA PQ SAS</t>
  </si>
  <si>
    <t>1511</t>
  </si>
  <si>
    <t>900405609</t>
  </si>
  <si>
    <t>INDUSTRIAS PLASTI-Z S.A.S</t>
  </si>
  <si>
    <t>83719</t>
  </si>
  <si>
    <t>900405698</t>
  </si>
  <si>
    <t>IMPORMAX COMERCIALIZADORA S.A.S.</t>
  </si>
  <si>
    <t>84</t>
  </si>
  <si>
    <t>03-10-2025</t>
  </si>
  <si>
    <t>1152705181</t>
  </si>
  <si>
    <t>LUISA FERNANDA GARCIA JIMENEZ</t>
  </si>
  <si>
    <t>900405967</t>
  </si>
  <si>
    <t>BELLEZA AL DIA INTERNACIONAL S.A.S.</t>
  </si>
  <si>
    <t>115034</t>
  </si>
  <si>
    <t>30-08-2025</t>
  </si>
  <si>
    <t>900408664</t>
  </si>
  <si>
    <t>PLASTIRED S.A.S.</t>
  </si>
  <si>
    <t>3</t>
  </si>
  <si>
    <t>900415629</t>
  </si>
  <si>
    <t>GAVIRIA PLASTICOS SAS</t>
  </si>
  <si>
    <t>85079</t>
  </si>
  <si>
    <t>900416733</t>
  </si>
  <si>
    <t>ACOSUCRE LIMITADA</t>
  </si>
  <si>
    <t>8443</t>
  </si>
  <si>
    <t>17-10-2025</t>
  </si>
  <si>
    <t>900431548</t>
  </si>
  <si>
    <t>DISTRIBUIDORA GOMEZ CONTRERAS SAS</t>
  </si>
  <si>
    <t>7890</t>
  </si>
  <si>
    <t>900452638</t>
  </si>
  <si>
    <t>PRODUCTOS JUHNIOS ROLD SAS</t>
  </si>
  <si>
    <t>2073</t>
  </si>
  <si>
    <t>01-04-2025</t>
  </si>
  <si>
    <t>GLORIA PATRICIA ZULUAGA GIRALDO-CONFECCIONES D'JER</t>
  </si>
  <si>
    <t>900482118</t>
  </si>
  <si>
    <t>COMERCIALIZADORA LYON SAS</t>
  </si>
  <si>
    <t>76569</t>
  </si>
  <si>
    <t>28-06-2025</t>
  </si>
  <si>
    <t>900496448</t>
  </si>
  <si>
    <t>JAG GROUP SAS</t>
  </si>
  <si>
    <t>125145</t>
  </si>
  <si>
    <t>08-11-2025</t>
  </si>
  <si>
    <t>900499388</t>
  </si>
  <si>
    <t>ALUMINIOS MACK SAS</t>
  </si>
  <si>
    <t>6</t>
  </si>
  <si>
    <t>FVE</t>
  </si>
  <si>
    <t>21-11-2025</t>
  </si>
  <si>
    <t>GOMEZ OSPITIA RITA DORANIS-ropa</t>
  </si>
  <si>
    <t>900506305</t>
  </si>
  <si>
    <t>COMERCIALIZADORA NGG S.A.S</t>
  </si>
  <si>
    <t>117219</t>
  </si>
  <si>
    <t>13-09-2025</t>
  </si>
  <si>
    <t>900533185</t>
  </si>
  <si>
    <t>COMERCIALIZADORA KUNA S.A.S.</t>
  </si>
  <si>
    <t>7490</t>
  </si>
  <si>
    <t>08-04-2025</t>
  </si>
  <si>
    <t>WILFER OCTAVIO GALLO ZULUAGA - importacioneswg</t>
  </si>
  <si>
    <t>900555959</t>
  </si>
  <si>
    <t>COMERCIALIZADORA DALIM S.A.S</t>
  </si>
  <si>
    <t>105649</t>
  </si>
  <si>
    <t>900577348</t>
  </si>
  <si>
    <t>MUNDI UTIL SAS</t>
  </si>
  <si>
    <t>1554</t>
  </si>
  <si>
    <t>22-04-2025</t>
  </si>
  <si>
    <t>900586503</t>
  </si>
  <si>
    <t>PIÑATERIAS EL RIO SAS</t>
  </si>
  <si>
    <t>440</t>
  </si>
  <si>
    <t>09-04-2025</t>
  </si>
  <si>
    <t>900591899</t>
  </si>
  <si>
    <t>IGNOVA IMPORTACIONES CJ S.A.S.</t>
  </si>
  <si>
    <t>1663</t>
  </si>
  <si>
    <t>06-06-2025</t>
  </si>
  <si>
    <t>900715393</t>
  </si>
  <si>
    <t>INDUSTRIAS KP  S.A.S.</t>
  </si>
  <si>
    <t>226266</t>
  </si>
  <si>
    <t>DNV1</t>
  </si>
  <si>
    <t>23-10-2025</t>
  </si>
  <si>
    <t>JADER EMILIO RAMIREZ ROMERO</t>
  </si>
  <si>
    <t>900716195</t>
  </si>
  <si>
    <t>SAYLORS JEANS S.A.S</t>
  </si>
  <si>
    <t>1749</t>
  </si>
  <si>
    <t>900743681</t>
  </si>
  <si>
    <t>INVERSIONES Y DISTRIBUCIONES NARANJOS SAS</t>
  </si>
  <si>
    <t>72013</t>
  </si>
  <si>
    <t>15-03-2025</t>
  </si>
  <si>
    <t>900756115</t>
  </si>
  <si>
    <t>INVERCIONES CREACHIELITO S.A.S</t>
  </si>
  <si>
    <t>1802</t>
  </si>
  <si>
    <t>08-08-2025</t>
  </si>
  <si>
    <t>900800202</t>
  </si>
  <si>
    <t>ENVASSA SAS</t>
  </si>
  <si>
    <t>152</t>
  </si>
  <si>
    <t>29-12-2025</t>
  </si>
  <si>
    <t>900828476</t>
  </si>
  <si>
    <t>ALIKLEAN S.A.S</t>
  </si>
  <si>
    <t>1578</t>
  </si>
  <si>
    <t>30-04-2025</t>
  </si>
  <si>
    <t>900833046</t>
  </si>
  <si>
    <t>COMERCIALIZADORA CACHO INTERNACIONAL S.A.S.</t>
  </si>
  <si>
    <t>93942</t>
  </si>
  <si>
    <t>05-04-2025</t>
  </si>
  <si>
    <t>900925115</t>
  </si>
  <si>
    <t>DISTRIBUCIONES NARE S.A.S</t>
  </si>
  <si>
    <t>73</t>
  </si>
  <si>
    <t>901008327</t>
  </si>
  <si>
    <t>FABRIPOR S.A.S</t>
  </si>
  <si>
    <t>81807</t>
  </si>
  <si>
    <t>01-12-2025</t>
  </si>
  <si>
    <t>901038626</t>
  </si>
  <si>
    <t>ESENCIAS Y FRAGANCIAS SAS</t>
  </si>
  <si>
    <t>613</t>
  </si>
  <si>
    <t>08-07-2025</t>
  </si>
  <si>
    <t>901067262</t>
  </si>
  <si>
    <t>ZOFY SOLUCIONES PLASTICAS S.A.S</t>
  </si>
  <si>
    <t>80347</t>
  </si>
  <si>
    <t>901088196</t>
  </si>
  <si>
    <t>VIRUTEX ILKO COLOMBIA S.A.S.</t>
  </si>
  <si>
    <t>1719</t>
  </si>
  <si>
    <t>04-07-2025</t>
  </si>
  <si>
    <t>901097271</t>
  </si>
  <si>
    <t>SORPLAST S.A.S</t>
  </si>
  <si>
    <t>69932</t>
  </si>
  <si>
    <t>901103498</t>
  </si>
  <si>
    <t>INVERSIONES SURTIORIENTE S.A.S.</t>
  </si>
  <si>
    <t>78801</t>
  </si>
  <si>
    <t>901135480</t>
  </si>
  <si>
    <t>CONFECCIONES SWEET FASHION SAS</t>
  </si>
  <si>
    <t>108745</t>
  </si>
  <si>
    <t>19-07-2025</t>
  </si>
  <si>
    <t>901216955</t>
  </si>
  <si>
    <t>KAMILA GROUP S.A.S</t>
  </si>
  <si>
    <t>91975</t>
  </si>
  <si>
    <t>22-03-2025</t>
  </si>
  <si>
    <t>901239963</t>
  </si>
  <si>
    <t>INDUSTRIAS ARFRA ZV SAS</t>
  </si>
  <si>
    <t>1770</t>
  </si>
  <si>
    <t>25-07-2025</t>
  </si>
  <si>
    <t>901248595</t>
  </si>
  <si>
    <t>IMPORTADORA DIPATEX SAS</t>
  </si>
  <si>
    <t>65</t>
  </si>
  <si>
    <t>901249894</t>
  </si>
  <si>
    <t>FEL-O INVERSIONES SAS</t>
  </si>
  <si>
    <t>3714</t>
  </si>
  <si>
    <t>20-08-2025</t>
  </si>
  <si>
    <t>LUZ BIBIANA YEPES CORREAL</t>
  </si>
  <si>
    <t>901258449</t>
  </si>
  <si>
    <t>CONFECCIONES REYPO SAS</t>
  </si>
  <si>
    <t>80909</t>
  </si>
  <si>
    <t>29-09-2025</t>
  </si>
  <si>
    <t>901280702</t>
  </si>
  <si>
    <t>IMPORTADORA GD GOLDEN DREAMS S.A.S</t>
  </si>
  <si>
    <t>81002</t>
  </si>
  <si>
    <t>30-09-2025</t>
  </si>
  <si>
    <t>901294680</t>
  </si>
  <si>
    <t>PROPES S.A.S.</t>
  </si>
  <si>
    <t>72552</t>
  </si>
  <si>
    <t>K</t>
  </si>
  <si>
    <t>02-10-2025</t>
  </si>
  <si>
    <t>AMALIA LUCIA GUERRA BEDOYA</t>
  </si>
  <si>
    <t>901313264</t>
  </si>
  <si>
    <t>RAM TECHNOLOGY S.A.S</t>
  </si>
  <si>
    <t>1982</t>
  </si>
  <si>
    <t>21-10-2025</t>
  </si>
  <si>
    <t>901336927</t>
  </si>
  <si>
    <t xml:space="preserve">FOAMTECK SAS </t>
  </si>
  <si>
    <t>2346</t>
  </si>
  <si>
    <t>11-12-2025</t>
  </si>
  <si>
    <t>901422631</t>
  </si>
  <si>
    <t>COLBALONES ZZ 2020 S.A.S 01 00</t>
  </si>
  <si>
    <t>89830</t>
  </si>
  <si>
    <t>08-03-2025</t>
  </si>
  <si>
    <t>901429762</t>
  </si>
  <si>
    <t>IMPORTACIONES ETC SAS</t>
  </si>
  <si>
    <t>1898</t>
  </si>
  <si>
    <t>19-09-2025</t>
  </si>
  <si>
    <t>901453353</t>
  </si>
  <si>
    <t>ALREZK SAS</t>
  </si>
  <si>
    <t>69754</t>
  </si>
  <si>
    <t>04-04-2025</t>
  </si>
  <si>
    <t>CARMONA LOPEZ IVAN DARIO</t>
  </si>
  <si>
    <t>901453688</t>
  </si>
  <si>
    <t>DISTRIMAYORISTAS SAS</t>
  </si>
  <si>
    <t>1850</t>
  </si>
  <si>
    <t>901507682</t>
  </si>
  <si>
    <t>MASH COLOMBIA S.A.S</t>
  </si>
  <si>
    <t>504</t>
  </si>
  <si>
    <t>SATV</t>
  </si>
  <si>
    <t>27-08-2025</t>
  </si>
  <si>
    <t>SATIVA COMERCIALIZAORA</t>
  </si>
  <si>
    <t>901510667</t>
  </si>
  <si>
    <t>BLACK&amp;RED UNDERWEAR S.A.S</t>
  </si>
  <si>
    <t>82403</t>
  </si>
  <si>
    <t>901521835</t>
  </si>
  <si>
    <t>LARGO CAMINO S.A.S</t>
  </si>
  <si>
    <t>99561</t>
  </si>
  <si>
    <t>17-05-2025</t>
  </si>
  <si>
    <t>901528590</t>
  </si>
  <si>
    <t>LABORATORIO ACTYVE SOCIEDAD POR ACCIONES SIMPLIFIC</t>
  </si>
  <si>
    <t>83486</t>
  </si>
  <si>
    <t>25-01-2025</t>
  </si>
  <si>
    <t>901528621</t>
  </si>
  <si>
    <t>CROM SAS</t>
  </si>
  <si>
    <t>7333</t>
  </si>
  <si>
    <t>06-03-2025</t>
  </si>
  <si>
    <t>WILFER OCTAVIO GALLO ZULUAGA -importacioneswg</t>
  </si>
  <si>
    <t>901553272</t>
  </si>
  <si>
    <t>UBA KIDS AND GIRLS S.A.S</t>
  </si>
  <si>
    <t>75150</t>
  </si>
  <si>
    <t>24-05-2025</t>
  </si>
  <si>
    <t>901568019</t>
  </si>
  <si>
    <t>HAMMER JEANS SAS</t>
  </si>
  <si>
    <t>115</t>
  </si>
  <si>
    <t>901645468</t>
  </si>
  <si>
    <t>GRUPO EMPRESARIAL PRIMAVERAL SAS</t>
  </si>
  <si>
    <t>342</t>
  </si>
  <si>
    <t>1127944055</t>
  </si>
  <si>
    <t>WILMER ALVERNI AGUIRRE SUAREZ</t>
  </si>
  <si>
    <t>901668993</t>
  </si>
  <si>
    <t>TEXTILES Y TOALLAS SAS</t>
  </si>
  <si>
    <t>128292</t>
  </si>
  <si>
    <t>29-11-2025</t>
  </si>
  <si>
    <t>901683630</t>
  </si>
  <si>
    <t>FLOPPI COLOMBIA SAS</t>
  </si>
  <si>
    <t>1717</t>
  </si>
  <si>
    <t>FECP</t>
  </si>
  <si>
    <t>19-11-2025</t>
  </si>
  <si>
    <t>PARDO PEÑA NESTOR ARIEL-calzado_p1985</t>
  </si>
  <si>
    <t>901724166</t>
  </si>
  <si>
    <t>COMERCIALIZADORA SAN JOSE MG SAS</t>
  </si>
  <si>
    <t>101652</t>
  </si>
  <si>
    <t>31-05-2025</t>
  </si>
  <si>
    <t>901763142</t>
  </si>
  <si>
    <t>CALZADO JYY SAS</t>
  </si>
  <si>
    <t>81328</t>
  </si>
  <si>
    <t>11-01-2025</t>
  </si>
  <si>
    <t>901795939</t>
  </si>
  <si>
    <t>FASHION BALLOONS S.A.S</t>
  </si>
  <si>
    <t>66715</t>
  </si>
  <si>
    <t>901802867</t>
  </si>
  <si>
    <t>DISTRIBUIDORA Y COMERCIALIZADORA EL TRIUNFO S.A.S</t>
  </si>
  <si>
    <t>122220</t>
  </si>
  <si>
    <t>901823187</t>
  </si>
  <si>
    <t>importaciones y exportaciones KJT SAS</t>
  </si>
  <si>
    <t>78198</t>
  </si>
  <si>
    <t>901879481</t>
  </si>
  <si>
    <t>DISTRIBUIDORA MAKING SAS</t>
  </si>
  <si>
    <t>106701</t>
  </si>
  <si>
    <t>05-07-2025</t>
  </si>
  <si>
    <t>901907026</t>
  </si>
  <si>
    <t>A POSITIVO MODA PERFECTA SAS</t>
  </si>
  <si>
    <t>110921</t>
  </si>
  <si>
    <t>901945211</t>
  </si>
  <si>
    <t>COMERCIALIZADORA Y DISTRIBUIDORA BULLGAOO SAS</t>
  </si>
  <si>
    <t>73723</t>
  </si>
  <si>
    <t>07-08-2025</t>
  </si>
  <si>
    <t>901984590</t>
  </si>
  <si>
    <t>SM HOLDINGS SAS</t>
  </si>
  <si>
    <t>75899</t>
  </si>
  <si>
    <t>96456</t>
  </si>
  <si>
    <t>26-04-2025</t>
  </si>
  <si>
    <t>3972</t>
  </si>
  <si>
    <t>1785</t>
  </si>
  <si>
    <t>30-07-2025</t>
  </si>
  <si>
    <t>5491</t>
  </si>
  <si>
    <t>6998</t>
  </si>
  <si>
    <t>10-01-2025</t>
  </si>
  <si>
    <t xml:space="preserve">IMPORTACIONES WG </t>
  </si>
  <si>
    <t>939</t>
  </si>
  <si>
    <t>JHONNY GARCIA PEÑA</t>
  </si>
  <si>
    <t>375</t>
  </si>
  <si>
    <t>8135</t>
  </si>
  <si>
    <t>69273</t>
  </si>
  <si>
    <t>17-01-2025</t>
  </si>
  <si>
    <t>5131</t>
  </si>
  <si>
    <t>28-04-2025</t>
  </si>
  <si>
    <t>14-04-2025</t>
  </si>
  <si>
    <t>16-05-2025</t>
  </si>
  <si>
    <t>27-09-2025</t>
  </si>
  <si>
    <t>31-03-2025</t>
  </si>
  <si>
    <t>77</t>
  </si>
  <si>
    <t>09-09-2025</t>
  </si>
  <si>
    <t>LUIS SIMON GOMEZ MORILLO-electronevado</t>
  </si>
  <si>
    <t>03-12-2025</t>
  </si>
  <si>
    <t>24-09-2025</t>
  </si>
  <si>
    <t>28-05-2025</t>
  </si>
  <si>
    <t>AP</t>
  </si>
  <si>
    <t>ME</t>
  </si>
  <si>
    <t>14-01-2025</t>
  </si>
  <si>
    <t>31-01-2025</t>
  </si>
  <si>
    <t>14-02-2025</t>
  </si>
  <si>
    <t>28-02-2025</t>
  </si>
  <si>
    <t>1481043</t>
  </si>
  <si>
    <t>1496325</t>
  </si>
  <si>
    <t>24-04-2025</t>
  </si>
  <si>
    <t>1486642</t>
  </si>
  <si>
    <t>1496323</t>
  </si>
  <si>
    <t>1496324</t>
  </si>
  <si>
    <t>1510528</t>
  </si>
  <si>
    <t>15-05-2025</t>
  </si>
  <si>
    <t>1520945</t>
  </si>
  <si>
    <t>29-05-2025</t>
  </si>
  <si>
    <t>1506026</t>
  </si>
  <si>
    <t>08-05-2025</t>
  </si>
  <si>
    <t>1520933</t>
  </si>
  <si>
    <t>1520939</t>
  </si>
  <si>
    <t>1510629</t>
  </si>
  <si>
    <t>1506032</t>
  </si>
  <si>
    <t>1506030</t>
  </si>
  <si>
    <t>1520935</t>
  </si>
  <si>
    <t>1520934</t>
  </si>
  <si>
    <t>1506028</t>
  </si>
  <si>
    <t>1520936</t>
  </si>
  <si>
    <t>1506031</t>
  </si>
  <si>
    <t>1537784</t>
  </si>
  <si>
    <t>22-06-2025</t>
  </si>
  <si>
    <t>1540827</t>
  </si>
  <si>
    <t>27-06-2025</t>
  </si>
  <si>
    <t>1540826</t>
  </si>
  <si>
    <t>1540825</t>
  </si>
  <si>
    <t>1533267</t>
  </si>
  <si>
    <t>16-06-2025</t>
  </si>
  <si>
    <t>1565472</t>
  </si>
  <si>
    <t>1565462</t>
  </si>
  <si>
    <t>1549407</t>
  </si>
  <si>
    <t>10-07-2025</t>
  </si>
  <si>
    <t>1563670</t>
  </si>
  <si>
    <t>1563674</t>
  </si>
  <si>
    <t>1549387</t>
  </si>
  <si>
    <t>1549394</t>
  </si>
  <si>
    <t>1549404</t>
  </si>
  <si>
    <t>1549389</t>
  </si>
  <si>
    <t>1563671</t>
  </si>
  <si>
    <t>1563672</t>
  </si>
  <si>
    <t>1555574</t>
  </si>
  <si>
    <t>1563673</t>
  </si>
  <si>
    <t>1566345</t>
  </si>
  <si>
    <t>02-08-2025</t>
  </si>
  <si>
    <t>1574667</t>
  </si>
  <si>
    <t>15-08-2025</t>
  </si>
  <si>
    <t>1574668</t>
  </si>
  <si>
    <t>1585091</t>
  </si>
  <si>
    <t>29-08-2025</t>
  </si>
  <si>
    <t>1574666</t>
  </si>
  <si>
    <t>1574665</t>
  </si>
  <si>
    <t>1572633</t>
  </si>
  <si>
    <t>1606332</t>
  </si>
  <si>
    <t>26-09-2025</t>
  </si>
  <si>
    <t>1606333</t>
  </si>
  <si>
    <t>1590584</t>
  </si>
  <si>
    <t>05-09-2025</t>
  </si>
  <si>
    <t>1606316</t>
  </si>
  <si>
    <t>1606314</t>
  </si>
  <si>
    <t>1606313</t>
  </si>
  <si>
    <t>1595710</t>
  </si>
  <si>
    <t>1595709</t>
  </si>
  <si>
    <t>1623381</t>
  </si>
  <si>
    <t>1623380</t>
  </si>
  <si>
    <t>1623379</t>
  </si>
  <si>
    <t>1629691</t>
  </si>
  <si>
    <t>31-10-2025</t>
  </si>
  <si>
    <t>1630484</t>
  </si>
  <si>
    <t>1646230</t>
  </si>
  <si>
    <t>1645488</t>
  </si>
  <si>
    <t>1646081</t>
  </si>
  <si>
    <t>1645489</t>
  </si>
  <si>
    <t>1645487</t>
  </si>
  <si>
    <t>1645486</t>
  </si>
  <si>
    <t>1645490</t>
  </si>
  <si>
    <t>1662111</t>
  </si>
  <si>
    <t>27-12-2025</t>
  </si>
  <si>
    <t>1660895</t>
  </si>
  <si>
    <t>77177</t>
  </si>
  <si>
    <t>07-02-2025</t>
  </si>
  <si>
    <t>93946</t>
  </si>
  <si>
    <t>102932</t>
  </si>
  <si>
    <t>05-06-2025</t>
  </si>
  <si>
    <t>115812</t>
  </si>
  <si>
    <t>05-08-2025</t>
  </si>
  <si>
    <t>88686</t>
  </si>
  <si>
    <t>28-03-2025</t>
  </si>
  <si>
    <t>ALIKLEAN S.A.S - ANYELUZ</t>
  </si>
  <si>
    <t>73641</t>
  </si>
  <si>
    <t>13-01-2025</t>
  </si>
  <si>
    <t>ALIKLEAN S.A.S (ANYELUZ)</t>
  </si>
  <si>
    <t>5789</t>
  </si>
  <si>
    <t>900750246</t>
  </si>
  <si>
    <t>ALMACEN EL PINTOR MONTERIA S.A.S.</t>
  </si>
  <si>
    <t>146461</t>
  </si>
  <si>
    <t>DG</t>
  </si>
  <si>
    <t>ALMACEN Y DISTRIBUIDORA GONZALEZ S.A.S.</t>
  </si>
  <si>
    <t>150398</t>
  </si>
  <si>
    <t>03-02-2025</t>
  </si>
  <si>
    <t>182676</t>
  </si>
  <si>
    <t>259493</t>
  </si>
  <si>
    <t>31-12-2025</t>
  </si>
  <si>
    <t>2266</t>
  </si>
  <si>
    <t>27-05-2025</t>
  </si>
  <si>
    <t>1668567</t>
  </si>
  <si>
    <t>MO01</t>
  </si>
  <si>
    <t>800186960</t>
  </si>
  <si>
    <t>ALTIPAL S A S</t>
  </si>
  <si>
    <t>1672676</t>
  </si>
  <si>
    <t>1684482</t>
  </si>
  <si>
    <t>1692393</t>
  </si>
  <si>
    <t>1699492</t>
  </si>
  <si>
    <t>1699493</t>
  </si>
  <si>
    <t>1617121</t>
  </si>
  <si>
    <t>ALTIPAL S.A.S</t>
  </si>
  <si>
    <t>1617097</t>
  </si>
  <si>
    <t>1617871</t>
  </si>
  <si>
    <t>08-02-2025</t>
  </si>
  <si>
    <t>1630705</t>
  </si>
  <si>
    <t>12-04-2025</t>
  </si>
  <si>
    <t>1639714</t>
  </si>
  <si>
    <t>19-05-2025</t>
  </si>
  <si>
    <t>1650525</t>
  </si>
  <si>
    <t>26-06-2025</t>
  </si>
  <si>
    <t>1658391</t>
  </si>
  <si>
    <t>1658401</t>
  </si>
  <si>
    <t>1656473</t>
  </si>
  <si>
    <t>17-07-2025</t>
  </si>
  <si>
    <t>5100</t>
  </si>
  <si>
    <t>5625</t>
  </si>
  <si>
    <t>72530</t>
  </si>
  <si>
    <t>116311</t>
  </si>
  <si>
    <t>MO</t>
  </si>
  <si>
    <t>29-01-2025</t>
  </si>
  <si>
    <t>860000135</t>
  </si>
  <si>
    <t>AZUL K S.A.S.</t>
  </si>
  <si>
    <t>116399</t>
  </si>
  <si>
    <t>116498</t>
  </si>
  <si>
    <t>18-02-2025</t>
  </si>
  <si>
    <t>116619</t>
  </si>
  <si>
    <t>27-02-2025</t>
  </si>
  <si>
    <t>116802</t>
  </si>
  <si>
    <t>20-03-2025</t>
  </si>
  <si>
    <t>116838</t>
  </si>
  <si>
    <t>26-03-2025</t>
  </si>
  <si>
    <t>116857</t>
  </si>
  <si>
    <t>27-03-2025</t>
  </si>
  <si>
    <t>116682</t>
  </si>
  <si>
    <t>117078</t>
  </si>
  <si>
    <t>117077</t>
  </si>
  <si>
    <t>117326</t>
  </si>
  <si>
    <t>117292</t>
  </si>
  <si>
    <t>13-05-2025</t>
  </si>
  <si>
    <t>117283</t>
  </si>
  <si>
    <t>12-05-2025</t>
  </si>
  <si>
    <t>117730</t>
  </si>
  <si>
    <t>117697</t>
  </si>
  <si>
    <t>117562</t>
  </si>
  <si>
    <t>117580</t>
  </si>
  <si>
    <t>17-06-2025</t>
  </si>
  <si>
    <t>117566</t>
  </si>
  <si>
    <t>117533</t>
  </si>
  <si>
    <t>09-06-2025</t>
  </si>
  <si>
    <t>118066</t>
  </si>
  <si>
    <t>117899</t>
  </si>
  <si>
    <t>118173</t>
  </si>
  <si>
    <t>118333</t>
  </si>
  <si>
    <t>118385</t>
  </si>
  <si>
    <t>118362</t>
  </si>
  <si>
    <t>118561</t>
  </si>
  <si>
    <t>25-09-2025</t>
  </si>
  <si>
    <t>118562</t>
  </si>
  <si>
    <t>118779</t>
  </si>
  <si>
    <t>22-10-2025</t>
  </si>
  <si>
    <t>119105</t>
  </si>
  <si>
    <t>118983</t>
  </si>
  <si>
    <t>18-11-2025</t>
  </si>
  <si>
    <t>118982</t>
  </si>
  <si>
    <t>118909</t>
  </si>
  <si>
    <t>118908</t>
  </si>
  <si>
    <t>119290</t>
  </si>
  <si>
    <t>22-12-2025</t>
  </si>
  <si>
    <t>119289</t>
  </si>
  <si>
    <t>413746</t>
  </si>
  <si>
    <t>11-04-2025</t>
  </si>
  <si>
    <t>415509</t>
  </si>
  <si>
    <t>11-07-2025</t>
  </si>
  <si>
    <t>17846</t>
  </si>
  <si>
    <t>10003540</t>
  </si>
  <si>
    <t>99FV</t>
  </si>
  <si>
    <t>800118334</t>
  </si>
  <si>
    <t>BELLEZA EXPRESS S.A.</t>
  </si>
  <si>
    <t>10005550</t>
  </si>
  <si>
    <t>10009942</t>
  </si>
  <si>
    <t>10013350</t>
  </si>
  <si>
    <t>20-06-2025</t>
  </si>
  <si>
    <t>10013240</t>
  </si>
  <si>
    <t>19-06-2025</t>
  </si>
  <si>
    <t>10017152</t>
  </si>
  <si>
    <t>23-07-2025</t>
  </si>
  <si>
    <t>10017033</t>
  </si>
  <si>
    <t>10018472</t>
  </si>
  <si>
    <t>10020017</t>
  </si>
  <si>
    <t>10020648</t>
  </si>
  <si>
    <t>25-08-2025</t>
  </si>
  <si>
    <t>10024513</t>
  </si>
  <si>
    <t>10027584</t>
  </si>
  <si>
    <t>27-10-2025</t>
  </si>
  <si>
    <t>10027650</t>
  </si>
  <si>
    <t>28-10-2025</t>
  </si>
  <si>
    <t>2780</t>
  </si>
  <si>
    <t>05-03-2025</t>
  </si>
  <si>
    <t>2958</t>
  </si>
  <si>
    <t>10-06-2025</t>
  </si>
  <si>
    <t>3161</t>
  </si>
  <si>
    <t>3123</t>
  </si>
  <si>
    <t>1149</t>
  </si>
  <si>
    <t>20-11-2025</t>
  </si>
  <si>
    <t>75530</t>
  </si>
  <si>
    <t>1668868</t>
  </si>
  <si>
    <t>FVCE</t>
  </si>
  <si>
    <t>27-07-2025</t>
  </si>
  <si>
    <t>860512475</t>
  </si>
  <si>
    <t>CERESCOS SAS</t>
  </si>
  <si>
    <t>1718723</t>
  </si>
  <si>
    <t>23-12-2025</t>
  </si>
  <si>
    <t>26</t>
  </si>
  <si>
    <t>1022358313</t>
  </si>
  <si>
    <t>CESAR ALDRIN ACUA RODRIGUEZ-JEANSTIL</t>
  </si>
  <si>
    <t>29</t>
  </si>
  <si>
    <t>22-08-2025</t>
  </si>
  <si>
    <t>31</t>
  </si>
  <si>
    <t>40</t>
  </si>
  <si>
    <t>CESAR ALDRIN ACUA RODRIGUEZ-jeanstils</t>
  </si>
  <si>
    <t>33</t>
  </si>
  <si>
    <t>01-09-2025</t>
  </si>
  <si>
    <t>FECO</t>
  </si>
  <si>
    <t>27-01-2025</t>
  </si>
  <si>
    <t>403</t>
  </si>
  <si>
    <t>1538939</t>
  </si>
  <si>
    <t>P064</t>
  </si>
  <si>
    <t>28-01-2025</t>
  </si>
  <si>
    <t>890900943</t>
  </si>
  <si>
    <t>COLOMBIANA DE COMERCIO S.A.</t>
  </si>
  <si>
    <t>1534816</t>
  </si>
  <si>
    <t>1535367</t>
  </si>
  <si>
    <t>1536830</t>
  </si>
  <si>
    <t>18-01-2025</t>
  </si>
  <si>
    <t>1537724</t>
  </si>
  <si>
    <t>23-01-2025</t>
  </si>
  <si>
    <t>1540212</t>
  </si>
  <si>
    <t>01-02-2025</t>
  </si>
  <si>
    <t>1540970</t>
  </si>
  <si>
    <t>06-02-2025</t>
  </si>
  <si>
    <t>1542166</t>
  </si>
  <si>
    <t>11-02-2025</t>
  </si>
  <si>
    <t>1542181</t>
  </si>
  <si>
    <t>1545429</t>
  </si>
  <si>
    <t>1545423</t>
  </si>
  <si>
    <t>1545421</t>
  </si>
  <si>
    <t>1549666</t>
  </si>
  <si>
    <t>1551029</t>
  </si>
  <si>
    <t>1551011</t>
  </si>
  <si>
    <t>1551490</t>
  </si>
  <si>
    <t>29-03-2025</t>
  </si>
  <si>
    <t>1546045</t>
  </si>
  <si>
    <t>04-03-2025</t>
  </si>
  <si>
    <t>1547118</t>
  </si>
  <si>
    <t>1547115</t>
  </si>
  <si>
    <t>1547128</t>
  </si>
  <si>
    <t>1547480</t>
  </si>
  <si>
    <t>11-03-2025</t>
  </si>
  <si>
    <t>1557778</t>
  </si>
  <si>
    <t>29-04-2025</t>
  </si>
  <si>
    <t>1557048</t>
  </si>
  <si>
    <t>1555478</t>
  </si>
  <si>
    <t>16-04-2025</t>
  </si>
  <si>
    <t>1555987</t>
  </si>
  <si>
    <t>1555981</t>
  </si>
  <si>
    <t>1555495</t>
  </si>
  <si>
    <t>1554363</t>
  </si>
  <si>
    <t>1552523</t>
  </si>
  <si>
    <t>03-04-2025</t>
  </si>
  <si>
    <t>1552512</t>
  </si>
  <si>
    <t>1552509</t>
  </si>
  <si>
    <t>1562499</t>
  </si>
  <si>
    <t>20-05-2025</t>
  </si>
  <si>
    <t>1562491</t>
  </si>
  <si>
    <t>1562490</t>
  </si>
  <si>
    <t>1561937</t>
  </si>
  <si>
    <t>1558742</t>
  </si>
  <si>
    <t>05-05-2025</t>
  </si>
  <si>
    <t>1558730</t>
  </si>
  <si>
    <t>1558669</t>
  </si>
  <si>
    <t>1825766</t>
  </si>
  <si>
    <t>P204</t>
  </si>
  <si>
    <t>1566743</t>
  </si>
  <si>
    <t>1566765</t>
  </si>
  <si>
    <t>1566748</t>
  </si>
  <si>
    <t>1566740</t>
  </si>
  <si>
    <t>1566760</t>
  </si>
  <si>
    <t>1578258</t>
  </si>
  <si>
    <t>1576758</t>
  </si>
  <si>
    <t>1576759</t>
  </si>
  <si>
    <t>1574274</t>
  </si>
  <si>
    <t>15-07-2025</t>
  </si>
  <si>
    <t>1838175</t>
  </si>
  <si>
    <t>1573809</t>
  </si>
  <si>
    <t>1579334</t>
  </si>
  <si>
    <t>1580392</t>
  </si>
  <si>
    <t>13-08-2025</t>
  </si>
  <si>
    <t>1580700</t>
  </si>
  <si>
    <t>1581122</t>
  </si>
  <si>
    <t>1581115</t>
  </si>
  <si>
    <t>1582633</t>
  </si>
  <si>
    <t>23-08-2025</t>
  </si>
  <si>
    <t>1590528</t>
  </si>
  <si>
    <t>1590026</t>
  </si>
  <si>
    <t>1590033</t>
  </si>
  <si>
    <t>1589399</t>
  </si>
  <si>
    <t>20-09-2025</t>
  </si>
  <si>
    <t>1587704</t>
  </si>
  <si>
    <t>1587702</t>
  </si>
  <si>
    <t>1587116</t>
  </si>
  <si>
    <t>1586590</t>
  </si>
  <si>
    <t>1586580</t>
  </si>
  <si>
    <t>1585755</t>
  </si>
  <si>
    <t>1592729</t>
  </si>
  <si>
    <t>06-10-2025</t>
  </si>
  <si>
    <t>1596022</t>
  </si>
  <si>
    <t>1597523</t>
  </si>
  <si>
    <t>30-10-2025</t>
  </si>
  <si>
    <t>1597502</t>
  </si>
  <si>
    <t>1598873</t>
  </si>
  <si>
    <t>1598872</t>
  </si>
  <si>
    <t>1598450</t>
  </si>
  <si>
    <t>06-11-2025</t>
  </si>
  <si>
    <t>1607393</t>
  </si>
  <si>
    <t>16-12-2025</t>
  </si>
  <si>
    <t>1606414</t>
  </si>
  <si>
    <t>1606396</t>
  </si>
  <si>
    <t>1606387</t>
  </si>
  <si>
    <t>1604412</t>
  </si>
  <si>
    <t>264</t>
  </si>
  <si>
    <t>21500</t>
  </si>
  <si>
    <t>22622</t>
  </si>
  <si>
    <t>22938</t>
  </si>
  <si>
    <t>16-07-2025</t>
  </si>
  <si>
    <t>23202</t>
  </si>
  <si>
    <t>23870</t>
  </si>
  <si>
    <t>22-09-2025</t>
  </si>
  <si>
    <t>23869</t>
  </si>
  <si>
    <t>24449</t>
  </si>
  <si>
    <t>24341</t>
  </si>
  <si>
    <t>24476</t>
  </si>
  <si>
    <t>01-11-2025</t>
  </si>
  <si>
    <t>24934</t>
  </si>
  <si>
    <t>04-12-2025</t>
  </si>
  <si>
    <t>3876</t>
  </si>
  <si>
    <t>CKN</t>
  </si>
  <si>
    <t>21-01-2025</t>
  </si>
  <si>
    <t>3902</t>
  </si>
  <si>
    <t>4828</t>
  </si>
  <si>
    <t>CL</t>
  </si>
  <si>
    <t>24-02-2025</t>
  </si>
  <si>
    <t>6056</t>
  </si>
  <si>
    <t>04-06-2025</t>
  </si>
  <si>
    <t>7046</t>
  </si>
  <si>
    <t>15-09-2025</t>
  </si>
  <si>
    <t>26700</t>
  </si>
  <si>
    <t>FENG</t>
  </si>
  <si>
    <t>36579</t>
  </si>
  <si>
    <t>54142</t>
  </si>
  <si>
    <t>696</t>
  </si>
  <si>
    <t>10-11-2025</t>
  </si>
  <si>
    <t>752</t>
  </si>
  <si>
    <t>391688</t>
  </si>
  <si>
    <t>FA</t>
  </si>
  <si>
    <t>05-02-2025</t>
  </si>
  <si>
    <t>816004998</t>
  </si>
  <si>
    <t>COMERCIALIZADORA SANTANDER S.A.S</t>
  </si>
  <si>
    <t>392771</t>
  </si>
  <si>
    <t>17-02-2025</t>
  </si>
  <si>
    <t>393466</t>
  </si>
  <si>
    <t>21-02-2025</t>
  </si>
  <si>
    <t>394285</t>
  </si>
  <si>
    <t>396038</t>
  </si>
  <si>
    <t>19-03-2025</t>
  </si>
  <si>
    <t>402956</t>
  </si>
  <si>
    <t>401233</t>
  </si>
  <si>
    <t>06-05-2025</t>
  </si>
  <si>
    <t>401070</t>
  </si>
  <si>
    <t>411639</t>
  </si>
  <si>
    <t>413371</t>
  </si>
  <si>
    <t>415678</t>
  </si>
  <si>
    <t>03-09-2025</t>
  </si>
  <si>
    <t>415675</t>
  </si>
  <si>
    <t>420923</t>
  </si>
  <si>
    <t>961312</t>
  </si>
  <si>
    <t>FESA</t>
  </si>
  <si>
    <t>901263128</t>
  </si>
  <si>
    <t>COMERCIALIZADORA SIDIMAT SAS</t>
  </si>
  <si>
    <t>18894</t>
  </si>
  <si>
    <t>FESB</t>
  </si>
  <si>
    <t>946976</t>
  </si>
  <si>
    <t>04-01-2025</t>
  </si>
  <si>
    <t>13691</t>
  </si>
  <si>
    <t>950086</t>
  </si>
  <si>
    <t>953689</t>
  </si>
  <si>
    <t>15411</t>
  </si>
  <si>
    <t>957421</t>
  </si>
  <si>
    <t>17216</t>
  </si>
  <si>
    <t>965080</t>
  </si>
  <si>
    <t>20568</t>
  </si>
  <si>
    <t>968708</t>
  </si>
  <si>
    <t>22317</t>
  </si>
  <si>
    <t>972540</t>
  </si>
  <si>
    <t>24128</t>
  </si>
  <si>
    <t>976767</t>
  </si>
  <si>
    <t>32176</t>
  </si>
  <si>
    <t>988505</t>
  </si>
  <si>
    <t>992145</t>
  </si>
  <si>
    <t>34019</t>
  </si>
  <si>
    <t>27946</t>
  </si>
  <si>
    <t>980557</t>
  </si>
  <si>
    <t>984549</t>
  </si>
  <si>
    <t>14-03-2025</t>
  </si>
  <si>
    <t>29994</t>
  </si>
  <si>
    <t>41399</t>
  </si>
  <si>
    <t>1006029</t>
  </si>
  <si>
    <t>39482</t>
  </si>
  <si>
    <t>17-04-2025</t>
  </si>
  <si>
    <t>37977</t>
  </si>
  <si>
    <t>1002583</t>
  </si>
  <si>
    <t>999456</t>
  </si>
  <si>
    <t>995974</t>
  </si>
  <si>
    <t>35886</t>
  </si>
  <si>
    <t>51410</t>
  </si>
  <si>
    <t>30-05-2025</t>
  </si>
  <si>
    <t>49371</t>
  </si>
  <si>
    <t>23-05-2025</t>
  </si>
  <si>
    <t>1019304</t>
  </si>
  <si>
    <t>47275</t>
  </si>
  <si>
    <t>1015949</t>
  </si>
  <si>
    <t>45132</t>
  </si>
  <si>
    <t>09-05-2025</t>
  </si>
  <si>
    <t>1012472</t>
  </si>
  <si>
    <t>1009377</t>
  </si>
  <si>
    <t>02-05-2025</t>
  </si>
  <si>
    <t>43162</t>
  </si>
  <si>
    <t>60106</t>
  </si>
  <si>
    <t>57951</t>
  </si>
  <si>
    <t>1032626</t>
  </si>
  <si>
    <t>1030818</t>
  </si>
  <si>
    <t>55773</t>
  </si>
  <si>
    <t>1027450</t>
  </si>
  <si>
    <t>53693</t>
  </si>
  <si>
    <t>1025719</t>
  </si>
  <si>
    <t>03-06-2025</t>
  </si>
  <si>
    <t>1052656</t>
  </si>
  <si>
    <t>29-07-2025</t>
  </si>
  <si>
    <t>68269</t>
  </si>
  <si>
    <t>1050971</t>
  </si>
  <si>
    <t>1047256</t>
  </si>
  <si>
    <t>66127</t>
  </si>
  <si>
    <t>63847</t>
  </si>
  <si>
    <t>1043593</t>
  </si>
  <si>
    <t>61770</t>
  </si>
  <si>
    <t>1054823</t>
  </si>
  <si>
    <t>70498</t>
  </si>
  <si>
    <t>72556</t>
  </si>
  <si>
    <t>1057936</t>
  </si>
  <si>
    <t>1059864</t>
  </si>
  <si>
    <t>1061583</t>
  </si>
  <si>
    <t>74719</t>
  </si>
  <si>
    <t>1063305</t>
  </si>
  <si>
    <t>77066</t>
  </si>
  <si>
    <t>1066114</t>
  </si>
  <si>
    <t>26-08-2025</t>
  </si>
  <si>
    <t>1068037</t>
  </si>
  <si>
    <t>79007</t>
  </si>
  <si>
    <t>88095</t>
  </si>
  <si>
    <t>85700</t>
  </si>
  <si>
    <t>18-09-2025</t>
  </si>
  <si>
    <t>83247</t>
  </si>
  <si>
    <t>80980</t>
  </si>
  <si>
    <t>04-09-2025</t>
  </si>
  <si>
    <t>1070765</t>
  </si>
  <si>
    <t>90849</t>
  </si>
  <si>
    <t>93661</t>
  </si>
  <si>
    <t>09-10-2025</t>
  </si>
  <si>
    <t>1087167</t>
  </si>
  <si>
    <t>98532</t>
  </si>
  <si>
    <t>1094076</t>
  </si>
  <si>
    <t>101050</t>
  </si>
  <si>
    <t>110405</t>
  </si>
  <si>
    <t>1110466</t>
  </si>
  <si>
    <t>108219</t>
  </si>
  <si>
    <t>105709</t>
  </si>
  <si>
    <t>13-11-2025</t>
  </si>
  <si>
    <t>1103954</t>
  </si>
  <si>
    <t>103486</t>
  </si>
  <si>
    <t>07-11-2025</t>
  </si>
  <si>
    <t>118228</t>
  </si>
  <si>
    <t>1120900</t>
  </si>
  <si>
    <t>1118078</t>
  </si>
  <si>
    <t>12-12-2025</t>
  </si>
  <si>
    <t>115839</t>
  </si>
  <si>
    <t>120912</t>
  </si>
  <si>
    <t>26-12-2025</t>
  </si>
  <si>
    <t>1124343</t>
  </si>
  <si>
    <t>1126855</t>
  </si>
  <si>
    <t>1126524</t>
  </si>
  <si>
    <t>57</t>
  </si>
  <si>
    <t>26-07-2025</t>
  </si>
  <si>
    <t>121</t>
  </si>
  <si>
    <t>173</t>
  </si>
  <si>
    <t>07-10-2025</t>
  </si>
  <si>
    <t>256</t>
  </si>
  <si>
    <t>FEB</t>
  </si>
  <si>
    <t>3079327</t>
  </si>
  <si>
    <t>890300510</t>
  </si>
  <si>
    <t>COMPAÑIA COLOMBIANA DE ESMALTES SA</t>
  </si>
  <si>
    <t>9785</t>
  </si>
  <si>
    <t>FER</t>
  </si>
  <si>
    <t>15-04-2025</t>
  </si>
  <si>
    <t>4771</t>
  </si>
  <si>
    <t>4744</t>
  </si>
  <si>
    <t>442</t>
  </si>
  <si>
    <t>20-12-2025</t>
  </si>
  <si>
    <t>10100</t>
  </si>
  <si>
    <t>FECR</t>
  </si>
  <si>
    <t>19-02-2025</t>
  </si>
  <si>
    <t>10124</t>
  </si>
  <si>
    <t>96</t>
  </si>
  <si>
    <t>78</t>
  </si>
  <si>
    <t>EXH</t>
  </si>
  <si>
    <t>25-04-2025</t>
  </si>
  <si>
    <t>37440</t>
  </si>
  <si>
    <t>170P</t>
  </si>
  <si>
    <t>22-01-2025</t>
  </si>
  <si>
    <t>890904478</t>
  </si>
  <si>
    <t>COOPERATIVA COLANTA</t>
  </si>
  <si>
    <t>40591</t>
  </si>
  <si>
    <t>23-02-2025</t>
  </si>
  <si>
    <t>40925</t>
  </si>
  <si>
    <t>43618</t>
  </si>
  <si>
    <t>41510</t>
  </si>
  <si>
    <t>42128</t>
  </si>
  <si>
    <t>46862</t>
  </si>
  <si>
    <t>45940</t>
  </si>
  <si>
    <t>20-04-2025</t>
  </si>
  <si>
    <t>45194</t>
  </si>
  <si>
    <t>48246</t>
  </si>
  <si>
    <t>14-05-2025</t>
  </si>
  <si>
    <t>47266</t>
  </si>
  <si>
    <t>04-05-2025</t>
  </si>
  <si>
    <t>52030</t>
  </si>
  <si>
    <t>23-06-2025</t>
  </si>
  <si>
    <t>50042</t>
  </si>
  <si>
    <t>01-06-2025</t>
  </si>
  <si>
    <t>55472</t>
  </si>
  <si>
    <t>53460</t>
  </si>
  <si>
    <t>57117</t>
  </si>
  <si>
    <t>60155</t>
  </si>
  <si>
    <t>62572</t>
  </si>
  <si>
    <t>65121</t>
  </si>
  <si>
    <t>66845</t>
  </si>
  <si>
    <t>14-11-2025</t>
  </si>
  <si>
    <t>70360</t>
  </si>
  <si>
    <t>17-12-2025</t>
  </si>
  <si>
    <t>68473</t>
  </si>
  <si>
    <t>71353</t>
  </si>
  <si>
    <t>25-12-2025</t>
  </si>
  <si>
    <t>72287</t>
  </si>
  <si>
    <t>353171</t>
  </si>
  <si>
    <t>ETAT</t>
  </si>
  <si>
    <t>08-10-2025</t>
  </si>
  <si>
    <t>800217250</t>
  </si>
  <si>
    <t>COOPERATIVA LECHERA DE CORDOBA</t>
  </si>
  <si>
    <t>359262</t>
  </si>
  <si>
    <t>378265</t>
  </si>
  <si>
    <t>367721</t>
  </si>
  <si>
    <t>392410</t>
  </si>
  <si>
    <t>13-12-2025</t>
  </si>
  <si>
    <t>388463</t>
  </si>
  <si>
    <t>396442</t>
  </si>
  <si>
    <t>9784</t>
  </si>
  <si>
    <t>DOMI</t>
  </si>
  <si>
    <t>32224</t>
  </si>
  <si>
    <t>33224</t>
  </si>
  <si>
    <t>35934</t>
  </si>
  <si>
    <t>41794</t>
  </si>
  <si>
    <t>45302</t>
  </si>
  <si>
    <t>07-05-2025</t>
  </si>
  <si>
    <t>56967</t>
  </si>
  <si>
    <t>64462</t>
  </si>
  <si>
    <t>15911</t>
  </si>
  <si>
    <t>15860</t>
  </si>
  <si>
    <t>16522</t>
  </si>
  <si>
    <t>16425</t>
  </si>
  <si>
    <t>16818</t>
  </si>
  <si>
    <t>17155</t>
  </si>
  <si>
    <t>17452</t>
  </si>
  <si>
    <t>17740</t>
  </si>
  <si>
    <t>18183</t>
  </si>
  <si>
    <t>18512</t>
  </si>
  <si>
    <t>18758</t>
  </si>
  <si>
    <t>18764</t>
  </si>
  <si>
    <t>19158</t>
  </si>
  <si>
    <t>351336</t>
  </si>
  <si>
    <t>800056821</t>
  </si>
  <si>
    <t>Cosmeticos Lehit Limitada</t>
  </si>
  <si>
    <t>360057</t>
  </si>
  <si>
    <t>365737</t>
  </si>
  <si>
    <t>370458</t>
  </si>
  <si>
    <t>01-10-2025</t>
  </si>
  <si>
    <t>376688</t>
  </si>
  <si>
    <t>33600</t>
  </si>
  <si>
    <t>MEFE</t>
  </si>
  <si>
    <t>12-02-2025</t>
  </si>
  <si>
    <t>33541</t>
  </si>
  <si>
    <t>33538</t>
  </si>
  <si>
    <t>35458</t>
  </si>
  <si>
    <t>35516</t>
  </si>
  <si>
    <t>37016</t>
  </si>
  <si>
    <t>37015</t>
  </si>
  <si>
    <t>38610</t>
  </si>
  <si>
    <t>38611</t>
  </si>
  <si>
    <t>40368</t>
  </si>
  <si>
    <t>25-10-2025</t>
  </si>
  <si>
    <t>40367</t>
  </si>
  <si>
    <t>40366</t>
  </si>
  <si>
    <t>42187</t>
  </si>
  <si>
    <t>05-12-2025</t>
  </si>
  <si>
    <t>42188</t>
  </si>
  <si>
    <t>42185</t>
  </si>
  <si>
    <t>148996</t>
  </si>
  <si>
    <t>FESC</t>
  </si>
  <si>
    <t>26-01-2025</t>
  </si>
  <si>
    <t>152823</t>
  </si>
  <si>
    <t>159781</t>
  </si>
  <si>
    <t>164843</t>
  </si>
  <si>
    <t>168013</t>
  </si>
  <si>
    <t>173654</t>
  </si>
  <si>
    <t>31-08-2025</t>
  </si>
  <si>
    <t>179736</t>
  </si>
  <si>
    <t>184207</t>
  </si>
  <si>
    <t>30-11-2025</t>
  </si>
  <si>
    <t>53838</t>
  </si>
  <si>
    <t>24-11-2025</t>
  </si>
  <si>
    <t>3710</t>
  </si>
  <si>
    <t>FCR</t>
  </si>
  <si>
    <t>4108</t>
  </si>
  <si>
    <t>4106</t>
  </si>
  <si>
    <t>4468</t>
  </si>
  <si>
    <t>14426</t>
  </si>
  <si>
    <t>15159</t>
  </si>
  <si>
    <t>16000</t>
  </si>
  <si>
    <t>17363</t>
  </si>
  <si>
    <t>17316</t>
  </si>
  <si>
    <t>247033</t>
  </si>
  <si>
    <t>249078</t>
  </si>
  <si>
    <t>252544</t>
  </si>
  <si>
    <t>03-05-2025</t>
  </si>
  <si>
    <t>272600</t>
  </si>
  <si>
    <t>141620</t>
  </si>
  <si>
    <t>FEDO</t>
  </si>
  <si>
    <t>141619</t>
  </si>
  <si>
    <t>141618</t>
  </si>
  <si>
    <t>145610</t>
  </si>
  <si>
    <t>materiales de construccion casa</t>
  </si>
  <si>
    <t>80283</t>
  </si>
  <si>
    <t>FEGC</t>
  </si>
  <si>
    <t>16-01-2025</t>
  </si>
  <si>
    <t>2400122</t>
  </si>
  <si>
    <t>KC</t>
  </si>
  <si>
    <t>800156889</t>
  </si>
  <si>
    <t>DISTRIBUIDORA KIRAMAR S.A.S.</t>
  </si>
  <si>
    <t>2402449</t>
  </si>
  <si>
    <t>materiales de construccion</t>
  </si>
  <si>
    <t>2411515</t>
  </si>
  <si>
    <t>2407063</t>
  </si>
  <si>
    <t>03-03-2025</t>
  </si>
  <si>
    <t>2417493</t>
  </si>
  <si>
    <t>2424610</t>
  </si>
  <si>
    <t>2424616</t>
  </si>
  <si>
    <t>2427454</t>
  </si>
  <si>
    <t>2443531</t>
  </si>
  <si>
    <t>2463352</t>
  </si>
  <si>
    <t>180</t>
  </si>
  <si>
    <t>21526</t>
  </si>
  <si>
    <t>890927357</t>
  </si>
  <si>
    <t>DISTRIBUIDORA PERSAL S.A.S</t>
  </si>
  <si>
    <t>22946</t>
  </si>
  <si>
    <t>10790</t>
  </si>
  <si>
    <t>FEL</t>
  </si>
  <si>
    <t>12049</t>
  </si>
  <si>
    <t>14251</t>
  </si>
  <si>
    <t>13976</t>
  </si>
  <si>
    <t>24-10-2025</t>
  </si>
  <si>
    <t>12544</t>
  </si>
  <si>
    <t>13065</t>
  </si>
  <si>
    <t>20-10-2025</t>
  </si>
  <si>
    <t>15085</t>
  </si>
  <si>
    <t>838168</t>
  </si>
  <si>
    <t>FEP</t>
  </si>
  <si>
    <t>892201114</t>
  </si>
  <si>
    <t>DISTRIBUIDORA TROPICAL DE SUCRE S.A.S.</t>
  </si>
  <si>
    <t>831069</t>
  </si>
  <si>
    <t>836014</t>
  </si>
  <si>
    <t>836667</t>
  </si>
  <si>
    <t>845230</t>
  </si>
  <si>
    <t>10-02-2025</t>
  </si>
  <si>
    <t>845104</t>
  </si>
  <si>
    <t>845083</t>
  </si>
  <si>
    <t>846910</t>
  </si>
  <si>
    <t>13-02-2025</t>
  </si>
  <si>
    <t>852150</t>
  </si>
  <si>
    <t>851897</t>
  </si>
  <si>
    <t>853255</t>
  </si>
  <si>
    <t>26-02-2025</t>
  </si>
  <si>
    <t>853866</t>
  </si>
  <si>
    <t>862668</t>
  </si>
  <si>
    <t>18-03-2025</t>
  </si>
  <si>
    <t>864167</t>
  </si>
  <si>
    <t>880797</t>
  </si>
  <si>
    <t>876840</t>
  </si>
  <si>
    <t>21-04-2025</t>
  </si>
  <si>
    <t>873419</t>
  </si>
  <si>
    <t>10-04-2025</t>
  </si>
  <si>
    <t>872911</t>
  </si>
  <si>
    <t>871520</t>
  </si>
  <si>
    <t>07-04-2025</t>
  </si>
  <si>
    <t>891536</t>
  </si>
  <si>
    <t>890612</t>
  </si>
  <si>
    <t>890552</t>
  </si>
  <si>
    <t>889132</t>
  </si>
  <si>
    <t>884069</t>
  </si>
  <si>
    <t>910696</t>
  </si>
  <si>
    <t>899828</t>
  </si>
  <si>
    <t>905669</t>
  </si>
  <si>
    <t>899884</t>
  </si>
  <si>
    <t>929400</t>
  </si>
  <si>
    <t>927594</t>
  </si>
  <si>
    <t>927127</t>
  </si>
  <si>
    <t>926285</t>
  </si>
  <si>
    <t>926281</t>
  </si>
  <si>
    <t>925853</t>
  </si>
  <si>
    <t>923618</t>
  </si>
  <si>
    <t>22-07-2025</t>
  </si>
  <si>
    <t>935432</t>
  </si>
  <si>
    <t>936242</t>
  </si>
  <si>
    <t>938230</t>
  </si>
  <si>
    <t>938146</t>
  </si>
  <si>
    <t>938145</t>
  </si>
  <si>
    <t>940057</t>
  </si>
  <si>
    <t>951202</t>
  </si>
  <si>
    <t>951076</t>
  </si>
  <si>
    <t>944094</t>
  </si>
  <si>
    <t>08-09-2025</t>
  </si>
  <si>
    <t>954717</t>
  </si>
  <si>
    <t>959605</t>
  </si>
  <si>
    <t>15-10-2025</t>
  </si>
  <si>
    <t>961860</t>
  </si>
  <si>
    <t>961824</t>
  </si>
  <si>
    <t>963038</t>
  </si>
  <si>
    <t>963032</t>
  </si>
  <si>
    <t>966250</t>
  </si>
  <si>
    <t>979061</t>
  </si>
  <si>
    <t>28-11-2025</t>
  </si>
  <si>
    <t>978765</t>
  </si>
  <si>
    <t>974227</t>
  </si>
  <si>
    <t>971637</t>
  </si>
  <si>
    <t>11-11-2025</t>
  </si>
  <si>
    <t>985352</t>
  </si>
  <si>
    <t>983919</t>
  </si>
  <si>
    <t>983414</t>
  </si>
  <si>
    <t>10-12-2025</t>
  </si>
  <si>
    <t>1821</t>
  </si>
  <si>
    <t>1822</t>
  </si>
  <si>
    <t>2091</t>
  </si>
  <si>
    <t>2179</t>
  </si>
  <si>
    <t>2203</t>
  </si>
  <si>
    <t>2180</t>
  </si>
  <si>
    <t>2419</t>
  </si>
  <si>
    <t>02-04-2025</t>
  </si>
  <si>
    <t>4385</t>
  </si>
  <si>
    <t>19-12-2025</t>
  </si>
  <si>
    <t>4257</t>
  </si>
  <si>
    <t>134077</t>
  </si>
  <si>
    <t>FEDC</t>
  </si>
  <si>
    <t>134078</t>
  </si>
  <si>
    <t>134079</t>
  </si>
  <si>
    <t>135499</t>
  </si>
  <si>
    <t>135495</t>
  </si>
  <si>
    <t>135500</t>
  </si>
  <si>
    <t>136451</t>
  </si>
  <si>
    <t>137279</t>
  </si>
  <si>
    <t>137278</t>
  </si>
  <si>
    <t>137280</t>
  </si>
  <si>
    <t>138178</t>
  </si>
  <si>
    <t>138930</t>
  </si>
  <si>
    <t>138929</t>
  </si>
  <si>
    <t>141247</t>
  </si>
  <si>
    <t>141245</t>
  </si>
  <si>
    <t>139852</t>
  </si>
  <si>
    <t>141246</t>
  </si>
  <si>
    <t>143269</t>
  </si>
  <si>
    <t>142414</t>
  </si>
  <si>
    <t>142417</t>
  </si>
  <si>
    <t>142415</t>
  </si>
  <si>
    <t>145185</t>
  </si>
  <si>
    <t>145187</t>
  </si>
  <si>
    <t>145186</t>
  </si>
  <si>
    <t>144104</t>
  </si>
  <si>
    <t>09-07-2025</t>
  </si>
  <si>
    <t>146966</t>
  </si>
  <si>
    <t>146085</t>
  </si>
  <si>
    <t>146952</t>
  </si>
  <si>
    <t>146086</t>
  </si>
  <si>
    <t>146962</t>
  </si>
  <si>
    <t>149555</t>
  </si>
  <si>
    <t>149565</t>
  </si>
  <si>
    <t>147894</t>
  </si>
  <si>
    <t>148805</t>
  </si>
  <si>
    <t>148806</t>
  </si>
  <si>
    <t>149718</t>
  </si>
  <si>
    <t>151860</t>
  </si>
  <si>
    <t>151855</t>
  </si>
  <si>
    <t>151861</t>
  </si>
  <si>
    <t>153976</t>
  </si>
  <si>
    <t>153978</t>
  </si>
  <si>
    <t>153974</t>
  </si>
  <si>
    <t>153977</t>
  </si>
  <si>
    <t>153975</t>
  </si>
  <si>
    <t>156335</t>
  </si>
  <si>
    <t>156341</t>
  </si>
  <si>
    <t>156331</t>
  </si>
  <si>
    <t>156334</t>
  </si>
  <si>
    <t>22808</t>
  </si>
  <si>
    <t>FEDF</t>
  </si>
  <si>
    <t>64356</t>
  </si>
  <si>
    <t>916</t>
  </si>
  <si>
    <t>FMPE</t>
  </si>
  <si>
    <t>80723553</t>
  </si>
  <si>
    <t>EDIER DARIO JAIMES</t>
  </si>
  <si>
    <t>1558</t>
  </si>
  <si>
    <t>1557</t>
  </si>
  <si>
    <t>1590</t>
  </si>
  <si>
    <t>1589</t>
  </si>
  <si>
    <t>1588</t>
  </si>
  <si>
    <t>4474</t>
  </si>
  <si>
    <t>5782</t>
  </si>
  <si>
    <t>5781</t>
  </si>
  <si>
    <t>2861</t>
  </si>
  <si>
    <t>FEES</t>
  </si>
  <si>
    <t>23-04-2025</t>
  </si>
  <si>
    <t>3094</t>
  </si>
  <si>
    <t>3226</t>
  </si>
  <si>
    <t>205169</t>
  </si>
  <si>
    <t>L1</t>
  </si>
  <si>
    <t>800177119</t>
  </si>
  <si>
    <t>ESPUMADOS DEL LITORAL S.A.</t>
  </si>
  <si>
    <t>206303</t>
  </si>
  <si>
    <t>209895</t>
  </si>
  <si>
    <t>209884</t>
  </si>
  <si>
    <t>NO EMITIERON NOTA CREDITO</t>
  </si>
  <si>
    <t>210742</t>
  </si>
  <si>
    <t>22-02-2025</t>
  </si>
  <si>
    <t>210816</t>
  </si>
  <si>
    <t>210992</t>
  </si>
  <si>
    <t>25-02-2025</t>
  </si>
  <si>
    <t>211190</t>
  </si>
  <si>
    <t>211182</t>
  </si>
  <si>
    <t>211300</t>
  </si>
  <si>
    <t>222154</t>
  </si>
  <si>
    <t>221975</t>
  </si>
  <si>
    <t>221683</t>
  </si>
  <si>
    <t>221390</t>
  </si>
  <si>
    <t>220798</t>
  </si>
  <si>
    <t>220627</t>
  </si>
  <si>
    <t>22-05-2025</t>
  </si>
  <si>
    <t>219920</t>
  </si>
  <si>
    <t>222740</t>
  </si>
  <si>
    <t>228573</t>
  </si>
  <si>
    <t>234499</t>
  </si>
  <si>
    <t>234498</t>
  </si>
  <si>
    <t>234006</t>
  </si>
  <si>
    <t>233678</t>
  </si>
  <si>
    <t>233677</t>
  </si>
  <si>
    <t>241283</t>
  </si>
  <si>
    <t>241282</t>
  </si>
  <si>
    <t>241281</t>
  </si>
  <si>
    <t>241022</t>
  </si>
  <si>
    <t>241021</t>
  </si>
  <si>
    <t>14767</t>
  </si>
  <si>
    <t>OBRQ</t>
  </si>
  <si>
    <t>17768</t>
  </si>
  <si>
    <t>17975</t>
  </si>
  <si>
    <t>17724</t>
  </si>
  <si>
    <t>19198</t>
  </si>
  <si>
    <t>19690</t>
  </si>
  <si>
    <t>21289</t>
  </si>
  <si>
    <t>21287</t>
  </si>
  <si>
    <t>21939</t>
  </si>
  <si>
    <t>22687</t>
  </si>
  <si>
    <t>28-12-2025</t>
  </si>
  <si>
    <t>50186</t>
  </si>
  <si>
    <t>FEY</t>
  </si>
  <si>
    <t>49721</t>
  </si>
  <si>
    <t>14472</t>
  </si>
  <si>
    <t>14956</t>
  </si>
  <si>
    <t>14958</t>
  </si>
  <si>
    <t>16073</t>
  </si>
  <si>
    <t>20742</t>
  </si>
  <si>
    <t>21440</t>
  </si>
  <si>
    <t>2716</t>
  </si>
  <si>
    <t>FB</t>
  </si>
  <si>
    <t>25-03-2025</t>
  </si>
  <si>
    <t>3997</t>
  </si>
  <si>
    <t>FASHION BALLOONS S.A.S (BOMBAS)</t>
  </si>
  <si>
    <t>1666</t>
  </si>
  <si>
    <t>2127</t>
  </si>
  <si>
    <t>435</t>
  </si>
  <si>
    <t>433</t>
  </si>
  <si>
    <t>430</t>
  </si>
  <si>
    <t>3218</t>
  </si>
  <si>
    <t>FEF</t>
  </si>
  <si>
    <t>15376</t>
  </si>
  <si>
    <t>20-02-2025</t>
  </si>
  <si>
    <t>FLORINDA SUAREZ CASTILLO</t>
  </si>
  <si>
    <t>15390</t>
  </si>
  <si>
    <t>15536</t>
  </si>
  <si>
    <t>15746</t>
  </si>
  <si>
    <t>11637</t>
  </si>
  <si>
    <t>FEF4</t>
  </si>
  <si>
    <t>15962</t>
  </si>
  <si>
    <t>GALLEGO GOMEZ WILLIAM DARIO-comercializadoramegafantasy</t>
  </si>
  <si>
    <t>516347</t>
  </si>
  <si>
    <t>MT07</t>
  </si>
  <si>
    <t>860001697</t>
  </si>
  <si>
    <t>GASEOSAS LUX S.A.S.</t>
  </si>
  <si>
    <t>480131</t>
  </si>
  <si>
    <t>03-01-2025</t>
  </si>
  <si>
    <t>495493</t>
  </si>
  <si>
    <t>522364</t>
  </si>
  <si>
    <t>534236</t>
  </si>
  <si>
    <t>557563</t>
  </si>
  <si>
    <t>598285</t>
  </si>
  <si>
    <t>609241</t>
  </si>
  <si>
    <t>574937</t>
  </si>
  <si>
    <t>586862</t>
  </si>
  <si>
    <t>659987</t>
  </si>
  <si>
    <t>648934</t>
  </si>
  <si>
    <t>18-04-2025</t>
  </si>
  <si>
    <t>638267</t>
  </si>
  <si>
    <t>621037</t>
  </si>
  <si>
    <t>694633</t>
  </si>
  <si>
    <t>760983</t>
  </si>
  <si>
    <t>739136</t>
  </si>
  <si>
    <t>728441</t>
  </si>
  <si>
    <t>07-06-2025</t>
  </si>
  <si>
    <t>810159</t>
  </si>
  <si>
    <t>794666</t>
  </si>
  <si>
    <t>783203</t>
  </si>
  <si>
    <t>826090</t>
  </si>
  <si>
    <t>09-08-2025</t>
  </si>
  <si>
    <t>836806</t>
  </si>
  <si>
    <t>847758</t>
  </si>
  <si>
    <t>900643</t>
  </si>
  <si>
    <t>890244</t>
  </si>
  <si>
    <t>869251</t>
  </si>
  <si>
    <t>911486</t>
  </si>
  <si>
    <t>934351</t>
  </si>
  <si>
    <t>1002286</t>
  </si>
  <si>
    <t>978225</t>
  </si>
  <si>
    <t>15-11-2025</t>
  </si>
  <si>
    <t>966407</t>
  </si>
  <si>
    <t>954559</t>
  </si>
  <si>
    <t>1023558</t>
  </si>
  <si>
    <t>1013263</t>
  </si>
  <si>
    <t>1033582</t>
  </si>
  <si>
    <t>1050254</t>
  </si>
  <si>
    <t>7195</t>
  </si>
  <si>
    <t>EF</t>
  </si>
  <si>
    <t>7246</t>
  </si>
  <si>
    <t>7355</t>
  </si>
  <si>
    <t>7425</t>
  </si>
  <si>
    <t>7516</t>
  </si>
  <si>
    <t>7697</t>
  </si>
  <si>
    <t>7723</t>
  </si>
  <si>
    <t>83487</t>
  </si>
  <si>
    <t>84586</t>
  </si>
  <si>
    <t>87666</t>
  </si>
  <si>
    <t>86692</t>
  </si>
  <si>
    <t>15-02-2025</t>
  </si>
  <si>
    <t>85582</t>
  </si>
  <si>
    <t>92854</t>
  </si>
  <si>
    <t>96561</t>
  </si>
  <si>
    <t>113743</t>
  </si>
  <si>
    <t>21-08-2025</t>
  </si>
  <si>
    <t>127007</t>
  </si>
  <si>
    <t>71043</t>
  </si>
  <si>
    <t>70641</t>
  </si>
  <si>
    <t>71182</t>
  </si>
  <si>
    <t>71413</t>
  </si>
  <si>
    <t>01-03-2025</t>
  </si>
  <si>
    <t>75142</t>
  </si>
  <si>
    <t>80910</t>
  </si>
  <si>
    <t>81696</t>
  </si>
  <si>
    <t>82493</t>
  </si>
  <si>
    <t>454</t>
  </si>
  <si>
    <t>FEVT</t>
  </si>
  <si>
    <t>572997</t>
  </si>
  <si>
    <t>MV</t>
  </si>
  <si>
    <t>890926933</t>
  </si>
  <si>
    <t>GRUPO LITORAL S.A.S.</t>
  </si>
  <si>
    <t>572998</t>
  </si>
  <si>
    <t>571723</t>
  </si>
  <si>
    <t>574047</t>
  </si>
  <si>
    <t>575710</t>
  </si>
  <si>
    <t>576020</t>
  </si>
  <si>
    <t>578233</t>
  </si>
  <si>
    <t>576619</t>
  </si>
  <si>
    <t>10-03-2025</t>
  </si>
  <si>
    <t>580745</t>
  </si>
  <si>
    <t>580716</t>
  </si>
  <si>
    <t>583885</t>
  </si>
  <si>
    <t>583770</t>
  </si>
  <si>
    <t>586389</t>
  </si>
  <si>
    <t>586335</t>
  </si>
  <si>
    <t>589755</t>
  </si>
  <si>
    <t>589756</t>
  </si>
  <si>
    <t>591306</t>
  </si>
  <si>
    <t>591967</t>
  </si>
  <si>
    <t>594963</t>
  </si>
  <si>
    <t>597050</t>
  </si>
  <si>
    <t>598493</t>
  </si>
  <si>
    <t>598495</t>
  </si>
  <si>
    <t>598494</t>
  </si>
  <si>
    <t>601088</t>
  </si>
  <si>
    <t>601087</t>
  </si>
  <si>
    <t>601089</t>
  </si>
  <si>
    <t>600304</t>
  </si>
  <si>
    <t>598914</t>
  </si>
  <si>
    <t>602805</t>
  </si>
  <si>
    <t>603712</t>
  </si>
  <si>
    <t>603713</t>
  </si>
  <si>
    <t>292</t>
  </si>
  <si>
    <t>293</t>
  </si>
  <si>
    <t>297</t>
  </si>
  <si>
    <t>311</t>
  </si>
  <si>
    <t>356</t>
  </si>
  <si>
    <t>72945</t>
  </si>
  <si>
    <t>860007873</t>
  </si>
  <si>
    <t>HARTUNG Y COMPAÑIA S A S</t>
  </si>
  <si>
    <t>75028</t>
  </si>
  <si>
    <t>75949</t>
  </si>
  <si>
    <t>01-07-2025</t>
  </si>
  <si>
    <t>78958</t>
  </si>
  <si>
    <t>78104</t>
  </si>
  <si>
    <t>80103</t>
  </si>
  <si>
    <t>05-11-2025</t>
  </si>
  <si>
    <t>81195</t>
  </si>
  <si>
    <t>8282</t>
  </si>
  <si>
    <t>P</t>
  </si>
  <si>
    <t>8497</t>
  </si>
  <si>
    <t>8633</t>
  </si>
  <si>
    <t>8991</t>
  </si>
  <si>
    <t>99</t>
  </si>
  <si>
    <t>DW</t>
  </si>
  <si>
    <t>9186</t>
  </si>
  <si>
    <t>8601</t>
  </si>
  <si>
    <t>IPME</t>
  </si>
  <si>
    <t>515</t>
  </si>
  <si>
    <t>LUC</t>
  </si>
  <si>
    <t>26-10-2025</t>
  </si>
  <si>
    <t>201</t>
  </si>
  <si>
    <t>91</t>
  </si>
  <si>
    <t>92</t>
  </si>
  <si>
    <t>533</t>
  </si>
  <si>
    <t>IETC</t>
  </si>
  <si>
    <t>7026</t>
  </si>
  <si>
    <t>19</t>
  </si>
  <si>
    <t>16-10-2025</t>
  </si>
  <si>
    <t>131</t>
  </si>
  <si>
    <t>FEAP</t>
  </si>
  <si>
    <t>901933991</t>
  </si>
  <si>
    <t>IMPORTADORA AP SAS (BOMBAS)</t>
  </si>
  <si>
    <t>IA</t>
  </si>
  <si>
    <t>901811743</t>
  </si>
  <si>
    <t>IMPORTADORA ASIA NUEVO MUNDO SAS (IANM SAS)</t>
  </si>
  <si>
    <t>22355</t>
  </si>
  <si>
    <t>FEID</t>
  </si>
  <si>
    <t>22350</t>
  </si>
  <si>
    <t>22351</t>
  </si>
  <si>
    <t>22357</t>
  </si>
  <si>
    <t>25025</t>
  </si>
  <si>
    <t>23662</t>
  </si>
  <si>
    <t>1195734</t>
  </si>
  <si>
    <t>FEMT</t>
  </si>
  <si>
    <t>890903858</t>
  </si>
  <si>
    <t>INDUSTRIA NACIONAL DE GASEOSAS S A</t>
  </si>
  <si>
    <t>1110136</t>
  </si>
  <si>
    <t>02-01-2025</t>
  </si>
  <si>
    <t>1120511</t>
  </si>
  <si>
    <t>05-01-2025</t>
  </si>
  <si>
    <t>1132837</t>
  </si>
  <si>
    <t>09-01-2025</t>
  </si>
  <si>
    <t>1143823</t>
  </si>
  <si>
    <t>1168139</t>
  </si>
  <si>
    <t>20-01-2025</t>
  </si>
  <si>
    <t>1178511</t>
  </si>
  <si>
    <t>1182875</t>
  </si>
  <si>
    <t>1218975</t>
  </si>
  <si>
    <t>1232632</t>
  </si>
  <si>
    <t>1246558</t>
  </si>
  <si>
    <t>1261134</t>
  </si>
  <si>
    <t>1261133</t>
  </si>
  <si>
    <t>1268981</t>
  </si>
  <si>
    <t>1273128</t>
  </si>
  <si>
    <t>1297626</t>
  </si>
  <si>
    <t>1380575</t>
  </si>
  <si>
    <t>1321551</t>
  </si>
  <si>
    <t>1334336</t>
  </si>
  <si>
    <t>1345554</t>
  </si>
  <si>
    <t>1345555</t>
  </si>
  <si>
    <t>1358048</t>
  </si>
  <si>
    <t>13-03-2025</t>
  </si>
  <si>
    <t>1498077</t>
  </si>
  <si>
    <t>1472450</t>
  </si>
  <si>
    <t>1461690</t>
  </si>
  <si>
    <t>1446787</t>
  </si>
  <si>
    <t>1434055</t>
  </si>
  <si>
    <t>1423129</t>
  </si>
  <si>
    <t>1415016</t>
  </si>
  <si>
    <t>1559551</t>
  </si>
  <si>
    <t>1559552</t>
  </si>
  <si>
    <t>1549157</t>
  </si>
  <si>
    <t>1537910</t>
  </si>
  <si>
    <t>1527289</t>
  </si>
  <si>
    <t>1514918</t>
  </si>
  <si>
    <t>5739</t>
  </si>
  <si>
    <t>FVMT</t>
  </si>
  <si>
    <t>INDUSTRIA NACIONAL DE GASEOSAS S.A.S.</t>
  </si>
  <si>
    <t>698</t>
  </si>
  <si>
    <t>21-05-2025</t>
  </si>
  <si>
    <t>128937</t>
  </si>
  <si>
    <t>115951</t>
  </si>
  <si>
    <t>115952</t>
  </si>
  <si>
    <t>104702</t>
  </si>
  <si>
    <t>90480</t>
  </si>
  <si>
    <t>77421</t>
  </si>
  <si>
    <t>64225</t>
  </si>
  <si>
    <t>52215</t>
  </si>
  <si>
    <t>264263</t>
  </si>
  <si>
    <t>239395</t>
  </si>
  <si>
    <t>223194</t>
  </si>
  <si>
    <t>21-07-2025</t>
  </si>
  <si>
    <t>223196</t>
  </si>
  <si>
    <t>194987</t>
  </si>
  <si>
    <t>194986</t>
  </si>
  <si>
    <t>181444</t>
  </si>
  <si>
    <t>167423</t>
  </si>
  <si>
    <t>154578</t>
  </si>
  <si>
    <t>154579</t>
  </si>
  <si>
    <t>268779</t>
  </si>
  <si>
    <t>276940</t>
  </si>
  <si>
    <t>289789</t>
  </si>
  <si>
    <t>298402</t>
  </si>
  <si>
    <t>301651</t>
  </si>
  <si>
    <t>11-08-2025</t>
  </si>
  <si>
    <t>301652</t>
  </si>
  <si>
    <t>335957</t>
  </si>
  <si>
    <t>471153</t>
  </si>
  <si>
    <t>414063</t>
  </si>
  <si>
    <t>400548</t>
  </si>
  <si>
    <t>400546</t>
  </si>
  <si>
    <t>391137</t>
  </si>
  <si>
    <t>391006</t>
  </si>
  <si>
    <t>376060</t>
  </si>
  <si>
    <t>376063</t>
  </si>
  <si>
    <t>480482</t>
  </si>
  <si>
    <t>480480</t>
  </si>
  <si>
    <t>487477</t>
  </si>
  <si>
    <t>492273</t>
  </si>
  <si>
    <t>506155</t>
  </si>
  <si>
    <t>540739</t>
  </si>
  <si>
    <t>554258</t>
  </si>
  <si>
    <t>566916</t>
  </si>
  <si>
    <t>579952</t>
  </si>
  <si>
    <t>677005</t>
  </si>
  <si>
    <t>664212</t>
  </si>
  <si>
    <t>635650</t>
  </si>
  <si>
    <t>625542</t>
  </si>
  <si>
    <t>613228</t>
  </si>
  <si>
    <t>601339</t>
  </si>
  <si>
    <t>590074</t>
  </si>
  <si>
    <t>02-11-2025</t>
  </si>
  <si>
    <t>748427</t>
  </si>
  <si>
    <t>725582</t>
  </si>
  <si>
    <t>714160</t>
  </si>
  <si>
    <t>07-12-2025</t>
  </si>
  <si>
    <t>714161</t>
  </si>
  <si>
    <t>703248</t>
  </si>
  <si>
    <t>703247</t>
  </si>
  <si>
    <t>689474</t>
  </si>
  <si>
    <t>781944</t>
  </si>
  <si>
    <t>7446</t>
  </si>
  <si>
    <t>7581</t>
  </si>
  <si>
    <t>7557</t>
  </si>
  <si>
    <t>17-11-2025</t>
  </si>
  <si>
    <t>3810</t>
  </si>
  <si>
    <t>S</t>
  </si>
  <si>
    <t>3891</t>
  </si>
  <si>
    <t>3910</t>
  </si>
  <si>
    <t>21-06-2025</t>
  </si>
  <si>
    <t>6023</t>
  </si>
  <si>
    <t>6272</t>
  </si>
  <si>
    <t>6397</t>
  </si>
  <si>
    <t>6566</t>
  </si>
  <si>
    <t>6925</t>
  </si>
  <si>
    <t>6916</t>
  </si>
  <si>
    <t>7006</t>
  </si>
  <si>
    <t>42790</t>
  </si>
  <si>
    <t>46450</t>
  </si>
  <si>
    <t>46446</t>
  </si>
  <si>
    <t>49854</t>
  </si>
  <si>
    <t>101047</t>
  </si>
  <si>
    <t>101815</t>
  </si>
  <si>
    <t>100528</t>
  </si>
  <si>
    <t>105100</t>
  </si>
  <si>
    <t>105059</t>
  </si>
  <si>
    <t>109319</t>
  </si>
  <si>
    <t>109392</t>
  </si>
  <si>
    <t>112694</t>
  </si>
  <si>
    <t>112453</t>
  </si>
  <si>
    <t>119091</t>
  </si>
  <si>
    <t>118418</t>
  </si>
  <si>
    <t>118184</t>
  </si>
  <si>
    <t>121764</t>
  </si>
  <si>
    <t>121414</t>
  </si>
  <si>
    <t>121161</t>
  </si>
  <si>
    <t>538</t>
  </si>
  <si>
    <t>534</t>
  </si>
  <si>
    <t>53694</t>
  </si>
  <si>
    <t>TER2</t>
  </si>
  <si>
    <t>900402733</t>
  </si>
  <si>
    <t>INVERSIONES FERSA S.A.S.</t>
  </si>
  <si>
    <t>15101</t>
  </si>
  <si>
    <t>14985</t>
  </si>
  <si>
    <t>15842</t>
  </si>
  <si>
    <t>369340</t>
  </si>
  <si>
    <t>367591</t>
  </si>
  <si>
    <t>365858</t>
  </si>
  <si>
    <t>365814</t>
  </si>
  <si>
    <t>372168</t>
  </si>
  <si>
    <t>372080</t>
  </si>
  <si>
    <t>388216</t>
  </si>
  <si>
    <t>404726</t>
  </si>
  <si>
    <t>408653</t>
  </si>
  <si>
    <t>413363</t>
  </si>
  <si>
    <t>11-10-2025</t>
  </si>
  <si>
    <t>415392</t>
  </si>
  <si>
    <t>415383</t>
  </si>
  <si>
    <t>421834</t>
  </si>
  <si>
    <t>421794</t>
  </si>
  <si>
    <t>418609</t>
  </si>
  <si>
    <t>12-11-2025</t>
  </si>
  <si>
    <t>421891</t>
  </si>
  <si>
    <t>424658</t>
  </si>
  <si>
    <t>426055</t>
  </si>
  <si>
    <t>425696</t>
  </si>
  <si>
    <t>423416</t>
  </si>
  <si>
    <t>422337</t>
  </si>
  <si>
    <t>424030</t>
  </si>
  <si>
    <t>424686</t>
  </si>
  <si>
    <t>424684</t>
  </si>
  <si>
    <t>423778</t>
  </si>
  <si>
    <t>422307</t>
  </si>
  <si>
    <t>422306</t>
  </si>
  <si>
    <t>6231</t>
  </si>
  <si>
    <t>10444</t>
  </si>
  <si>
    <t>PEEP</t>
  </si>
  <si>
    <t>901684058</t>
  </si>
  <si>
    <t>IRP ACCESORIOS S.A.S.</t>
  </si>
  <si>
    <t>:O-47</t>
  </si>
  <si>
    <t>10443</t>
  </si>
  <si>
    <t>10606</t>
  </si>
  <si>
    <t>10604</t>
  </si>
  <si>
    <t>10603</t>
  </si>
  <si>
    <t>12081</t>
  </si>
  <si>
    <t>26445</t>
  </si>
  <si>
    <t>FEG</t>
  </si>
  <si>
    <t>27567</t>
  </si>
  <si>
    <t>7056</t>
  </si>
  <si>
    <t>900565053</t>
  </si>
  <si>
    <t>JAMES TERRY GOMEZ PEREZ-variedadesjapon</t>
  </si>
  <si>
    <t>6410</t>
  </si>
  <si>
    <t>FEK</t>
  </si>
  <si>
    <t>6545</t>
  </si>
  <si>
    <t>FEKM</t>
  </si>
  <si>
    <t>900565115</t>
  </si>
  <si>
    <t>KINO COMPANY SAS</t>
  </si>
  <si>
    <t>6565</t>
  </si>
  <si>
    <t>1060</t>
  </si>
  <si>
    <t>38733</t>
  </si>
  <si>
    <t>38688</t>
  </si>
  <si>
    <t>39531</t>
  </si>
  <si>
    <t>40659</t>
  </si>
  <si>
    <t>14-07-2025</t>
  </si>
  <si>
    <t>42053</t>
  </si>
  <si>
    <t>41071</t>
  </si>
  <si>
    <t>30407</t>
  </si>
  <si>
    <t>30425</t>
  </si>
  <si>
    <t>30424</t>
  </si>
  <si>
    <t>30423</t>
  </si>
  <si>
    <t>31261</t>
  </si>
  <si>
    <t>32554</t>
  </si>
  <si>
    <t>32553</t>
  </si>
  <si>
    <t>33380</t>
  </si>
  <si>
    <t>33402</t>
  </si>
  <si>
    <t>34108</t>
  </si>
  <si>
    <t>34736</t>
  </si>
  <si>
    <t>34735</t>
  </si>
  <si>
    <t>35649</t>
  </si>
  <si>
    <t>35551</t>
  </si>
  <si>
    <t>747175</t>
  </si>
  <si>
    <t>860020609</t>
  </si>
  <si>
    <t>LABORATORIOS SMART S A S</t>
  </si>
  <si>
    <t>753185</t>
  </si>
  <si>
    <t>757529</t>
  </si>
  <si>
    <t>763925</t>
  </si>
  <si>
    <t>1855</t>
  </si>
  <si>
    <t>142G</t>
  </si>
  <si>
    <t>1828</t>
  </si>
  <si>
    <t>1923</t>
  </si>
  <si>
    <t>1957</t>
  </si>
  <si>
    <t>2262</t>
  </si>
  <si>
    <t>2543</t>
  </si>
  <si>
    <t>2522</t>
  </si>
  <si>
    <t>2575</t>
  </si>
  <si>
    <t>2589</t>
  </si>
  <si>
    <t>426504</t>
  </si>
  <si>
    <t>LNA1</t>
  </si>
  <si>
    <t>890900098</t>
  </si>
  <si>
    <t>LANDERS Y CIA S.A.S.</t>
  </si>
  <si>
    <t>434129</t>
  </si>
  <si>
    <t>445329</t>
  </si>
  <si>
    <t>448941</t>
  </si>
  <si>
    <t>461635</t>
  </si>
  <si>
    <t>469073</t>
  </si>
  <si>
    <t>478595</t>
  </si>
  <si>
    <t>479764</t>
  </si>
  <si>
    <t>488006</t>
  </si>
  <si>
    <t>493663</t>
  </si>
  <si>
    <t>512283</t>
  </si>
  <si>
    <t>511977</t>
  </si>
  <si>
    <t>515805</t>
  </si>
  <si>
    <t>2998</t>
  </si>
  <si>
    <t>LCS</t>
  </si>
  <si>
    <t>3208</t>
  </si>
  <si>
    <t>3495</t>
  </si>
  <si>
    <t>4073</t>
  </si>
  <si>
    <t>147774</t>
  </si>
  <si>
    <t>FEV1</t>
  </si>
  <si>
    <t>78695734</t>
  </si>
  <si>
    <t>LLANOS ALDANA MANUEL EZEQUIEL</t>
  </si>
  <si>
    <t>144437</t>
  </si>
  <si>
    <t>146288</t>
  </si>
  <si>
    <t>148600</t>
  </si>
  <si>
    <t>149406</t>
  </si>
  <si>
    <t>150270</t>
  </si>
  <si>
    <t>151163</t>
  </si>
  <si>
    <t>153670</t>
  </si>
  <si>
    <t>154504</t>
  </si>
  <si>
    <t>151982</t>
  </si>
  <si>
    <t>152840</t>
  </si>
  <si>
    <t>157661</t>
  </si>
  <si>
    <t>156857</t>
  </si>
  <si>
    <t>156048</t>
  </si>
  <si>
    <t>161934</t>
  </si>
  <si>
    <t>161056</t>
  </si>
  <si>
    <t>160212</t>
  </si>
  <si>
    <t>159319</t>
  </si>
  <si>
    <t>158511</t>
  </si>
  <si>
    <t>01-05-2025</t>
  </si>
  <si>
    <t>165287</t>
  </si>
  <si>
    <t>164552</t>
  </si>
  <si>
    <t>163635</t>
  </si>
  <si>
    <t>162741</t>
  </si>
  <si>
    <t>168774</t>
  </si>
  <si>
    <t>167910</t>
  </si>
  <si>
    <t>166128</t>
  </si>
  <si>
    <t>171363</t>
  </si>
  <si>
    <t>173126</t>
  </si>
  <si>
    <t>176731</t>
  </si>
  <si>
    <t>175829</t>
  </si>
  <si>
    <t>174971</t>
  </si>
  <si>
    <t>177572</t>
  </si>
  <si>
    <t>178473</t>
  </si>
  <si>
    <t>179381</t>
  </si>
  <si>
    <t>180321</t>
  </si>
  <si>
    <t>181232</t>
  </si>
  <si>
    <t>184700</t>
  </si>
  <si>
    <t>183869</t>
  </si>
  <si>
    <t>183042</t>
  </si>
  <si>
    <t>182065</t>
  </si>
  <si>
    <t>187324</t>
  </si>
  <si>
    <t>186448</t>
  </si>
  <si>
    <t>185593</t>
  </si>
  <si>
    <t>188201</t>
  </si>
  <si>
    <t>23056</t>
  </si>
  <si>
    <t>FL6</t>
  </si>
  <si>
    <t>900192769</t>
  </si>
  <si>
    <t>LLANTAS Y FILTROS SINU SAS</t>
  </si>
  <si>
    <t>12014</t>
  </si>
  <si>
    <t>LOPEZ MARIN OSWALDO ANTONIO</t>
  </si>
  <si>
    <t>2184295</t>
  </si>
  <si>
    <t>LOR1</t>
  </si>
  <si>
    <t>800212840</t>
  </si>
  <si>
    <t>L'Oréal Colombia SAS</t>
  </si>
  <si>
    <t>2184081</t>
  </si>
  <si>
    <t>2199210</t>
  </si>
  <si>
    <t>2199070</t>
  </si>
  <si>
    <t>2197850</t>
  </si>
  <si>
    <t>2212937</t>
  </si>
  <si>
    <t>2211952</t>
  </si>
  <si>
    <t>2227380</t>
  </si>
  <si>
    <t>2227917</t>
  </si>
  <si>
    <t>2242071</t>
  </si>
  <si>
    <t>2241924</t>
  </si>
  <si>
    <t>3361</t>
  </si>
  <si>
    <t>11363</t>
  </si>
  <si>
    <t>FVEM</t>
  </si>
  <si>
    <t>901585375</t>
  </si>
  <si>
    <t>MACROSABANA SAS</t>
  </si>
  <si>
    <t>12687</t>
  </si>
  <si>
    <t>16200</t>
  </si>
  <si>
    <t>17603</t>
  </si>
  <si>
    <t>19099</t>
  </si>
  <si>
    <t>20429</t>
  </si>
  <si>
    <t>20819</t>
  </si>
  <si>
    <t>25607</t>
  </si>
  <si>
    <t>27251</t>
  </si>
  <si>
    <t>22428</t>
  </si>
  <si>
    <t>24111</t>
  </si>
  <si>
    <t>32638</t>
  </si>
  <si>
    <t>30191</t>
  </si>
  <si>
    <t>28752</t>
  </si>
  <si>
    <t>40847</t>
  </si>
  <si>
    <t>46435</t>
  </si>
  <si>
    <t>30-06-2025</t>
  </si>
  <si>
    <t>43706</t>
  </si>
  <si>
    <t>42106</t>
  </si>
  <si>
    <t>52648</t>
  </si>
  <si>
    <t>51048</t>
  </si>
  <si>
    <t>54353</t>
  </si>
  <si>
    <t>55955</t>
  </si>
  <si>
    <t>57748</t>
  </si>
  <si>
    <t>61025</t>
  </si>
  <si>
    <t>6828</t>
  </si>
  <si>
    <t>MARIA FERNANDA RAMIREZ ALZATE</t>
  </si>
  <si>
    <t>5737</t>
  </si>
  <si>
    <t>MARIA FERNANDA RAMIREZ ALZATE-glamcosmetics</t>
  </si>
  <si>
    <t>5740</t>
  </si>
  <si>
    <t>1317</t>
  </si>
  <si>
    <t>1117</t>
  </si>
  <si>
    <t>FES</t>
  </si>
  <si>
    <t>1069</t>
  </si>
  <si>
    <t>240</t>
  </si>
  <si>
    <t>1267</t>
  </si>
  <si>
    <t>60868</t>
  </si>
  <si>
    <t>MEGATOYS SAS</t>
  </si>
  <si>
    <t>60513</t>
  </si>
  <si>
    <t>60869</t>
  </si>
  <si>
    <t>60512</t>
  </si>
  <si>
    <t>65533</t>
  </si>
  <si>
    <t>65351</t>
  </si>
  <si>
    <t>64638</t>
  </si>
  <si>
    <t>69328</t>
  </si>
  <si>
    <t>69130</t>
  </si>
  <si>
    <t>66107</t>
  </si>
  <si>
    <t>68561</t>
  </si>
  <si>
    <t>69418</t>
  </si>
  <si>
    <t>72060</t>
  </si>
  <si>
    <t>73067</t>
  </si>
  <si>
    <t>72248</t>
  </si>
  <si>
    <t>72437</t>
  </si>
  <si>
    <t>72293</t>
  </si>
  <si>
    <t>72063</t>
  </si>
  <si>
    <t>69855</t>
  </si>
  <si>
    <t>69819</t>
  </si>
  <si>
    <t>75093</t>
  </si>
  <si>
    <t>76300</t>
  </si>
  <si>
    <t>76615</t>
  </si>
  <si>
    <t>76616</t>
  </si>
  <si>
    <t>74019</t>
  </si>
  <si>
    <t>74214</t>
  </si>
  <si>
    <t>74017</t>
  </si>
  <si>
    <t>75359</t>
  </si>
  <si>
    <t>78270</t>
  </si>
  <si>
    <t>80058</t>
  </si>
  <si>
    <t>77858</t>
  </si>
  <si>
    <t>78029</t>
  </si>
  <si>
    <t>79195</t>
  </si>
  <si>
    <t>80102</t>
  </si>
  <si>
    <t>77916</t>
  </si>
  <si>
    <t>79733</t>
  </si>
  <si>
    <t>50120896</t>
  </si>
  <si>
    <t>QV4O</t>
  </si>
  <si>
    <t>50121448</t>
  </si>
  <si>
    <t>4127565</t>
  </si>
  <si>
    <t>QV6O</t>
  </si>
  <si>
    <t>50121379</t>
  </si>
  <si>
    <t>50121417</t>
  </si>
  <si>
    <t>50118672</t>
  </si>
  <si>
    <t>50121581</t>
  </si>
  <si>
    <t>50124376</t>
  </si>
  <si>
    <t>4128072</t>
  </si>
  <si>
    <t>4128392</t>
  </si>
  <si>
    <t>50127746</t>
  </si>
  <si>
    <t>50123892</t>
  </si>
  <si>
    <t>50123034</t>
  </si>
  <si>
    <t>4129173</t>
  </si>
  <si>
    <t>4128799</t>
  </si>
  <si>
    <t>50133116</t>
  </si>
  <si>
    <t>50131125</t>
  </si>
  <si>
    <t>50131395</t>
  </si>
  <si>
    <t>50128900</t>
  </si>
  <si>
    <t>50131232</t>
  </si>
  <si>
    <t>50139305</t>
  </si>
  <si>
    <t>50139216</t>
  </si>
  <si>
    <t>50138950</t>
  </si>
  <si>
    <t>50137854</t>
  </si>
  <si>
    <t>4129820</t>
  </si>
  <si>
    <t>50139158</t>
  </si>
  <si>
    <t>50139132</t>
  </si>
  <si>
    <t>50138133</t>
  </si>
  <si>
    <t>50137926</t>
  </si>
  <si>
    <t>50138956</t>
  </si>
  <si>
    <t>50135801</t>
  </si>
  <si>
    <t>50138036</t>
  </si>
  <si>
    <t>50136229</t>
  </si>
  <si>
    <t>4130983</t>
  </si>
  <si>
    <t>50144451</t>
  </si>
  <si>
    <t>4130780</t>
  </si>
  <si>
    <t>4130578</t>
  </si>
  <si>
    <t>50140000</t>
  </si>
  <si>
    <t>50140608</t>
  </si>
  <si>
    <t>50142484</t>
  </si>
  <si>
    <t>4131562</t>
  </si>
  <si>
    <t>4131746</t>
  </si>
  <si>
    <t>50147999</t>
  </si>
  <si>
    <t>50150288</t>
  </si>
  <si>
    <t>50147261</t>
  </si>
  <si>
    <t>4131886</t>
  </si>
  <si>
    <t>50153907</t>
  </si>
  <si>
    <t>4132477</t>
  </si>
  <si>
    <t>50157083</t>
  </si>
  <si>
    <t>50154759</t>
  </si>
  <si>
    <t>4133002</t>
  </si>
  <si>
    <t>50161047</t>
  </si>
  <si>
    <t>50161092</t>
  </si>
  <si>
    <t>50160818</t>
  </si>
  <si>
    <t>50160452</t>
  </si>
  <si>
    <t>4133745</t>
  </si>
  <si>
    <t>4133967</t>
  </si>
  <si>
    <t>4133467</t>
  </si>
  <si>
    <t>50169037</t>
  </si>
  <si>
    <t>50165193</t>
  </si>
  <si>
    <t>50168172</t>
  </si>
  <si>
    <t>50168038</t>
  </si>
  <si>
    <t>50171770</t>
  </si>
  <si>
    <t>4134887</t>
  </si>
  <si>
    <t>50170482</t>
  </si>
  <si>
    <t>4135608</t>
  </si>
  <si>
    <t>50178273</t>
  </si>
  <si>
    <t>22-11-2025</t>
  </si>
  <si>
    <t>50178838</t>
  </si>
  <si>
    <t>4136439</t>
  </si>
  <si>
    <t>4137010</t>
  </si>
  <si>
    <t>50184484</t>
  </si>
  <si>
    <t>8507</t>
  </si>
  <si>
    <t>46MT</t>
  </si>
  <si>
    <t>800176628</t>
  </si>
  <si>
    <t>MODAS Y DISEÑOS S A</t>
  </si>
  <si>
    <t>11609</t>
  </si>
  <si>
    <t>MU</t>
  </si>
  <si>
    <t>12294</t>
  </si>
  <si>
    <t>12735</t>
  </si>
  <si>
    <t>72796</t>
  </si>
  <si>
    <t>900274800</t>
  </si>
  <si>
    <t>MUNDIPLAS S.A.S.</t>
  </si>
  <si>
    <t>73518</t>
  </si>
  <si>
    <t>73544</t>
  </si>
  <si>
    <t>74659</t>
  </si>
  <si>
    <t>74658</t>
  </si>
  <si>
    <t>74894</t>
  </si>
  <si>
    <t>30-03-2025</t>
  </si>
  <si>
    <t>74892</t>
  </si>
  <si>
    <t>76693</t>
  </si>
  <si>
    <t>76686</t>
  </si>
  <si>
    <t>76687</t>
  </si>
  <si>
    <t>78802</t>
  </si>
  <si>
    <t>78803</t>
  </si>
  <si>
    <t>79414</t>
  </si>
  <si>
    <t>79725</t>
  </si>
  <si>
    <t>79696</t>
  </si>
  <si>
    <t>80036</t>
  </si>
  <si>
    <t>80035</t>
  </si>
  <si>
    <t>79476</t>
  </si>
  <si>
    <t>81036</t>
  </si>
  <si>
    <t>28-09-2025</t>
  </si>
  <si>
    <t>81037</t>
  </si>
  <si>
    <t>80606</t>
  </si>
  <si>
    <t>80607</t>
  </si>
  <si>
    <t>80605</t>
  </si>
  <si>
    <t>80587</t>
  </si>
  <si>
    <t>80588</t>
  </si>
  <si>
    <t>80589</t>
  </si>
  <si>
    <t>80367</t>
  </si>
  <si>
    <t>80368</t>
  </si>
  <si>
    <t>82130</t>
  </si>
  <si>
    <t>82378</t>
  </si>
  <si>
    <t>82377</t>
  </si>
  <si>
    <t>82379</t>
  </si>
  <si>
    <t>84418</t>
  </si>
  <si>
    <t>84417</t>
  </si>
  <si>
    <t>84378</t>
  </si>
  <si>
    <t>85727</t>
  </si>
  <si>
    <t>85725</t>
  </si>
  <si>
    <t>85728</t>
  </si>
  <si>
    <t>85726</t>
  </si>
  <si>
    <t>85862</t>
  </si>
  <si>
    <t>85864</t>
  </si>
  <si>
    <t>85863</t>
  </si>
  <si>
    <t>92272</t>
  </si>
  <si>
    <t>FVP</t>
  </si>
  <si>
    <t>93516</t>
  </si>
  <si>
    <t>94307</t>
  </si>
  <si>
    <t>94656</t>
  </si>
  <si>
    <t>14-10-2025</t>
  </si>
  <si>
    <t>116816</t>
  </si>
  <si>
    <t>VES</t>
  </si>
  <si>
    <t>120531</t>
  </si>
  <si>
    <t>120519</t>
  </si>
  <si>
    <t>124937</t>
  </si>
  <si>
    <t>26-05-2025</t>
  </si>
  <si>
    <t>128108</t>
  </si>
  <si>
    <t>130676</t>
  </si>
  <si>
    <t>132783</t>
  </si>
  <si>
    <t>135325</t>
  </si>
  <si>
    <t>135431</t>
  </si>
  <si>
    <t>138142</t>
  </si>
  <si>
    <t>139592</t>
  </si>
  <si>
    <t>9302</t>
  </si>
  <si>
    <t>FEVP</t>
  </si>
  <si>
    <t>9929</t>
  </si>
  <si>
    <t>10657</t>
  </si>
  <si>
    <t>290711</t>
  </si>
  <si>
    <t>292647</t>
  </si>
  <si>
    <t>292633</t>
  </si>
  <si>
    <t>296341</t>
  </si>
  <si>
    <t>296395</t>
  </si>
  <si>
    <t>295732</t>
  </si>
  <si>
    <t>294925</t>
  </si>
  <si>
    <t>298173</t>
  </si>
  <si>
    <t>298772</t>
  </si>
  <si>
    <t>301267</t>
  </si>
  <si>
    <t>301888</t>
  </si>
  <si>
    <t>301939</t>
  </si>
  <si>
    <t>303264</t>
  </si>
  <si>
    <t>303018</t>
  </si>
  <si>
    <t>309055</t>
  </si>
  <si>
    <t>31794</t>
  </si>
  <si>
    <t>864091</t>
  </si>
  <si>
    <t>YBE</t>
  </si>
  <si>
    <t>890300794</t>
  </si>
  <si>
    <t>PLASTICOS RIMAX S.A.S.</t>
  </si>
  <si>
    <t>866712</t>
  </si>
  <si>
    <t>889840</t>
  </si>
  <si>
    <t>889521</t>
  </si>
  <si>
    <t>891139</t>
  </si>
  <si>
    <t>892361</t>
  </si>
  <si>
    <t>918056</t>
  </si>
  <si>
    <t>3381</t>
  </si>
  <si>
    <t>PL</t>
  </si>
  <si>
    <t>3478</t>
  </si>
  <si>
    <t>4515</t>
  </si>
  <si>
    <t>4410</t>
  </si>
  <si>
    <t>5049</t>
  </si>
  <si>
    <t>13724</t>
  </si>
  <si>
    <t>PJR</t>
  </si>
  <si>
    <t>14922</t>
  </si>
  <si>
    <t>14748</t>
  </si>
  <si>
    <t>15038</t>
  </si>
  <si>
    <t>15838</t>
  </si>
  <si>
    <t>16341</t>
  </si>
  <si>
    <t>17265</t>
  </si>
  <si>
    <t>2177</t>
  </si>
  <si>
    <t>600712385</t>
  </si>
  <si>
    <t>860074450</t>
  </si>
  <si>
    <t>QUALA S.A.</t>
  </si>
  <si>
    <t>600731728</t>
  </si>
  <si>
    <t>600723689</t>
  </si>
  <si>
    <t>600744861</t>
  </si>
  <si>
    <t>27-04-2025</t>
  </si>
  <si>
    <t>600753765</t>
  </si>
  <si>
    <t>600752981</t>
  </si>
  <si>
    <t>600771428</t>
  </si>
  <si>
    <t>600761881</t>
  </si>
  <si>
    <t>600781095</t>
  </si>
  <si>
    <t>600780186</t>
  </si>
  <si>
    <t>600786624</t>
  </si>
  <si>
    <t>600799006</t>
  </si>
  <si>
    <t>600808647</t>
  </si>
  <si>
    <t>600824591</t>
  </si>
  <si>
    <t>600837083</t>
  </si>
  <si>
    <t>600846498</t>
  </si>
  <si>
    <t>1422</t>
  </si>
  <si>
    <t>1427</t>
  </si>
  <si>
    <t>1432</t>
  </si>
  <si>
    <t>1436</t>
  </si>
  <si>
    <t>1531</t>
  </si>
  <si>
    <t>1595</t>
  </si>
  <si>
    <t>10-05-2025</t>
  </si>
  <si>
    <t>1645</t>
  </si>
  <si>
    <t>RAM</t>
  </si>
  <si>
    <t>6807</t>
  </si>
  <si>
    <t>6806</t>
  </si>
  <si>
    <t>6978</t>
  </si>
  <si>
    <t>10544</t>
  </si>
  <si>
    <t>10543</t>
  </si>
  <si>
    <t>11116</t>
  </si>
  <si>
    <t>212122</t>
  </si>
  <si>
    <t>212183</t>
  </si>
  <si>
    <t>212123</t>
  </si>
  <si>
    <t>212184</t>
  </si>
  <si>
    <t>212374</t>
  </si>
  <si>
    <t>212373</t>
  </si>
  <si>
    <t>212</t>
  </si>
  <si>
    <t>RIMOPLASTICAS S.A.S.</t>
  </si>
  <si>
    <t>1664</t>
  </si>
  <si>
    <t>2153</t>
  </si>
  <si>
    <t>3090</t>
  </si>
  <si>
    <t>2678</t>
  </si>
  <si>
    <t>45261</t>
  </si>
  <si>
    <t>BQFE</t>
  </si>
  <si>
    <t>800023533</t>
  </si>
  <si>
    <t>RUMATEX DE COLOMBIA S.A.S.</t>
  </si>
  <si>
    <t>45644</t>
  </si>
  <si>
    <t>47413</t>
  </si>
  <si>
    <t>56894</t>
  </si>
  <si>
    <t>104383</t>
  </si>
  <si>
    <t>RQMA</t>
  </si>
  <si>
    <t>105308</t>
  </si>
  <si>
    <t>105894</t>
  </si>
  <si>
    <t>110897</t>
  </si>
  <si>
    <t>110893</t>
  </si>
  <si>
    <t>114564</t>
  </si>
  <si>
    <t>1584</t>
  </si>
  <si>
    <t>ELEC</t>
  </si>
  <si>
    <t>736697</t>
  </si>
  <si>
    <t>890101272</t>
  </si>
  <si>
    <t>SEMPERTEX DE COLOMBIA SAS</t>
  </si>
  <si>
    <t>736696</t>
  </si>
  <si>
    <t>737356</t>
  </si>
  <si>
    <t>752129</t>
  </si>
  <si>
    <t>752128</t>
  </si>
  <si>
    <t>765737</t>
  </si>
  <si>
    <t>52451</t>
  </si>
  <si>
    <t>58987</t>
  </si>
  <si>
    <t>64732</t>
  </si>
  <si>
    <t>69832</t>
  </si>
  <si>
    <t>71</t>
  </si>
  <si>
    <t>SM</t>
  </si>
  <si>
    <t>001H</t>
  </si>
  <si>
    <t>95</t>
  </si>
  <si>
    <t>226</t>
  </si>
  <si>
    <t>304</t>
  </si>
  <si>
    <t>1056</t>
  </si>
  <si>
    <t>914</t>
  </si>
  <si>
    <t>1220</t>
  </si>
  <si>
    <t>1219</t>
  </si>
  <si>
    <t>1766</t>
  </si>
  <si>
    <t>1347</t>
  </si>
  <si>
    <t>1763</t>
  </si>
  <si>
    <t>1779</t>
  </si>
  <si>
    <t>1777</t>
  </si>
  <si>
    <t>1778</t>
  </si>
  <si>
    <t>1776</t>
  </si>
  <si>
    <t>1788</t>
  </si>
  <si>
    <t>1787</t>
  </si>
  <si>
    <t>1849</t>
  </si>
  <si>
    <t>1781</t>
  </si>
  <si>
    <t>1838</t>
  </si>
  <si>
    <t>2460</t>
  </si>
  <si>
    <t>2551</t>
  </si>
  <si>
    <t>435536</t>
  </si>
  <si>
    <t>C219</t>
  </si>
  <si>
    <t>SOLUCIONES MAF SAS</t>
  </si>
  <si>
    <t>435570</t>
  </si>
  <si>
    <t>435569</t>
  </si>
  <si>
    <t>435859</t>
  </si>
  <si>
    <t>435572</t>
  </si>
  <si>
    <t>435720</t>
  </si>
  <si>
    <t>435825</t>
  </si>
  <si>
    <t>435819</t>
  </si>
  <si>
    <t>435568</t>
  </si>
  <si>
    <t>435929</t>
  </si>
  <si>
    <t>436220</t>
  </si>
  <si>
    <t>436020</t>
  </si>
  <si>
    <t>436210</t>
  </si>
  <si>
    <t>436093</t>
  </si>
  <si>
    <t>436009</t>
  </si>
  <si>
    <t>436010</t>
  </si>
  <si>
    <t>435930</t>
  </si>
  <si>
    <t>435935</t>
  </si>
  <si>
    <t>436166</t>
  </si>
  <si>
    <t>440251</t>
  </si>
  <si>
    <t>C207</t>
  </si>
  <si>
    <t>436375</t>
  </si>
  <si>
    <t>436447</t>
  </si>
  <si>
    <t>436378</t>
  </si>
  <si>
    <t>436650</t>
  </si>
  <si>
    <t>436645</t>
  </si>
  <si>
    <t>436600</t>
  </si>
  <si>
    <t>436565</t>
  </si>
  <si>
    <t>436612</t>
  </si>
  <si>
    <t>436649</t>
  </si>
  <si>
    <t>436567</t>
  </si>
  <si>
    <t>441380</t>
  </si>
  <si>
    <t>CR15</t>
  </si>
  <si>
    <t>441172</t>
  </si>
  <si>
    <t>441063</t>
  </si>
  <si>
    <t>441278</t>
  </si>
  <si>
    <t>441279</t>
  </si>
  <si>
    <t>441062</t>
  </si>
  <si>
    <t>441165</t>
  </si>
  <si>
    <t>441174</t>
  </si>
  <si>
    <t>441545</t>
  </si>
  <si>
    <t>18-06-2025</t>
  </si>
  <si>
    <t>198</t>
  </si>
  <si>
    <t>006H</t>
  </si>
  <si>
    <t>441628</t>
  </si>
  <si>
    <t>02-07-2025</t>
  </si>
  <si>
    <t>441623</t>
  </si>
  <si>
    <t>11870</t>
  </si>
  <si>
    <t>08-12-2025</t>
  </si>
  <si>
    <t>Factura electrónica de contingencia DIAN</t>
  </si>
  <si>
    <t>435413</t>
  </si>
  <si>
    <t>435402</t>
  </si>
  <si>
    <t>1649</t>
  </si>
  <si>
    <t>SCE</t>
  </si>
  <si>
    <t>901513773</t>
  </si>
  <si>
    <t>SOMOS CARIBE S.A.S.</t>
  </si>
  <si>
    <t>39007</t>
  </si>
  <si>
    <t>53839</t>
  </si>
  <si>
    <t>SG</t>
  </si>
  <si>
    <t>901182848</t>
  </si>
  <si>
    <t>SURTIGONZALEZ Y &amp; M SAS</t>
  </si>
  <si>
    <t>57366</t>
  </si>
  <si>
    <t>58471</t>
  </si>
  <si>
    <t>59437</t>
  </si>
  <si>
    <t>58924</t>
  </si>
  <si>
    <t>60286</t>
  </si>
  <si>
    <t>59831</t>
  </si>
  <si>
    <t>60855</t>
  </si>
  <si>
    <t>61752</t>
  </si>
  <si>
    <t>62637</t>
  </si>
  <si>
    <t>62698</t>
  </si>
  <si>
    <t>63770</t>
  </si>
  <si>
    <t>63122</t>
  </si>
  <si>
    <t>64539</t>
  </si>
  <si>
    <t>64274</t>
  </si>
  <si>
    <t>65374</t>
  </si>
  <si>
    <t>65819</t>
  </si>
  <si>
    <t>66219</t>
  </si>
  <si>
    <t>55207</t>
  </si>
  <si>
    <t>SURTILINEAS DEL CARIBE SA</t>
  </si>
  <si>
    <t>55609</t>
  </si>
  <si>
    <t>56491</t>
  </si>
  <si>
    <t>56099</t>
  </si>
  <si>
    <t>56628</t>
  </si>
  <si>
    <t>56925</t>
  </si>
  <si>
    <t>20375</t>
  </si>
  <si>
    <t>240740</t>
  </si>
  <si>
    <t>1BF</t>
  </si>
  <si>
    <t>890300466</t>
  </si>
  <si>
    <t>TECNOQUIMICAS S.A</t>
  </si>
  <si>
    <t>229097</t>
  </si>
  <si>
    <t>230570</t>
  </si>
  <si>
    <t>232072</t>
  </si>
  <si>
    <t>251092</t>
  </si>
  <si>
    <t>251088</t>
  </si>
  <si>
    <t>487655</t>
  </si>
  <si>
    <t>2AF</t>
  </si>
  <si>
    <t>269154</t>
  </si>
  <si>
    <t>276187</t>
  </si>
  <si>
    <t>516103</t>
  </si>
  <si>
    <t>319922</t>
  </si>
  <si>
    <t>319155</t>
  </si>
  <si>
    <t>319151</t>
  </si>
  <si>
    <t>319149</t>
  </si>
  <si>
    <t>9830</t>
  </si>
  <si>
    <t>3IE</t>
  </si>
  <si>
    <t>353224</t>
  </si>
  <si>
    <t>349472</t>
  </si>
  <si>
    <t>389329</t>
  </si>
  <si>
    <t>389318</t>
  </si>
  <si>
    <t>564628</t>
  </si>
  <si>
    <t>357399</t>
  </si>
  <si>
    <t>357158</t>
  </si>
  <si>
    <t>403568</t>
  </si>
  <si>
    <t>403086</t>
  </si>
  <si>
    <t>464342</t>
  </si>
  <si>
    <t>604907</t>
  </si>
  <si>
    <t>447304</t>
  </si>
  <si>
    <t>447216</t>
  </si>
  <si>
    <t>446709</t>
  </si>
  <si>
    <t>440838</t>
  </si>
  <si>
    <t>440835</t>
  </si>
  <si>
    <t>439707</t>
  </si>
  <si>
    <t>465235</t>
  </si>
  <si>
    <t>500277</t>
  </si>
  <si>
    <t>502554</t>
  </si>
  <si>
    <t>536607</t>
  </si>
  <si>
    <t>533934</t>
  </si>
  <si>
    <t>525102</t>
  </si>
  <si>
    <t>651917</t>
  </si>
  <si>
    <t>518678</t>
  </si>
  <si>
    <t>518550</t>
  </si>
  <si>
    <t>687111</t>
  </si>
  <si>
    <t>574164</t>
  </si>
  <si>
    <t>578184</t>
  </si>
  <si>
    <t>579472</t>
  </si>
  <si>
    <t>579470</t>
  </si>
  <si>
    <t>580771</t>
  </si>
  <si>
    <t>614632</t>
  </si>
  <si>
    <t>581466</t>
  </si>
  <si>
    <t>637779</t>
  </si>
  <si>
    <t>635667</t>
  </si>
  <si>
    <t>635625</t>
  </si>
  <si>
    <t>634547</t>
  </si>
  <si>
    <t>729473</t>
  </si>
  <si>
    <t>616711</t>
  </si>
  <si>
    <t>641250</t>
  </si>
  <si>
    <t>17656</t>
  </si>
  <si>
    <t>17732</t>
  </si>
  <si>
    <t>18915</t>
  </si>
  <si>
    <t>8893</t>
  </si>
  <si>
    <t>T</t>
  </si>
  <si>
    <t>9140</t>
  </si>
  <si>
    <t>10523</t>
  </si>
  <si>
    <t>667207</t>
  </si>
  <si>
    <t>BAR</t>
  </si>
  <si>
    <t>890922586</t>
  </si>
  <si>
    <t>TEXCOMERCIAL - TEXCO S.A.S.</t>
  </si>
  <si>
    <t>667206</t>
  </si>
  <si>
    <t>667205</t>
  </si>
  <si>
    <t>667869</t>
  </si>
  <si>
    <t>668975</t>
  </si>
  <si>
    <t>674081</t>
  </si>
  <si>
    <t>674070</t>
  </si>
  <si>
    <t>692571</t>
  </si>
  <si>
    <t>699376</t>
  </si>
  <si>
    <t>699338</t>
  </si>
  <si>
    <t>701959</t>
  </si>
  <si>
    <t>701919</t>
  </si>
  <si>
    <t>703407</t>
  </si>
  <si>
    <t>710052</t>
  </si>
  <si>
    <t>6785</t>
  </si>
  <si>
    <t>288914</t>
  </si>
  <si>
    <t>288917</t>
  </si>
  <si>
    <t>288915</t>
  </si>
  <si>
    <t>288916</t>
  </si>
  <si>
    <t>290833</t>
  </si>
  <si>
    <t>305490</t>
  </si>
  <si>
    <t>316196</t>
  </si>
  <si>
    <t>568692</t>
  </si>
  <si>
    <t>HHMO</t>
  </si>
  <si>
    <t>811025446</t>
  </si>
  <si>
    <t>TRONEX S.A.S</t>
  </si>
  <si>
    <t>573050</t>
  </si>
  <si>
    <t>581070</t>
  </si>
  <si>
    <t>576962</t>
  </si>
  <si>
    <t>584827</t>
  </si>
  <si>
    <t>588871</t>
  </si>
  <si>
    <t>597174</t>
  </si>
  <si>
    <t>593007</t>
  </si>
  <si>
    <t>600942</t>
  </si>
  <si>
    <t>605566</t>
  </si>
  <si>
    <t>609495</t>
  </si>
  <si>
    <t>614020</t>
  </si>
  <si>
    <t>618277</t>
  </si>
  <si>
    <t>618281</t>
  </si>
  <si>
    <t>623098</t>
  </si>
  <si>
    <t>627817</t>
  </si>
  <si>
    <t>633406</t>
  </si>
  <si>
    <t>4318</t>
  </si>
  <si>
    <t>4546</t>
  </si>
  <si>
    <t>4473</t>
  </si>
  <si>
    <t>4534</t>
  </si>
  <si>
    <t>4498</t>
  </si>
  <si>
    <t>4479</t>
  </si>
  <si>
    <t>4635</t>
  </si>
  <si>
    <t>4711</t>
  </si>
  <si>
    <t>4998</t>
  </si>
  <si>
    <t>4881</t>
  </si>
  <si>
    <t>4953</t>
  </si>
  <si>
    <t>135954</t>
  </si>
  <si>
    <t>FX</t>
  </si>
  <si>
    <t>138559</t>
  </si>
  <si>
    <t>140818</t>
  </si>
  <si>
    <t>144429</t>
  </si>
  <si>
    <t>152240</t>
  </si>
  <si>
    <t>5029</t>
  </si>
  <si>
    <t>5109</t>
  </si>
  <si>
    <t>5153</t>
  </si>
  <si>
    <t>CERTIFICADOS</t>
  </si>
  <si>
    <t>JAIME ALBERTO GUTIERREZ PERDOMO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</si>
</sst>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;[Red]#,##0"/>
  </numFmts>
  <fonts count="9" x14ac:knownFonts="1">
    <font>
      <sz val="11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name val="MS Sans Serif"/>
    </font>
    <font>
      <b/>
      <sz val="12"/>
      <color theme="1"/>
      <name val="Times New Roman"/>
      <family val="1"/>
    </font>
    <font>
      <sz val="10"/>
      <color rgb="FFFF0000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1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164" fontId="3" fillId="0" borderId="0" xfId="1" applyNumberFormat="1" applyFont="1" applyFill="1" applyBorder="1" applyProtection="1"/>
    <xf numFmtId="0" fontId="3" fillId="0" borderId="0" xfId="3" applyFont="1"/>
    <xf numFmtId="164" fontId="3" fillId="0" borderId="0" xfId="1" applyNumberFormat="1" applyFont="1" applyFill="1" applyBorder="1"/>
    <xf numFmtId="0" fontId="6" fillId="0" borderId="0" xfId="0" applyFont="1"/>
    <xf numFmtId="165" fontId="7" fillId="0" borderId="0" xfId="0" applyNumberFormat="1" applyFont="1"/>
    <xf numFmtId="0" fontId="3" fillId="0" borderId="1" xfId="0" applyFont="1" applyBorder="1"/>
    <xf numFmtId="0" fontId="3" fillId="4" borderId="1" xfId="0" applyFont="1" applyFill="1" applyBorder="1"/>
    <xf numFmtId="164" fontId="1" fillId="0" borderId="0" xfId="1" applyNumberFormat="1" applyFont="1" applyFill="1" applyBorder="1" applyProtection="1"/>
    <xf numFmtId="164" fontId="3" fillId="0" borderId="0" xfId="0" applyNumberFormat="1" applyFont="1"/>
    <xf numFmtId="0" fontId="8" fillId="0" borderId="0" xfId="0" applyFont="1"/>
    <xf numFmtId="0" fontId="3" fillId="0" borderId="0" xfId="0" applyFont="1" applyAlignment="1">
      <alignment horizontal="left"/>
    </xf>
    <xf numFmtId="164" fontId="0" fillId="0" borderId="0" xfId="1" applyNumberFormat="1" applyFont="1" applyFill="1" applyBorder="1" applyProtection="1"/>
    <xf numFmtId="0" fontId="2" fillId="3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 applyProtection="1">
      <alignment horizontal="center" vertical="center" wrapText="1"/>
    </xf>
    <xf numFmtId="165" fontId="5" fillId="4" borderId="1" xfId="2" applyNumberFormat="1" applyFont="1" applyFill="1" applyBorder="1" applyAlignment="1">
      <alignment horizontal="center"/>
    </xf>
    <xf numFmtId="165" fontId="5" fillId="0" borderId="1" xfId="2" applyNumberFormat="1" applyFont="1" applyFill="1" applyBorder="1" applyAlignment="1">
      <alignment horizontal="center"/>
    </xf>
    <xf numFmtId="0" fontId="3" fillId="4" borderId="1" xfId="3" applyFont="1" applyFill="1" applyBorder="1"/>
    <xf numFmtId="0" fontId="0" fillId="3" borderId="1" xfId="0" applyFill="1" applyBorder="1" applyAlignment="1">
      <alignment horizontal="center"/>
    </xf>
    <xf numFmtId="43" fontId="3" fillId="0" borderId="0" xfId="1" applyFont="1"/>
    <xf numFmtId="0" fontId="3" fillId="4" borderId="0" xfId="0" applyFont="1" applyFill="1" applyBorder="1"/>
    <xf numFmtId="165" fontId="5" fillId="4" borderId="0" xfId="2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left"/>
    </xf>
    <xf numFmtId="43" fontId="3" fillId="0" borderId="0" xfId="0" applyNumberFormat="1" applyFont="1"/>
  </cellXfs>
  <cellStyles count="4">
    <cellStyle name="Millares" xfId="1" builtinId="3"/>
    <cellStyle name="Millares 2" xfId="2" xr:uid="{62747A44-70E1-47E5-89B9-95E8B3FF3DB3}"/>
    <cellStyle name="Normal" xfId="0" builtinId="0"/>
    <cellStyle name="Normal 2" xfId="3" xr:uid="{9768C8D7-5A1E-4423-A514-EE87093026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4590-6CFB-4C60-9D06-E19132EC7941}">
  <dimension ref="B1:V1756"/>
  <sheetViews>
    <sheetView tabSelected="1" zoomScale="130" zoomScaleNormal="130" workbookViewId="0">
      <pane ySplit="2" topLeftCell="A3" activePane="bottomLeft" state="frozen"/>
      <selection activeCell="D1" sqref="D1"/>
      <selection pane="bottomLeft" activeCell="T1" sqref="T1:V1"/>
    </sheetView>
  </sheetViews>
  <sheetFormatPr baseColWidth="10" defaultRowHeight="14.4" x14ac:dyDescent="0.3"/>
  <cols>
    <col min="2" max="2" width="0" hidden="1" customWidth="1"/>
    <col min="3" max="3" width="10.44140625" hidden="1" customWidth="1"/>
    <col min="4" max="4" width="12" hidden="1" customWidth="1"/>
    <col min="5" max="5" width="12.6640625" hidden="1" customWidth="1"/>
    <col min="6" max="6" width="13.33203125" hidden="1" customWidth="1"/>
    <col min="7" max="7" width="27.44140625" hidden="1" customWidth="1"/>
    <col min="8" max="8" width="16.5546875" style="17" hidden="1" customWidth="1"/>
    <col min="9" max="9" width="13.88671875" style="17" hidden="1" customWidth="1"/>
    <col min="10" max="12" width="12.88671875" style="17" hidden="1" customWidth="1"/>
    <col min="13" max="13" width="14" style="17" hidden="1" customWidth="1"/>
    <col min="14" max="14" width="12.88671875" style="17" hidden="1" customWidth="1"/>
    <col min="15" max="15" width="15.44140625" style="17" hidden="1" customWidth="1"/>
    <col min="16" max="16" width="11.109375" style="17" hidden="1" customWidth="1"/>
    <col min="17" max="17" width="14.88671875" style="17" hidden="1" customWidth="1"/>
    <col min="18" max="18" width="13.44140625" style="17" hidden="1" customWidth="1"/>
    <col min="20" max="20" width="13.33203125" customWidth="1"/>
    <col min="21" max="21" width="39.109375" customWidth="1"/>
    <col min="22" max="22" width="20.109375" customWidth="1"/>
  </cols>
  <sheetData>
    <row r="1" spans="2:22" x14ac:dyDescent="0.3">
      <c r="T1" s="23" t="s">
        <v>2575</v>
      </c>
      <c r="U1" s="23"/>
      <c r="V1" s="23"/>
    </row>
    <row r="2" spans="2:22" s="4" customFormat="1" ht="28.5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13</v>
      </c>
      <c r="Q2" s="2" t="s">
        <v>14</v>
      </c>
      <c r="R2" s="2" t="s">
        <v>15</v>
      </c>
      <c r="S2" s="3"/>
      <c r="T2" s="18" t="s">
        <v>4</v>
      </c>
      <c r="U2" s="18" t="s">
        <v>5</v>
      </c>
      <c r="V2" s="19" t="s">
        <v>15</v>
      </c>
    </row>
    <row r="3" spans="2:22" s="5" customFormat="1" ht="15.6" x14ac:dyDescent="0.3"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6">
        <f>+P3-I3-J3</f>
        <v>584755.19999999995</v>
      </c>
      <c r="I3" s="6">
        <f t="shared" ref="I3:I66" si="0">+J3/19*100</f>
        <v>0</v>
      </c>
      <c r="J3" s="6">
        <v>0</v>
      </c>
      <c r="K3" s="6">
        <v>0</v>
      </c>
      <c r="L3" s="6">
        <v>0</v>
      </c>
      <c r="M3" s="6">
        <f t="shared" ref="M3:M24" si="1">+H3+I3+K3</f>
        <v>584755.19999999995</v>
      </c>
      <c r="N3" s="6">
        <f t="shared" ref="N3:N66" si="2">+J3+L3</f>
        <v>0</v>
      </c>
      <c r="O3" s="6">
        <f t="shared" ref="O3:O66" si="3">+M3+N3</f>
        <v>584755.19999999995</v>
      </c>
      <c r="P3" s="6">
        <v>584755.19999999995</v>
      </c>
      <c r="Q3" s="6">
        <v>532800</v>
      </c>
      <c r="R3" s="6">
        <f t="shared" ref="R3:R66" si="4">+Q3*2.5/100</f>
        <v>13320</v>
      </c>
      <c r="T3" s="12" t="s">
        <v>20</v>
      </c>
      <c r="U3" s="12" t="s">
        <v>21</v>
      </c>
      <c r="V3" s="20">
        <v>2574423.5215000003</v>
      </c>
    </row>
    <row r="4" spans="2:22" s="5" customFormat="1" ht="15.6" x14ac:dyDescent="0.3">
      <c r="B4" s="5" t="s">
        <v>16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6">
        <f>+P4-I4-J4</f>
        <v>0</v>
      </c>
      <c r="I4" s="6">
        <f t="shared" si="0"/>
        <v>556500</v>
      </c>
      <c r="J4" s="6">
        <v>105735</v>
      </c>
      <c r="K4" s="6">
        <v>0</v>
      </c>
      <c r="L4" s="6">
        <v>0</v>
      </c>
      <c r="M4" s="6">
        <f t="shared" si="1"/>
        <v>556500</v>
      </c>
      <c r="N4" s="6">
        <f t="shared" si="2"/>
        <v>105735</v>
      </c>
      <c r="O4" s="6">
        <f t="shared" si="3"/>
        <v>662235</v>
      </c>
      <c r="P4" s="6">
        <v>662235</v>
      </c>
      <c r="Q4" s="6">
        <f t="shared" ref="Q4:Q17" si="5">+M4</f>
        <v>556500</v>
      </c>
      <c r="R4" s="6">
        <f t="shared" si="4"/>
        <v>13912.5</v>
      </c>
      <c r="T4" s="12" t="s">
        <v>27</v>
      </c>
      <c r="U4" s="12" t="s">
        <v>487</v>
      </c>
      <c r="V4" s="20">
        <v>114957.98026315789</v>
      </c>
    </row>
    <row r="5" spans="2:22" s="5" customFormat="1" ht="15.6" x14ac:dyDescent="0.3">
      <c r="B5" s="5" t="s">
        <v>16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6">
        <f>+P5-I5-J5</f>
        <v>-6.1578947294037789E-2</v>
      </c>
      <c r="I5" s="6">
        <f t="shared" si="0"/>
        <v>573949.6315789473</v>
      </c>
      <c r="J5" s="6">
        <v>109050.43</v>
      </c>
      <c r="K5" s="6">
        <v>0</v>
      </c>
      <c r="L5" s="6">
        <v>0</v>
      </c>
      <c r="M5" s="6">
        <f t="shared" si="1"/>
        <v>573949.57000000007</v>
      </c>
      <c r="N5" s="6">
        <f t="shared" si="2"/>
        <v>109050.43</v>
      </c>
      <c r="O5" s="6">
        <f t="shared" si="3"/>
        <v>683000</v>
      </c>
      <c r="P5" s="6">
        <v>683000</v>
      </c>
      <c r="Q5" s="6">
        <f t="shared" si="5"/>
        <v>573949.57000000007</v>
      </c>
      <c r="R5" s="6">
        <f t="shared" si="4"/>
        <v>14348.739250000002</v>
      </c>
      <c r="T5" s="12" t="s">
        <v>33</v>
      </c>
      <c r="U5" s="12" t="s">
        <v>542</v>
      </c>
      <c r="V5" s="20">
        <v>718487.38947368413</v>
      </c>
    </row>
    <row r="6" spans="2:22" s="5" customFormat="1" ht="15.6" x14ac:dyDescent="0.3">
      <c r="B6" s="5" t="s">
        <v>16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6">
        <f>+P6-I6-J6</f>
        <v>0</v>
      </c>
      <c r="I6" s="6">
        <f t="shared" si="0"/>
        <v>629060</v>
      </c>
      <c r="J6" s="6">
        <v>119521.4</v>
      </c>
      <c r="K6" s="6">
        <v>0</v>
      </c>
      <c r="L6" s="6">
        <v>0</v>
      </c>
      <c r="M6" s="6">
        <f t="shared" si="1"/>
        <v>629060</v>
      </c>
      <c r="N6" s="6">
        <f t="shared" si="2"/>
        <v>119521.4</v>
      </c>
      <c r="O6" s="6">
        <f t="shared" si="3"/>
        <v>748581.4</v>
      </c>
      <c r="P6" s="6">
        <v>748581.4</v>
      </c>
      <c r="Q6" s="6">
        <f t="shared" si="5"/>
        <v>629060</v>
      </c>
      <c r="R6" s="6">
        <f t="shared" si="4"/>
        <v>15726.5</v>
      </c>
      <c r="T6" s="12" t="s">
        <v>39</v>
      </c>
      <c r="U6" s="12" t="s">
        <v>99</v>
      </c>
      <c r="V6" s="20">
        <v>261199.67499999999</v>
      </c>
    </row>
    <row r="7" spans="2:22" s="5" customFormat="1" ht="15.6" x14ac:dyDescent="0.3">
      <c r="B7" s="5" t="s">
        <v>16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44</v>
      </c>
      <c r="H7" s="6">
        <v>0</v>
      </c>
      <c r="I7" s="6">
        <f t="shared" si="0"/>
        <v>649579.36842105258</v>
      </c>
      <c r="J7" s="6">
        <v>123420.08</v>
      </c>
      <c r="K7" s="6">
        <v>0</v>
      </c>
      <c r="L7" s="6">
        <v>0</v>
      </c>
      <c r="M7" s="6">
        <f t="shared" si="1"/>
        <v>649579.36842105258</v>
      </c>
      <c r="N7" s="6">
        <f t="shared" si="2"/>
        <v>123420.08</v>
      </c>
      <c r="O7" s="6">
        <f t="shared" si="3"/>
        <v>772999.44842105254</v>
      </c>
      <c r="P7" s="6">
        <v>772999.44</v>
      </c>
      <c r="Q7" s="6">
        <f t="shared" si="5"/>
        <v>649579.36842105258</v>
      </c>
      <c r="R7" s="6">
        <f t="shared" si="4"/>
        <v>16239.484210526314</v>
      </c>
      <c r="T7" s="12" t="s">
        <v>45</v>
      </c>
      <c r="U7" s="12" t="s">
        <v>92</v>
      </c>
      <c r="V7" s="20">
        <v>31260.504249999998</v>
      </c>
    </row>
    <row r="8" spans="2:22" ht="15.6" x14ac:dyDescent="0.3">
      <c r="B8" s="5" t="s">
        <v>16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50</v>
      </c>
      <c r="H8" s="6">
        <f>+P8-I8-J8</f>
        <v>-4.2105262400582433E-3</v>
      </c>
      <c r="I8" s="6">
        <f t="shared" si="0"/>
        <v>740671.68421052629</v>
      </c>
      <c r="J8" s="6">
        <v>140727.62</v>
      </c>
      <c r="K8" s="6">
        <v>0</v>
      </c>
      <c r="L8" s="6">
        <v>0</v>
      </c>
      <c r="M8" s="6">
        <f t="shared" si="1"/>
        <v>740671.68</v>
      </c>
      <c r="N8" s="6">
        <f t="shared" si="2"/>
        <v>140727.62</v>
      </c>
      <c r="O8" s="6">
        <f t="shared" si="3"/>
        <v>881399.3</v>
      </c>
      <c r="P8" s="6">
        <v>881399.3</v>
      </c>
      <c r="Q8" s="6">
        <f t="shared" si="5"/>
        <v>740671.68</v>
      </c>
      <c r="R8" s="6">
        <f t="shared" si="4"/>
        <v>18516.792000000001</v>
      </c>
      <c r="T8" s="12" t="s">
        <v>31</v>
      </c>
      <c r="U8" s="12" t="s">
        <v>32</v>
      </c>
      <c r="V8" s="20">
        <v>299672.26824999996</v>
      </c>
    </row>
    <row r="9" spans="2:22" ht="15.6" x14ac:dyDescent="0.3">
      <c r="B9" s="5" t="s">
        <v>16</v>
      </c>
      <c r="C9" s="5" t="s">
        <v>51</v>
      </c>
      <c r="D9" s="5" t="s">
        <v>18</v>
      </c>
      <c r="E9" s="5" t="s">
        <v>52</v>
      </c>
      <c r="F9" s="5" t="s">
        <v>20</v>
      </c>
      <c r="G9" s="5" t="s">
        <v>21</v>
      </c>
      <c r="H9" s="6">
        <f>+P9-I9-J9</f>
        <v>0.10105263159493916</v>
      </c>
      <c r="I9" s="6">
        <f t="shared" si="0"/>
        <v>849271.57894736843</v>
      </c>
      <c r="J9" s="6">
        <v>161361.60000000001</v>
      </c>
      <c r="K9" s="6">
        <v>0</v>
      </c>
      <c r="L9" s="6">
        <v>0</v>
      </c>
      <c r="M9" s="6">
        <f t="shared" si="1"/>
        <v>849271.68</v>
      </c>
      <c r="N9" s="6">
        <f t="shared" si="2"/>
        <v>161361.60000000001</v>
      </c>
      <c r="O9" s="6">
        <f t="shared" si="3"/>
        <v>1010633.28</v>
      </c>
      <c r="P9" s="6">
        <v>1010633.28</v>
      </c>
      <c r="Q9" s="6">
        <f t="shared" si="5"/>
        <v>849271.68</v>
      </c>
      <c r="R9" s="6">
        <f t="shared" si="4"/>
        <v>21231.792000000001</v>
      </c>
      <c r="S9" s="5"/>
      <c r="T9" s="12" t="s">
        <v>53</v>
      </c>
      <c r="U9" s="12" t="s">
        <v>440</v>
      </c>
      <c r="V9" s="20">
        <v>210332.07450000005</v>
      </c>
    </row>
    <row r="10" spans="2:22" s="5" customFormat="1" ht="15.6" x14ac:dyDescent="0.3">
      <c r="B10" s="5" t="s">
        <v>16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58</v>
      </c>
      <c r="H10" s="6">
        <f>+P10-I10-J10</f>
        <v>2.7368420793209225E-2</v>
      </c>
      <c r="I10" s="6">
        <f t="shared" si="0"/>
        <v>963499.05263157911</v>
      </c>
      <c r="J10" s="6">
        <v>183064.82</v>
      </c>
      <c r="K10" s="6">
        <v>0</v>
      </c>
      <c r="L10" s="6">
        <v>0</v>
      </c>
      <c r="M10" s="6">
        <f t="shared" si="1"/>
        <v>963499.07999999984</v>
      </c>
      <c r="N10" s="6">
        <f t="shared" si="2"/>
        <v>183064.82</v>
      </c>
      <c r="O10" s="6">
        <f t="shared" si="3"/>
        <v>1146563.8999999999</v>
      </c>
      <c r="P10" s="6">
        <v>1146563.8999999999</v>
      </c>
      <c r="Q10" s="6">
        <f t="shared" si="5"/>
        <v>963499.07999999984</v>
      </c>
      <c r="R10" s="6">
        <f t="shared" si="4"/>
        <v>24087.476999999999</v>
      </c>
      <c r="T10" s="12" t="s">
        <v>59</v>
      </c>
      <c r="U10" s="12" t="s">
        <v>192</v>
      </c>
      <c r="V10" s="20">
        <v>48277.310999999994</v>
      </c>
    </row>
    <row r="11" spans="2:22" ht="15.6" x14ac:dyDescent="0.3">
      <c r="B11" s="5" t="s">
        <v>16</v>
      </c>
      <c r="C11" s="5" t="s">
        <v>60</v>
      </c>
      <c r="D11" s="5" t="s">
        <v>18</v>
      </c>
      <c r="E11" s="5" t="s">
        <v>61</v>
      </c>
      <c r="F11" s="5" t="s">
        <v>20</v>
      </c>
      <c r="G11" s="5" t="s">
        <v>21</v>
      </c>
      <c r="H11" s="6">
        <f>+P11-I11-J11-K11-L11</f>
        <v>-8.7311491370201111E-11</v>
      </c>
      <c r="I11" s="6">
        <f t="shared" si="0"/>
        <v>984960</v>
      </c>
      <c r="J11" s="6">
        <v>187142.39999999999</v>
      </c>
      <c r="K11" s="6">
        <v>0</v>
      </c>
      <c r="L11" s="6">
        <v>0</v>
      </c>
      <c r="M11" s="6">
        <f t="shared" si="1"/>
        <v>984959.99999999988</v>
      </c>
      <c r="N11" s="6">
        <f t="shared" si="2"/>
        <v>187142.39999999999</v>
      </c>
      <c r="O11" s="6">
        <f t="shared" si="3"/>
        <v>1172102.3999999999</v>
      </c>
      <c r="P11" s="6">
        <v>1172102.3999999999</v>
      </c>
      <c r="Q11" s="6">
        <f t="shared" si="5"/>
        <v>984959.99999999988</v>
      </c>
      <c r="R11" s="6">
        <f t="shared" si="4"/>
        <v>24623.999999999996</v>
      </c>
      <c r="T11" s="12" t="s">
        <v>62</v>
      </c>
      <c r="U11" s="12" t="s">
        <v>69</v>
      </c>
      <c r="V11" s="20">
        <v>2632315.8276315788</v>
      </c>
    </row>
    <row r="12" spans="2:22" ht="15.6" x14ac:dyDescent="0.3">
      <c r="B12" s="5" t="s">
        <v>16</v>
      </c>
      <c r="C12" s="5" t="s">
        <v>63</v>
      </c>
      <c r="D12" s="5" t="s">
        <v>35</v>
      </c>
      <c r="E12" s="5" t="s">
        <v>64</v>
      </c>
      <c r="F12" s="5" t="s">
        <v>37</v>
      </c>
      <c r="G12" s="5" t="s">
        <v>65</v>
      </c>
      <c r="H12" s="6">
        <f>+P12-I12-J12</f>
        <v>-6.8421052710618824E-3</v>
      </c>
      <c r="I12" s="6">
        <f t="shared" si="0"/>
        <v>1008806.7368421053</v>
      </c>
      <c r="J12" s="6">
        <v>191673.28</v>
      </c>
      <c r="K12" s="6">
        <v>0</v>
      </c>
      <c r="L12" s="6">
        <v>0</v>
      </c>
      <c r="M12" s="6">
        <f t="shared" si="1"/>
        <v>1008806.73</v>
      </c>
      <c r="N12" s="6">
        <f t="shared" si="2"/>
        <v>191673.28</v>
      </c>
      <c r="O12" s="6">
        <f t="shared" si="3"/>
        <v>1200480.01</v>
      </c>
      <c r="P12" s="6">
        <v>1200480.01</v>
      </c>
      <c r="Q12" s="6">
        <f t="shared" si="5"/>
        <v>1008806.73</v>
      </c>
      <c r="R12" s="6">
        <f t="shared" si="4"/>
        <v>25220.168250000002</v>
      </c>
      <c r="T12" s="12" t="s">
        <v>66</v>
      </c>
      <c r="U12" s="12" t="s">
        <v>1485</v>
      </c>
      <c r="V12" s="20">
        <v>448369.75</v>
      </c>
    </row>
    <row r="13" spans="2:22" ht="15.6" x14ac:dyDescent="0.3">
      <c r="B13" s="5" t="s">
        <v>16</v>
      </c>
      <c r="C13" s="5" t="s">
        <v>67</v>
      </c>
      <c r="D13" s="5" t="s">
        <v>18</v>
      </c>
      <c r="E13" s="5" t="s">
        <v>68</v>
      </c>
      <c r="F13" s="5" t="s">
        <v>62</v>
      </c>
      <c r="G13" s="5" t="s">
        <v>69</v>
      </c>
      <c r="H13" s="6">
        <f>+P13-I13-J13</f>
        <v>795091.09368421044</v>
      </c>
      <c r="I13" s="6">
        <f t="shared" si="0"/>
        <v>232093.52631578944</v>
      </c>
      <c r="J13" s="6">
        <v>44097.77</v>
      </c>
      <c r="K13" s="6">
        <v>0</v>
      </c>
      <c r="L13" s="6">
        <v>0</v>
      </c>
      <c r="M13" s="6">
        <f t="shared" si="1"/>
        <v>1027184.6199999999</v>
      </c>
      <c r="N13" s="6">
        <f t="shared" si="2"/>
        <v>44097.77</v>
      </c>
      <c r="O13" s="6">
        <f t="shared" si="3"/>
        <v>1071282.3899999999</v>
      </c>
      <c r="P13" s="6">
        <v>1071282.3899999999</v>
      </c>
      <c r="Q13" s="6">
        <f t="shared" si="5"/>
        <v>1027184.6199999999</v>
      </c>
      <c r="R13" s="6">
        <f t="shared" si="4"/>
        <v>25679.6155</v>
      </c>
      <c r="S13" s="5"/>
      <c r="T13" s="12" t="s">
        <v>70</v>
      </c>
      <c r="U13" s="12" t="s">
        <v>308</v>
      </c>
      <c r="V13" s="20">
        <v>61428.561842105257</v>
      </c>
    </row>
    <row r="14" spans="2:22" ht="15.6" x14ac:dyDescent="0.3">
      <c r="B14" s="5" t="s">
        <v>16</v>
      </c>
      <c r="C14" s="5" t="s">
        <v>71</v>
      </c>
      <c r="D14" s="5" t="s">
        <v>18</v>
      </c>
      <c r="E14" s="5" t="s">
        <v>72</v>
      </c>
      <c r="F14" s="5" t="s">
        <v>20</v>
      </c>
      <c r="G14" s="5" t="s">
        <v>21</v>
      </c>
      <c r="H14" s="6">
        <f>+P14-I14-J14</f>
        <v>4.6315789455547929E-2</v>
      </c>
      <c r="I14" s="6">
        <f t="shared" si="0"/>
        <v>1031843.4736842106</v>
      </c>
      <c r="J14" s="6">
        <v>196050.26</v>
      </c>
      <c r="K14" s="6">
        <v>0</v>
      </c>
      <c r="L14" s="6">
        <v>0</v>
      </c>
      <c r="M14" s="6">
        <f t="shared" si="1"/>
        <v>1031843.52</v>
      </c>
      <c r="N14" s="6">
        <f t="shared" si="2"/>
        <v>196050.26</v>
      </c>
      <c r="O14" s="6">
        <f t="shared" si="3"/>
        <v>1227893.78</v>
      </c>
      <c r="P14" s="6">
        <v>1227893.78</v>
      </c>
      <c r="Q14" s="6">
        <f t="shared" si="5"/>
        <v>1031843.52</v>
      </c>
      <c r="R14" s="6">
        <f t="shared" si="4"/>
        <v>25796.088</v>
      </c>
      <c r="S14" s="5"/>
      <c r="T14" s="12" t="s">
        <v>73</v>
      </c>
      <c r="U14" s="12" t="s">
        <v>405</v>
      </c>
      <c r="V14" s="20">
        <v>622688.37299999991</v>
      </c>
    </row>
    <row r="15" spans="2:22" s="5" customFormat="1" ht="15.6" x14ac:dyDescent="0.3">
      <c r="B15" s="5" t="s">
        <v>16</v>
      </c>
      <c r="C15" s="5" t="s">
        <v>74</v>
      </c>
      <c r="D15" s="5" t="s">
        <v>23</v>
      </c>
      <c r="E15" s="5" t="s">
        <v>75</v>
      </c>
      <c r="F15" s="5" t="s">
        <v>25</v>
      </c>
      <c r="G15" s="5" t="s">
        <v>26</v>
      </c>
      <c r="H15" s="6">
        <f>+P15-I15-J15</f>
        <v>0</v>
      </c>
      <c r="I15" s="6">
        <f t="shared" si="0"/>
        <v>1033500</v>
      </c>
      <c r="J15" s="6">
        <v>196365</v>
      </c>
      <c r="K15" s="6">
        <v>0</v>
      </c>
      <c r="L15" s="6">
        <v>0</v>
      </c>
      <c r="M15" s="6">
        <f t="shared" si="1"/>
        <v>1033500</v>
      </c>
      <c r="N15" s="6">
        <f t="shared" si="2"/>
        <v>196365</v>
      </c>
      <c r="O15" s="6">
        <f t="shared" si="3"/>
        <v>1229865</v>
      </c>
      <c r="P15" s="6">
        <v>1229865</v>
      </c>
      <c r="Q15" s="6">
        <f t="shared" si="5"/>
        <v>1033500</v>
      </c>
      <c r="R15" s="6">
        <f t="shared" si="4"/>
        <v>25837.5</v>
      </c>
      <c r="T15" s="12" t="s">
        <v>76</v>
      </c>
      <c r="U15" s="12" t="s">
        <v>419</v>
      </c>
      <c r="V15" s="20">
        <v>89984.873000000007</v>
      </c>
    </row>
    <row r="16" spans="2:22" ht="15.6" x14ac:dyDescent="0.3">
      <c r="B16" s="5" t="s">
        <v>16</v>
      </c>
      <c r="C16" s="5" t="s">
        <v>77</v>
      </c>
      <c r="D16" s="5" t="s">
        <v>18</v>
      </c>
      <c r="E16" s="5" t="s">
        <v>78</v>
      </c>
      <c r="F16" s="5" t="s">
        <v>62</v>
      </c>
      <c r="G16" s="5" t="s">
        <v>69</v>
      </c>
      <c r="H16" s="6">
        <v>0</v>
      </c>
      <c r="I16" s="6">
        <f t="shared" si="0"/>
        <v>1066100</v>
      </c>
      <c r="J16" s="6">
        <v>202559</v>
      </c>
      <c r="K16" s="6">
        <v>0</v>
      </c>
      <c r="L16" s="6">
        <v>0</v>
      </c>
      <c r="M16" s="6">
        <f t="shared" si="1"/>
        <v>1066100</v>
      </c>
      <c r="N16" s="6">
        <f t="shared" si="2"/>
        <v>202559</v>
      </c>
      <c r="O16" s="6">
        <f t="shared" si="3"/>
        <v>1268659</v>
      </c>
      <c r="P16" s="6">
        <v>1268659</v>
      </c>
      <c r="Q16" s="6">
        <f t="shared" si="5"/>
        <v>1066100</v>
      </c>
      <c r="R16" s="6">
        <f t="shared" si="4"/>
        <v>26652.5</v>
      </c>
      <c r="S16" s="5"/>
      <c r="T16" s="12" t="s">
        <v>79</v>
      </c>
      <c r="U16" s="12" t="s">
        <v>134</v>
      </c>
      <c r="V16" s="20">
        <v>36948</v>
      </c>
    </row>
    <row r="17" spans="2:22" ht="15.6" x14ac:dyDescent="0.3">
      <c r="B17" s="5" t="s">
        <v>16</v>
      </c>
      <c r="C17" s="5" t="s">
        <v>80</v>
      </c>
      <c r="D17" s="5" t="s">
        <v>23</v>
      </c>
      <c r="E17" s="5" t="s">
        <v>81</v>
      </c>
      <c r="F17" s="5" t="s">
        <v>25</v>
      </c>
      <c r="G17" s="5" t="s">
        <v>26</v>
      </c>
      <c r="H17" s="6">
        <f>+P17-I17-J17</f>
        <v>0</v>
      </c>
      <c r="I17" s="6">
        <f t="shared" si="0"/>
        <v>1196880</v>
      </c>
      <c r="J17" s="6">
        <v>227407.2</v>
      </c>
      <c r="K17" s="6">
        <v>0</v>
      </c>
      <c r="L17" s="6">
        <v>0</v>
      </c>
      <c r="M17" s="6">
        <f t="shared" si="1"/>
        <v>1196880</v>
      </c>
      <c r="N17" s="6">
        <f t="shared" si="2"/>
        <v>227407.2</v>
      </c>
      <c r="O17" s="6">
        <f t="shared" si="3"/>
        <v>1424287.2</v>
      </c>
      <c r="P17" s="6">
        <v>1424287.2</v>
      </c>
      <c r="Q17" s="6">
        <f t="shared" si="5"/>
        <v>1196880</v>
      </c>
      <c r="R17" s="6">
        <f t="shared" si="4"/>
        <v>29922</v>
      </c>
      <c r="S17" s="5"/>
      <c r="T17" s="12" t="s">
        <v>82</v>
      </c>
      <c r="U17" s="12" t="s">
        <v>294</v>
      </c>
      <c r="V17" s="20">
        <v>151491.57</v>
      </c>
    </row>
    <row r="18" spans="2:22" ht="15.6" x14ac:dyDescent="0.3">
      <c r="B18" s="5" t="s">
        <v>16</v>
      </c>
      <c r="C18" s="5" t="s">
        <v>83</v>
      </c>
      <c r="D18" s="5" t="s">
        <v>18</v>
      </c>
      <c r="E18" s="5" t="s">
        <v>84</v>
      </c>
      <c r="F18" s="5" t="s">
        <v>62</v>
      </c>
      <c r="G18" s="5" t="s">
        <v>69</v>
      </c>
      <c r="H18" s="6">
        <f>+P18-I18-J18</f>
        <v>140.06789473694516</v>
      </c>
      <c r="I18" s="6">
        <f t="shared" si="0"/>
        <v>1971187.8421052631</v>
      </c>
      <c r="J18" s="6">
        <v>374525.69</v>
      </c>
      <c r="K18" s="6">
        <v>0</v>
      </c>
      <c r="L18" s="6">
        <v>0</v>
      </c>
      <c r="M18" s="6">
        <f t="shared" si="1"/>
        <v>1971327.9100000001</v>
      </c>
      <c r="N18" s="6">
        <f t="shared" si="2"/>
        <v>374525.69</v>
      </c>
      <c r="O18" s="6">
        <f t="shared" si="3"/>
        <v>2345853.6</v>
      </c>
      <c r="P18" s="6">
        <v>2345853.6</v>
      </c>
      <c r="Q18" s="6">
        <f>+M18-767197</f>
        <v>1204130.9100000001</v>
      </c>
      <c r="R18" s="6">
        <f t="shared" si="4"/>
        <v>30103.272750000004</v>
      </c>
      <c r="S18" s="5"/>
      <c r="T18" s="12" t="s">
        <v>85</v>
      </c>
      <c r="U18" s="12" t="s">
        <v>338</v>
      </c>
      <c r="V18" s="20">
        <v>357325.75624999992</v>
      </c>
    </row>
    <row r="19" spans="2:22" ht="15.6" x14ac:dyDescent="0.3">
      <c r="B19" s="5" t="s">
        <v>16</v>
      </c>
      <c r="C19" s="5" t="s">
        <v>86</v>
      </c>
      <c r="D19" s="5" t="s">
        <v>18</v>
      </c>
      <c r="E19" s="5" t="s">
        <v>87</v>
      </c>
      <c r="F19" s="5" t="s">
        <v>20</v>
      </c>
      <c r="G19" s="5" t="s">
        <v>21</v>
      </c>
      <c r="H19" s="6">
        <f>+P19-I19-J19-K19-L19</f>
        <v>-5.8207660913467407E-11</v>
      </c>
      <c r="I19" s="6">
        <f t="shared" si="0"/>
        <v>1218480</v>
      </c>
      <c r="J19" s="6">
        <v>231511.2</v>
      </c>
      <c r="K19" s="6">
        <v>0</v>
      </c>
      <c r="L19" s="6">
        <v>0</v>
      </c>
      <c r="M19" s="6">
        <f t="shared" si="1"/>
        <v>1218480</v>
      </c>
      <c r="N19" s="6">
        <f t="shared" si="2"/>
        <v>231511.2</v>
      </c>
      <c r="O19" s="6">
        <f t="shared" si="3"/>
        <v>1449991.2</v>
      </c>
      <c r="P19" s="6">
        <v>1449991.2</v>
      </c>
      <c r="Q19" s="6">
        <f>+M19</f>
        <v>1218480</v>
      </c>
      <c r="R19" s="6">
        <f t="shared" si="4"/>
        <v>30462</v>
      </c>
      <c r="S19" s="5"/>
      <c r="T19" s="12" t="s">
        <v>88</v>
      </c>
      <c r="U19" s="12" t="s">
        <v>449</v>
      </c>
      <c r="V19" s="20">
        <v>99430.671750000009</v>
      </c>
    </row>
    <row r="20" spans="2:22" ht="15.6" x14ac:dyDescent="0.3">
      <c r="B20" s="5" t="s">
        <v>16</v>
      </c>
      <c r="C20" s="5" t="s">
        <v>89</v>
      </c>
      <c r="D20" s="5" t="s">
        <v>90</v>
      </c>
      <c r="E20" s="5" t="s">
        <v>91</v>
      </c>
      <c r="F20" s="5" t="s">
        <v>45</v>
      </c>
      <c r="G20" s="5" t="s">
        <v>92</v>
      </c>
      <c r="H20" s="6">
        <f>+P20-I20-J20-K20-L20</f>
        <v>1.2105263158446178E-2</v>
      </c>
      <c r="I20" s="6">
        <f t="shared" si="0"/>
        <v>1250420.1578947369</v>
      </c>
      <c r="J20" s="6">
        <v>237579.83</v>
      </c>
      <c r="K20" s="6">
        <v>0</v>
      </c>
      <c r="L20" s="6">
        <v>0</v>
      </c>
      <c r="M20" s="6">
        <f t="shared" si="1"/>
        <v>1250420.17</v>
      </c>
      <c r="N20" s="6">
        <f t="shared" si="2"/>
        <v>237579.83</v>
      </c>
      <c r="O20" s="6">
        <f t="shared" si="3"/>
        <v>1488000</v>
      </c>
      <c r="P20" s="6">
        <v>1488000</v>
      </c>
      <c r="Q20" s="6">
        <f>+M20</f>
        <v>1250420.17</v>
      </c>
      <c r="R20" s="6">
        <f t="shared" si="4"/>
        <v>31260.504249999998</v>
      </c>
      <c r="S20" s="5"/>
      <c r="T20" s="12" t="s">
        <v>25</v>
      </c>
      <c r="U20" s="12" t="s">
        <v>26</v>
      </c>
      <c r="V20" s="20">
        <v>397781.25</v>
      </c>
    </row>
    <row r="21" spans="2:22" ht="15.6" x14ac:dyDescent="0.3">
      <c r="B21" s="5" t="s">
        <v>16</v>
      </c>
      <c r="C21" s="5" t="s">
        <v>93</v>
      </c>
      <c r="D21" s="5" t="s">
        <v>18</v>
      </c>
      <c r="E21" s="5" t="s">
        <v>94</v>
      </c>
      <c r="F21" s="5" t="s">
        <v>20</v>
      </c>
      <c r="G21" s="5" t="s">
        <v>21</v>
      </c>
      <c r="H21" s="6">
        <f>+P21-I21-J21</f>
        <v>0.13263157891924493</v>
      </c>
      <c r="I21" s="6">
        <f t="shared" si="0"/>
        <v>1281687.9473684211</v>
      </c>
      <c r="J21" s="6">
        <v>243520.71</v>
      </c>
      <c r="K21" s="6">
        <v>0</v>
      </c>
      <c r="L21" s="6">
        <v>0</v>
      </c>
      <c r="M21" s="6">
        <f t="shared" si="1"/>
        <v>1281688.08</v>
      </c>
      <c r="N21" s="6">
        <f t="shared" si="2"/>
        <v>243520.71</v>
      </c>
      <c r="O21" s="6">
        <f t="shared" si="3"/>
        <v>1525208.79</v>
      </c>
      <c r="P21" s="6">
        <v>1525208.79</v>
      </c>
      <c r="Q21" s="6">
        <f>+M21-25654</f>
        <v>1256034.08</v>
      </c>
      <c r="R21" s="6">
        <f t="shared" si="4"/>
        <v>31400.852000000003</v>
      </c>
      <c r="S21" s="7"/>
      <c r="T21" s="12" t="s">
        <v>49</v>
      </c>
      <c r="U21" s="12" t="s">
        <v>50</v>
      </c>
      <c r="V21" s="20">
        <v>536982.95525</v>
      </c>
    </row>
    <row r="22" spans="2:22" ht="15.6" x14ac:dyDescent="0.3">
      <c r="B22" s="5" t="s">
        <v>16</v>
      </c>
      <c r="C22" s="5" t="s">
        <v>95</v>
      </c>
      <c r="D22" s="5" t="s">
        <v>18</v>
      </c>
      <c r="E22" s="5" t="s">
        <v>52</v>
      </c>
      <c r="F22" s="5" t="s">
        <v>20</v>
      </c>
      <c r="G22" s="5" t="s">
        <v>21</v>
      </c>
      <c r="H22" s="6">
        <f>+P22-I22-J22</f>
        <v>0.14736842090496793</v>
      </c>
      <c r="I22" s="6">
        <f t="shared" si="0"/>
        <v>1271524.0526315791</v>
      </c>
      <c r="J22" s="6">
        <v>241589.57</v>
      </c>
      <c r="K22" s="6">
        <v>0</v>
      </c>
      <c r="L22" s="6">
        <v>0</v>
      </c>
      <c r="M22" s="6">
        <f t="shared" si="1"/>
        <v>1271524.2</v>
      </c>
      <c r="N22" s="6">
        <f t="shared" si="2"/>
        <v>241589.57</v>
      </c>
      <c r="O22" s="6">
        <f t="shared" si="3"/>
        <v>1513113.77</v>
      </c>
      <c r="P22" s="6">
        <v>1513113.77</v>
      </c>
      <c r="Q22" s="6">
        <f t="shared" ref="Q22:Q49" si="6">+M22</f>
        <v>1271524.2</v>
      </c>
      <c r="R22" s="6">
        <f t="shared" si="4"/>
        <v>31788.105</v>
      </c>
      <c r="T22" s="12" t="s">
        <v>43</v>
      </c>
      <c r="U22" s="12" t="s">
        <v>44</v>
      </c>
      <c r="V22" s="20">
        <v>16239.484210526314</v>
      </c>
    </row>
    <row r="23" spans="2:22" ht="15.6" x14ac:dyDescent="0.3">
      <c r="B23" s="5" t="s">
        <v>16</v>
      </c>
      <c r="C23" s="5" t="s">
        <v>96</v>
      </c>
      <c r="D23" s="5" t="s">
        <v>97</v>
      </c>
      <c r="E23" s="5" t="s">
        <v>98</v>
      </c>
      <c r="F23" s="5" t="s">
        <v>39</v>
      </c>
      <c r="G23" s="5" t="s">
        <v>99</v>
      </c>
      <c r="H23" s="6">
        <f>+P23-I23-J23</f>
        <v>0</v>
      </c>
      <c r="I23" s="6">
        <f t="shared" si="0"/>
        <v>1351800</v>
      </c>
      <c r="J23" s="6">
        <v>256842</v>
      </c>
      <c r="K23" s="6">
        <v>0</v>
      </c>
      <c r="L23" s="6">
        <v>0</v>
      </c>
      <c r="M23" s="6">
        <f t="shared" si="1"/>
        <v>1351800</v>
      </c>
      <c r="N23" s="6">
        <f t="shared" si="2"/>
        <v>256842</v>
      </c>
      <c r="O23" s="6">
        <f t="shared" si="3"/>
        <v>1608642</v>
      </c>
      <c r="P23" s="6">
        <v>1608642</v>
      </c>
      <c r="Q23" s="6">
        <f t="shared" si="6"/>
        <v>1351800</v>
      </c>
      <c r="R23" s="6">
        <f t="shared" si="4"/>
        <v>33795</v>
      </c>
      <c r="S23" s="7"/>
      <c r="T23" s="11" t="s">
        <v>100</v>
      </c>
      <c r="U23" s="11" t="s">
        <v>1972</v>
      </c>
      <c r="V23" s="21">
        <v>32546.7</v>
      </c>
    </row>
    <row r="24" spans="2:22" s="5" customFormat="1" ht="15.6" x14ac:dyDescent="0.3">
      <c r="B24" s="5" t="s">
        <v>16</v>
      </c>
      <c r="C24" s="5" t="s">
        <v>101</v>
      </c>
      <c r="D24" s="5" t="s">
        <v>97</v>
      </c>
      <c r="E24" s="5" t="s">
        <v>102</v>
      </c>
      <c r="F24" s="5" t="s">
        <v>39</v>
      </c>
      <c r="G24" s="5" t="s">
        <v>99</v>
      </c>
      <c r="H24" s="6">
        <v>0</v>
      </c>
      <c r="I24" s="6">
        <f t="shared" si="0"/>
        <v>1351800</v>
      </c>
      <c r="J24" s="6">
        <v>256842</v>
      </c>
      <c r="K24" s="6">
        <v>0</v>
      </c>
      <c r="L24" s="6">
        <v>0</v>
      </c>
      <c r="M24" s="6">
        <f t="shared" si="1"/>
        <v>1351800</v>
      </c>
      <c r="N24" s="6">
        <f t="shared" si="2"/>
        <v>256842</v>
      </c>
      <c r="O24" s="6">
        <f t="shared" si="3"/>
        <v>1608642</v>
      </c>
      <c r="P24" s="6">
        <v>1608642</v>
      </c>
      <c r="Q24" s="6">
        <f t="shared" si="6"/>
        <v>1351800</v>
      </c>
      <c r="R24" s="6">
        <f t="shared" si="4"/>
        <v>33795</v>
      </c>
      <c r="S24"/>
      <c r="T24" s="12" t="s">
        <v>103</v>
      </c>
      <c r="U24" s="12" t="s">
        <v>529</v>
      </c>
      <c r="V24" s="20">
        <v>312138.3</v>
      </c>
    </row>
    <row r="25" spans="2:22" s="5" customFormat="1" ht="15.6" x14ac:dyDescent="0.3">
      <c r="B25" s="7" t="s">
        <v>16</v>
      </c>
      <c r="C25" s="7" t="s">
        <v>104</v>
      </c>
      <c r="D25" s="7" t="s">
        <v>97</v>
      </c>
      <c r="E25" s="7" t="s">
        <v>105</v>
      </c>
      <c r="F25" s="7" t="s">
        <v>39</v>
      </c>
      <c r="G25" s="7" t="s">
        <v>106</v>
      </c>
      <c r="H25" s="8">
        <f>+P25-I25-J25</f>
        <v>0</v>
      </c>
      <c r="I25" s="8">
        <f t="shared" si="0"/>
        <v>1351800</v>
      </c>
      <c r="J25" s="8">
        <v>256842</v>
      </c>
      <c r="K25" s="8">
        <v>0</v>
      </c>
      <c r="L25" s="8">
        <v>0</v>
      </c>
      <c r="M25" s="8">
        <f>+I25+H25</f>
        <v>1351800</v>
      </c>
      <c r="N25" s="8">
        <f t="shared" si="2"/>
        <v>256842</v>
      </c>
      <c r="O25" s="8">
        <f t="shared" si="3"/>
        <v>1608642</v>
      </c>
      <c r="P25" s="8">
        <v>1608642</v>
      </c>
      <c r="Q25" s="8">
        <f t="shared" si="6"/>
        <v>1351800</v>
      </c>
      <c r="R25" s="8">
        <f t="shared" si="4"/>
        <v>33795</v>
      </c>
      <c r="S25"/>
      <c r="T25" s="12" t="s">
        <v>107</v>
      </c>
      <c r="U25" s="12" t="s">
        <v>108</v>
      </c>
      <c r="V25" s="20">
        <v>2512607.8229868421</v>
      </c>
    </row>
    <row r="26" spans="2:22" s="5" customFormat="1" ht="15.6" x14ac:dyDescent="0.3">
      <c r="B26" s="5" t="s">
        <v>16</v>
      </c>
      <c r="C26" s="5" t="s">
        <v>109</v>
      </c>
      <c r="D26" s="5" t="s">
        <v>110</v>
      </c>
      <c r="E26" s="5" t="s">
        <v>111</v>
      </c>
      <c r="F26" s="5" t="s">
        <v>112</v>
      </c>
      <c r="G26" s="5" t="s">
        <v>113</v>
      </c>
      <c r="H26" s="6">
        <f>+P26-I26-J26</f>
        <v>0</v>
      </c>
      <c r="I26" s="6">
        <f t="shared" si="0"/>
        <v>1371070</v>
      </c>
      <c r="J26" s="6">
        <v>260503.3</v>
      </c>
      <c r="K26" s="6">
        <v>0</v>
      </c>
      <c r="L26" s="6">
        <v>0</v>
      </c>
      <c r="M26" s="6">
        <f t="shared" ref="M26:M32" si="7">+H26+I26+K26</f>
        <v>1371070</v>
      </c>
      <c r="N26" s="6">
        <f t="shared" si="2"/>
        <v>260503.3</v>
      </c>
      <c r="O26" s="6">
        <f t="shared" si="3"/>
        <v>1631573.3</v>
      </c>
      <c r="P26" s="6">
        <v>1631573.3</v>
      </c>
      <c r="Q26" s="6">
        <f t="shared" si="6"/>
        <v>1371070</v>
      </c>
      <c r="R26" s="6">
        <f t="shared" si="4"/>
        <v>34276.75</v>
      </c>
      <c r="S26" s="7"/>
      <c r="T26" s="12" t="s">
        <v>114</v>
      </c>
      <c r="U26" s="12" t="s">
        <v>115</v>
      </c>
      <c r="V26" s="20">
        <v>373492.55</v>
      </c>
    </row>
    <row r="27" spans="2:22" s="5" customFormat="1" ht="15.6" x14ac:dyDescent="0.3">
      <c r="B27" s="5" t="s">
        <v>16</v>
      </c>
      <c r="C27" s="5" t="s">
        <v>116</v>
      </c>
      <c r="D27" s="5" t="s">
        <v>18</v>
      </c>
      <c r="E27" s="5" t="s">
        <v>117</v>
      </c>
      <c r="F27" s="5" t="s">
        <v>20</v>
      </c>
      <c r="G27" s="5" t="s">
        <v>21</v>
      </c>
      <c r="H27" s="6">
        <f>+P27-I27-J27</f>
        <v>0.17894736840389669</v>
      </c>
      <c r="I27" s="6">
        <f t="shared" si="0"/>
        <v>1409676.4210526317</v>
      </c>
      <c r="J27" s="6">
        <v>267838.52</v>
      </c>
      <c r="K27" s="6">
        <v>0</v>
      </c>
      <c r="L27" s="6">
        <v>0</v>
      </c>
      <c r="M27" s="6">
        <f t="shared" si="7"/>
        <v>1409676.6</v>
      </c>
      <c r="N27" s="6">
        <f t="shared" si="2"/>
        <v>267838.52</v>
      </c>
      <c r="O27" s="6">
        <f t="shared" si="3"/>
        <v>1677515.12</v>
      </c>
      <c r="P27" s="6">
        <v>1677515.12</v>
      </c>
      <c r="Q27" s="6">
        <f t="shared" si="6"/>
        <v>1409676.6</v>
      </c>
      <c r="R27" s="6">
        <f t="shared" si="4"/>
        <v>35241.915000000001</v>
      </c>
      <c r="T27" s="12" t="s">
        <v>118</v>
      </c>
      <c r="U27" s="12" t="s">
        <v>119</v>
      </c>
      <c r="V27" s="20">
        <v>892910</v>
      </c>
    </row>
    <row r="28" spans="2:22" s="5" customFormat="1" ht="15.6" x14ac:dyDescent="0.3">
      <c r="B28" s="5" t="s">
        <v>16</v>
      </c>
      <c r="C28" s="5" t="s">
        <v>120</v>
      </c>
      <c r="D28" s="5" t="s">
        <v>29</v>
      </c>
      <c r="E28" s="5" t="s">
        <v>121</v>
      </c>
      <c r="F28" s="5" t="s">
        <v>31</v>
      </c>
      <c r="G28" s="5" t="s">
        <v>32</v>
      </c>
      <c r="H28" s="6">
        <f>+P28-I28-J28</f>
        <v>-8.9473685366101563E-3</v>
      </c>
      <c r="I28" s="6">
        <f t="shared" si="0"/>
        <v>1431428.5789473685</v>
      </c>
      <c r="J28" s="6">
        <v>271971.43</v>
      </c>
      <c r="K28" s="6">
        <v>0</v>
      </c>
      <c r="L28" s="6">
        <v>0</v>
      </c>
      <c r="M28" s="6">
        <f t="shared" si="7"/>
        <v>1431428.57</v>
      </c>
      <c r="N28" s="6">
        <f t="shared" si="2"/>
        <v>271971.43</v>
      </c>
      <c r="O28" s="6">
        <f t="shared" si="3"/>
        <v>1703400</v>
      </c>
      <c r="P28" s="6">
        <v>1703400</v>
      </c>
      <c r="Q28" s="6">
        <f t="shared" si="6"/>
        <v>1431428.57</v>
      </c>
      <c r="R28" s="6">
        <f t="shared" si="4"/>
        <v>35785.714250000005</v>
      </c>
      <c r="T28" s="22" t="s">
        <v>122</v>
      </c>
      <c r="U28" s="12" t="s">
        <v>123</v>
      </c>
      <c r="V28" s="20">
        <v>1172087.3096710527</v>
      </c>
    </row>
    <row r="29" spans="2:22" s="5" customFormat="1" ht="15.6" x14ac:dyDescent="0.3">
      <c r="B29" s="5" t="s">
        <v>16</v>
      </c>
      <c r="C29" s="5" t="s">
        <v>124</v>
      </c>
      <c r="D29" s="5" t="s">
        <v>125</v>
      </c>
      <c r="E29" s="5" t="s">
        <v>126</v>
      </c>
      <c r="F29" s="5" t="s">
        <v>127</v>
      </c>
      <c r="G29" s="5" t="s">
        <v>128</v>
      </c>
      <c r="H29" s="6">
        <f>+P29-I29-J29-K29-L29</f>
        <v>-8.4736842254642397E-2</v>
      </c>
      <c r="I29" s="6">
        <f t="shared" si="0"/>
        <v>1447058.8947368423</v>
      </c>
      <c r="J29" s="6">
        <v>274941.19</v>
      </c>
      <c r="K29" s="6">
        <v>0</v>
      </c>
      <c r="L29" s="6">
        <v>0</v>
      </c>
      <c r="M29" s="6">
        <f t="shared" si="7"/>
        <v>1447058.81</v>
      </c>
      <c r="N29" s="6">
        <f t="shared" si="2"/>
        <v>274941.19</v>
      </c>
      <c r="O29" s="6">
        <f t="shared" si="3"/>
        <v>1722000</v>
      </c>
      <c r="P29" s="6">
        <v>1722000</v>
      </c>
      <c r="Q29" s="6">
        <f t="shared" si="6"/>
        <v>1447058.81</v>
      </c>
      <c r="R29" s="6">
        <f t="shared" si="4"/>
        <v>36176.470250000006</v>
      </c>
      <c r="T29" s="11" t="s">
        <v>129</v>
      </c>
      <c r="U29" s="11" t="s">
        <v>130</v>
      </c>
      <c r="V29" s="21">
        <v>3525787.6907894732</v>
      </c>
    </row>
    <row r="30" spans="2:22" s="5" customFormat="1" ht="15.6" x14ac:dyDescent="0.3">
      <c r="B30" s="5" t="s">
        <v>16</v>
      </c>
      <c r="C30" s="5" t="s">
        <v>131</v>
      </c>
      <c r="D30" s="5" t="s">
        <v>132</v>
      </c>
      <c r="E30" s="5" t="s">
        <v>133</v>
      </c>
      <c r="F30" s="5" t="s">
        <v>79</v>
      </c>
      <c r="G30" s="5" t="s">
        <v>134</v>
      </c>
      <c r="H30" s="6">
        <f t="shared" ref="H30:H35" si="8">+P30-I30-J30</f>
        <v>0</v>
      </c>
      <c r="I30" s="6">
        <f t="shared" si="0"/>
        <v>1477920</v>
      </c>
      <c r="J30" s="6">
        <v>280804.8</v>
      </c>
      <c r="K30" s="6">
        <v>0</v>
      </c>
      <c r="L30" s="6">
        <v>0</v>
      </c>
      <c r="M30" s="6">
        <f t="shared" si="7"/>
        <v>1477920</v>
      </c>
      <c r="N30" s="6">
        <f t="shared" si="2"/>
        <v>280804.8</v>
      </c>
      <c r="O30" s="6">
        <f t="shared" si="3"/>
        <v>1758724.8</v>
      </c>
      <c r="P30" s="6">
        <v>1758724.8</v>
      </c>
      <c r="Q30" s="6">
        <f t="shared" si="6"/>
        <v>1477920</v>
      </c>
      <c r="R30" s="6">
        <f t="shared" si="4"/>
        <v>36948</v>
      </c>
      <c r="T30" s="12" t="s">
        <v>135</v>
      </c>
      <c r="U30" s="12" t="s">
        <v>136</v>
      </c>
      <c r="V30" s="20">
        <v>325042.77500000002</v>
      </c>
    </row>
    <row r="31" spans="2:22" s="5" customFormat="1" ht="15.6" x14ac:dyDescent="0.3">
      <c r="B31" s="5" t="s">
        <v>16</v>
      </c>
      <c r="C31" s="5" t="s">
        <v>137</v>
      </c>
      <c r="D31" s="5" t="s">
        <v>35</v>
      </c>
      <c r="E31" s="5" t="s">
        <v>138</v>
      </c>
      <c r="F31" s="5" t="s">
        <v>112</v>
      </c>
      <c r="G31" s="5" t="s">
        <v>113</v>
      </c>
      <c r="H31" s="6">
        <f t="shared" si="8"/>
        <v>0</v>
      </c>
      <c r="I31" s="6">
        <f t="shared" si="0"/>
        <v>1588800</v>
      </c>
      <c r="J31" s="6">
        <v>301872</v>
      </c>
      <c r="K31" s="6">
        <v>0</v>
      </c>
      <c r="L31" s="6">
        <v>0</v>
      </c>
      <c r="M31" s="6">
        <f t="shared" si="7"/>
        <v>1588800</v>
      </c>
      <c r="N31" s="6">
        <f t="shared" si="2"/>
        <v>301872</v>
      </c>
      <c r="O31" s="6">
        <f t="shared" si="3"/>
        <v>1890672</v>
      </c>
      <c r="P31" s="6">
        <v>1890672</v>
      </c>
      <c r="Q31" s="6">
        <f t="shared" si="6"/>
        <v>1588800</v>
      </c>
      <c r="R31" s="6">
        <f t="shared" si="4"/>
        <v>39720</v>
      </c>
      <c r="T31" s="11" t="s">
        <v>139</v>
      </c>
      <c r="U31" s="11" t="s">
        <v>650</v>
      </c>
      <c r="V31" s="21">
        <v>682582.98349999997</v>
      </c>
    </row>
    <row r="32" spans="2:22" s="5" customFormat="1" ht="15.6" x14ac:dyDescent="0.3">
      <c r="B32" s="5" t="s">
        <v>16</v>
      </c>
      <c r="C32" s="5" t="s">
        <v>140</v>
      </c>
      <c r="D32" s="5" t="s">
        <v>141</v>
      </c>
      <c r="E32" s="5" t="s">
        <v>142</v>
      </c>
      <c r="F32" s="5" t="s">
        <v>143</v>
      </c>
      <c r="G32" s="5" t="s">
        <v>144</v>
      </c>
      <c r="H32" s="6">
        <f t="shared" si="8"/>
        <v>-2</v>
      </c>
      <c r="I32" s="6">
        <f t="shared" si="0"/>
        <v>1698300</v>
      </c>
      <c r="J32" s="6">
        <v>322677</v>
      </c>
      <c r="K32" s="6">
        <v>0</v>
      </c>
      <c r="L32" s="6">
        <v>0</v>
      </c>
      <c r="M32" s="6">
        <f t="shared" si="7"/>
        <v>1698298</v>
      </c>
      <c r="N32" s="6">
        <f t="shared" si="2"/>
        <v>322677</v>
      </c>
      <c r="O32" s="6">
        <f t="shared" si="3"/>
        <v>2020975</v>
      </c>
      <c r="P32" s="6">
        <v>2020975</v>
      </c>
      <c r="Q32" s="6">
        <f t="shared" si="6"/>
        <v>1698298</v>
      </c>
      <c r="R32" s="6">
        <f t="shared" si="4"/>
        <v>42457.45</v>
      </c>
      <c r="T32" s="12" t="s">
        <v>145</v>
      </c>
      <c r="U32" s="12" t="s">
        <v>146</v>
      </c>
      <c r="V32" s="20">
        <v>1298355.2527631577</v>
      </c>
    </row>
    <row r="33" spans="2:22" s="5" customFormat="1" ht="15.6" x14ac:dyDescent="0.3">
      <c r="B33" s="7" t="s">
        <v>16</v>
      </c>
      <c r="C33" s="7" t="s">
        <v>147</v>
      </c>
      <c r="D33" s="7" t="s">
        <v>47</v>
      </c>
      <c r="E33" s="7" t="s">
        <v>148</v>
      </c>
      <c r="F33" s="7" t="s">
        <v>49</v>
      </c>
      <c r="G33" s="7" t="s">
        <v>50</v>
      </c>
      <c r="H33" s="8">
        <f t="shared" si="8"/>
        <v>-6.2631578766740859E-2</v>
      </c>
      <c r="I33" s="8">
        <f t="shared" si="0"/>
        <v>1700840.0526315789</v>
      </c>
      <c r="J33" s="8">
        <v>323159.61</v>
      </c>
      <c r="K33" s="8">
        <v>0</v>
      </c>
      <c r="L33" s="8">
        <v>0</v>
      </c>
      <c r="M33" s="8">
        <f>+I33+H33</f>
        <v>1700839.9900000002</v>
      </c>
      <c r="N33" s="8">
        <f t="shared" si="2"/>
        <v>323159.61</v>
      </c>
      <c r="O33" s="8">
        <f t="shared" si="3"/>
        <v>2023999.6</v>
      </c>
      <c r="P33" s="8">
        <v>2023999.6</v>
      </c>
      <c r="Q33" s="8">
        <f t="shared" si="6"/>
        <v>1700839.9900000002</v>
      </c>
      <c r="R33" s="8">
        <f t="shared" si="4"/>
        <v>42520.999750000003</v>
      </c>
      <c r="T33" s="12" t="s">
        <v>149</v>
      </c>
      <c r="U33" s="12" t="s">
        <v>150</v>
      </c>
      <c r="V33" s="20">
        <v>352716.9485</v>
      </c>
    </row>
    <row r="34" spans="2:22" s="5" customFormat="1" ht="15.6" x14ac:dyDescent="0.3">
      <c r="B34" s="5" t="s">
        <v>16</v>
      </c>
      <c r="C34" s="5" t="s">
        <v>151</v>
      </c>
      <c r="D34" s="5" t="s">
        <v>18</v>
      </c>
      <c r="E34" s="5" t="s">
        <v>152</v>
      </c>
      <c r="F34" s="5" t="s">
        <v>20</v>
      </c>
      <c r="G34" s="5" t="s">
        <v>21</v>
      </c>
      <c r="H34" s="6">
        <f t="shared" si="8"/>
        <v>0</v>
      </c>
      <c r="I34" s="6">
        <f t="shared" si="0"/>
        <v>1728050</v>
      </c>
      <c r="J34" s="6">
        <v>328329.5</v>
      </c>
      <c r="K34" s="6">
        <v>0</v>
      </c>
      <c r="L34" s="6">
        <v>0</v>
      </c>
      <c r="M34" s="6">
        <f t="shared" ref="M34:M43" si="9">+H34+I34+K34</f>
        <v>1728050</v>
      </c>
      <c r="N34" s="6">
        <f t="shared" si="2"/>
        <v>328329.5</v>
      </c>
      <c r="O34" s="6">
        <f t="shared" si="3"/>
        <v>2056379.5</v>
      </c>
      <c r="P34" s="6">
        <v>2056379.5</v>
      </c>
      <c r="Q34" s="6">
        <f t="shared" si="6"/>
        <v>1728050</v>
      </c>
      <c r="R34" s="6">
        <f t="shared" si="4"/>
        <v>43201.25</v>
      </c>
      <c r="T34" s="12" t="s">
        <v>153</v>
      </c>
      <c r="U34" s="12" t="s">
        <v>154</v>
      </c>
      <c r="V34" s="20">
        <v>48803.199999999997</v>
      </c>
    </row>
    <row r="35" spans="2:22" s="5" customFormat="1" ht="15.6" x14ac:dyDescent="0.3">
      <c r="B35" s="5" t="s">
        <v>16</v>
      </c>
      <c r="C35" s="5" t="s">
        <v>155</v>
      </c>
      <c r="D35" s="5" t="s">
        <v>156</v>
      </c>
      <c r="E35" s="5" t="s">
        <v>72</v>
      </c>
      <c r="F35" s="5" t="s">
        <v>157</v>
      </c>
      <c r="G35" s="5" t="s">
        <v>158</v>
      </c>
      <c r="H35" s="6">
        <f t="shared" si="8"/>
        <v>1.052631571656093E-2</v>
      </c>
      <c r="I35" s="6">
        <f t="shared" si="0"/>
        <v>1739495.7894736843</v>
      </c>
      <c r="J35" s="6">
        <v>330504.2</v>
      </c>
      <c r="K35" s="6">
        <v>0</v>
      </c>
      <c r="L35" s="6">
        <v>0</v>
      </c>
      <c r="M35" s="6">
        <f t="shared" si="9"/>
        <v>1739495.8</v>
      </c>
      <c r="N35" s="6">
        <f t="shared" si="2"/>
        <v>330504.2</v>
      </c>
      <c r="O35" s="6">
        <f t="shared" si="3"/>
        <v>2070000</v>
      </c>
      <c r="P35" s="6">
        <v>2070000</v>
      </c>
      <c r="Q35" s="6">
        <f t="shared" si="6"/>
        <v>1739495.8</v>
      </c>
      <c r="R35" s="6">
        <f t="shared" si="4"/>
        <v>43487.394999999997</v>
      </c>
      <c r="T35" s="12" t="s">
        <v>159</v>
      </c>
      <c r="U35" s="12" t="s">
        <v>160</v>
      </c>
      <c r="V35" s="20">
        <v>4612217.5776315778</v>
      </c>
    </row>
    <row r="36" spans="2:22" s="5" customFormat="1" ht="15.6" x14ac:dyDescent="0.3">
      <c r="B36" s="5" t="s">
        <v>16</v>
      </c>
      <c r="C36" s="5" t="s">
        <v>161</v>
      </c>
      <c r="D36" s="5" t="s">
        <v>18</v>
      </c>
      <c r="E36" s="5" t="s">
        <v>162</v>
      </c>
      <c r="F36" s="5" t="s">
        <v>20</v>
      </c>
      <c r="G36" s="5" t="s">
        <v>21</v>
      </c>
      <c r="H36" s="6">
        <v>0</v>
      </c>
      <c r="I36" s="6">
        <f t="shared" si="0"/>
        <v>1780541.210526316</v>
      </c>
      <c r="J36" s="6">
        <v>338302.83</v>
      </c>
      <c r="K36" s="6">
        <v>0</v>
      </c>
      <c r="L36" s="6">
        <v>0</v>
      </c>
      <c r="M36" s="6">
        <f t="shared" si="9"/>
        <v>1780541.210526316</v>
      </c>
      <c r="N36" s="6">
        <f t="shared" si="2"/>
        <v>338302.83</v>
      </c>
      <c r="O36" s="6">
        <f t="shared" si="3"/>
        <v>2118844.040526316</v>
      </c>
      <c r="P36" s="6">
        <v>2118844.15</v>
      </c>
      <c r="Q36" s="6">
        <f t="shared" si="6"/>
        <v>1780541.210526316</v>
      </c>
      <c r="R36" s="6">
        <f t="shared" si="4"/>
        <v>44513.530263157896</v>
      </c>
      <c r="T36" s="12" t="s">
        <v>163</v>
      </c>
      <c r="U36" s="12" t="s">
        <v>164</v>
      </c>
      <c r="V36" s="20">
        <v>109114.88750000001</v>
      </c>
    </row>
    <row r="37" spans="2:22" ht="15.6" x14ac:dyDescent="0.3">
      <c r="B37" s="5" t="s">
        <v>16</v>
      </c>
      <c r="C37" s="5" t="s">
        <v>165</v>
      </c>
      <c r="D37" s="5" t="s">
        <v>97</v>
      </c>
      <c r="E37" s="5" t="s">
        <v>166</v>
      </c>
      <c r="F37" s="5" t="s">
        <v>39</v>
      </c>
      <c r="G37" s="5" t="s">
        <v>99</v>
      </c>
      <c r="H37" s="6">
        <f>+P37-I37-J37</f>
        <v>0</v>
      </c>
      <c r="I37" s="6">
        <f t="shared" si="0"/>
        <v>1799743.9999999998</v>
      </c>
      <c r="J37" s="6">
        <v>341951.36</v>
      </c>
      <c r="K37" s="6">
        <v>0</v>
      </c>
      <c r="L37" s="6">
        <v>0</v>
      </c>
      <c r="M37" s="6">
        <f t="shared" si="9"/>
        <v>1799743.9999999998</v>
      </c>
      <c r="N37" s="6">
        <f t="shared" si="2"/>
        <v>341951.36</v>
      </c>
      <c r="O37" s="6">
        <f t="shared" si="3"/>
        <v>2141695.36</v>
      </c>
      <c r="P37" s="6">
        <v>2141695.36</v>
      </c>
      <c r="Q37" s="6">
        <f t="shared" si="6"/>
        <v>1799743.9999999998</v>
      </c>
      <c r="R37" s="6">
        <f t="shared" si="4"/>
        <v>44993.599999999991</v>
      </c>
      <c r="S37" s="5"/>
      <c r="T37" s="12" t="s">
        <v>167</v>
      </c>
      <c r="U37" s="12" t="s">
        <v>168</v>
      </c>
      <c r="V37" s="20">
        <v>130305.60000000001</v>
      </c>
    </row>
    <row r="38" spans="2:22" ht="15.6" x14ac:dyDescent="0.3">
      <c r="B38" s="5" t="s">
        <v>16</v>
      </c>
      <c r="C38" s="5" t="s">
        <v>169</v>
      </c>
      <c r="D38" s="5" t="s">
        <v>18</v>
      </c>
      <c r="E38" s="5" t="s">
        <v>170</v>
      </c>
      <c r="F38" s="5" t="s">
        <v>62</v>
      </c>
      <c r="G38" s="5" t="s">
        <v>69</v>
      </c>
      <c r="H38" s="6">
        <f>+P38-I38-J38</f>
        <v>73.042105262982659</v>
      </c>
      <c r="I38" s="6">
        <f t="shared" si="0"/>
        <v>1800169.1578947369</v>
      </c>
      <c r="J38" s="6">
        <v>342032.14</v>
      </c>
      <c r="K38" s="6">
        <v>0</v>
      </c>
      <c r="L38" s="6">
        <v>0</v>
      </c>
      <c r="M38" s="6">
        <f t="shared" si="9"/>
        <v>1800242.1999999997</v>
      </c>
      <c r="N38" s="6">
        <f t="shared" si="2"/>
        <v>342032.14</v>
      </c>
      <c r="O38" s="6">
        <f t="shared" si="3"/>
        <v>2142274.34</v>
      </c>
      <c r="P38" s="6">
        <v>2142274.34</v>
      </c>
      <c r="Q38" s="6">
        <f t="shared" si="6"/>
        <v>1800242.1999999997</v>
      </c>
      <c r="R38" s="6">
        <f t="shared" si="4"/>
        <v>45006.054999999993</v>
      </c>
      <c r="S38" s="5"/>
      <c r="T38" s="12" t="s">
        <v>171</v>
      </c>
      <c r="U38" s="12" t="s">
        <v>172</v>
      </c>
      <c r="V38" s="20">
        <v>6468504.000276315</v>
      </c>
    </row>
    <row r="39" spans="2:22" ht="15.6" x14ac:dyDescent="0.3">
      <c r="B39" s="5" t="s">
        <v>16</v>
      </c>
      <c r="C39" s="5" t="s">
        <v>173</v>
      </c>
      <c r="D39" s="5" t="s">
        <v>18</v>
      </c>
      <c r="E39" s="5" t="s">
        <v>162</v>
      </c>
      <c r="F39" s="5" t="s">
        <v>20</v>
      </c>
      <c r="G39" s="5" t="s">
        <v>21</v>
      </c>
      <c r="H39" s="6">
        <v>0</v>
      </c>
      <c r="I39" s="6">
        <f t="shared" si="0"/>
        <v>1816089.5263157894</v>
      </c>
      <c r="J39" s="6">
        <v>345057.01</v>
      </c>
      <c r="K39" s="6">
        <v>0</v>
      </c>
      <c r="L39" s="6">
        <v>0</v>
      </c>
      <c r="M39" s="6">
        <f t="shared" si="9"/>
        <v>1816089.5263157894</v>
      </c>
      <c r="N39" s="6">
        <f t="shared" si="2"/>
        <v>345057.01</v>
      </c>
      <c r="O39" s="6">
        <f t="shared" si="3"/>
        <v>2161146.5363157894</v>
      </c>
      <c r="P39" s="6">
        <v>2161146.61</v>
      </c>
      <c r="Q39" s="6">
        <f t="shared" si="6"/>
        <v>1816089.5263157894</v>
      </c>
      <c r="R39" s="6">
        <f t="shared" si="4"/>
        <v>45402.238157894732</v>
      </c>
      <c r="S39" s="5"/>
      <c r="T39" s="12" t="s">
        <v>174</v>
      </c>
      <c r="U39" s="12" t="s">
        <v>175</v>
      </c>
      <c r="V39" s="20">
        <v>494108.5</v>
      </c>
    </row>
    <row r="40" spans="2:22" ht="15.6" x14ac:dyDescent="0.3">
      <c r="B40" s="5" t="s">
        <v>16</v>
      </c>
      <c r="C40" s="5" t="s">
        <v>176</v>
      </c>
      <c r="D40" s="5" t="s">
        <v>18</v>
      </c>
      <c r="E40" s="5" t="s">
        <v>177</v>
      </c>
      <c r="F40" s="5" t="s">
        <v>20</v>
      </c>
      <c r="G40" s="5" t="s">
        <v>21</v>
      </c>
      <c r="H40" s="6">
        <f t="shared" ref="H40:H45" si="10">+P40-I40-J40</f>
        <v>222336.02315789444</v>
      </c>
      <c r="I40" s="6">
        <f t="shared" si="0"/>
        <v>1646601.7368421054</v>
      </c>
      <c r="J40" s="6">
        <v>312854.33</v>
      </c>
      <c r="K40" s="6">
        <v>0</v>
      </c>
      <c r="L40" s="6">
        <v>0</v>
      </c>
      <c r="M40" s="6">
        <f t="shared" si="9"/>
        <v>1868937.7599999998</v>
      </c>
      <c r="N40" s="6">
        <f t="shared" si="2"/>
        <v>312854.33</v>
      </c>
      <c r="O40" s="6">
        <f t="shared" si="3"/>
        <v>2181792.09</v>
      </c>
      <c r="P40" s="6">
        <v>2181792.09</v>
      </c>
      <c r="Q40" s="6">
        <f t="shared" si="6"/>
        <v>1868937.7599999998</v>
      </c>
      <c r="R40" s="6">
        <f t="shared" si="4"/>
        <v>46723.443999999996</v>
      </c>
      <c r="S40" s="5"/>
      <c r="T40" s="12" t="s">
        <v>178</v>
      </c>
      <c r="U40" s="12" t="s">
        <v>179</v>
      </c>
      <c r="V40" s="20">
        <v>67560.544000000009</v>
      </c>
    </row>
    <row r="41" spans="2:22" s="5" customFormat="1" ht="15.6" x14ac:dyDescent="0.3">
      <c r="B41" s="5" t="s">
        <v>16</v>
      </c>
      <c r="C41" s="5" t="s">
        <v>180</v>
      </c>
      <c r="D41" s="5" t="s">
        <v>181</v>
      </c>
      <c r="E41" s="5" t="s">
        <v>117</v>
      </c>
      <c r="F41" s="5" t="s">
        <v>182</v>
      </c>
      <c r="G41" s="5" t="s">
        <v>183</v>
      </c>
      <c r="H41" s="6">
        <f t="shared" si="10"/>
        <v>3.7894737150054425E-2</v>
      </c>
      <c r="I41" s="6">
        <f t="shared" si="0"/>
        <v>1871300.8421052629</v>
      </c>
      <c r="J41" s="6">
        <v>355547.16</v>
      </c>
      <c r="K41" s="6">
        <v>0</v>
      </c>
      <c r="L41" s="6">
        <v>0</v>
      </c>
      <c r="M41" s="6">
        <f t="shared" si="9"/>
        <v>1871300.8800000001</v>
      </c>
      <c r="N41" s="6">
        <f t="shared" si="2"/>
        <v>355547.16</v>
      </c>
      <c r="O41" s="6">
        <f t="shared" si="3"/>
        <v>2226848.04</v>
      </c>
      <c r="P41" s="6">
        <v>2226848.04</v>
      </c>
      <c r="Q41" s="6">
        <f t="shared" si="6"/>
        <v>1871300.8800000001</v>
      </c>
      <c r="R41" s="6">
        <f t="shared" si="4"/>
        <v>46782.522000000004</v>
      </c>
      <c r="T41" s="12" t="s">
        <v>184</v>
      </c>
      <c r="U41" s="12" t="s">
        <v>185</v>
      </c>
      <c r="V41" s="20">
        <v>384737.6671052631</v>
      </c>
    </row>
    <row r="42" spans="2:22" s="5" customFormat="1" ht="15.6" x14ac:dyDescent="0.3">
      <c r="B42" s="5" t="s">
        <v>16</v>
      </c>
      <c r="C42" s="5" t="s">
        <v>186</v>
      </c>
      <c r="D42" s="5" t="s">
        <v>18</v>
      </c>
      <c r="E42" s="5" t="s">
        <v>68</v>
      </c>
      <c r="F42" s="5" t="s">
        <v>62</v>
      </c>
      <c r="G42" s="5" t="s">
        <v>69</v>
      </c>
      <c r="H42" s="6">
        <f t="shared" si="10"/>
        <v>0.21000000013737008</v>
      </c>
      <c r="I42" s="6">
        <f t="shared" si="0"/>
        <v>1892422</v>
      </c>
      <c r="J42" s="6">
        <v>359560.18</v>
      </c>
      <c r="K42" s="6">
        <v>0</v>
      </c>
      <c r="L42" s="6">
        <v>0</v>
      </c>
      <c r="M42" s="6">
        <f t="shared" si="9"/>
        <v>1892422.2100000002</v>
      </c>
      <c r="N42" s="6">
        <f t="shared" si="2"/>
        <v>359560.18</v>
      </c>
      <c r="O42" s="6">
        <f t="shared" si="3"/>
        <v>2251982.39</v>
      </c>
      <c r="P42" s="6">
        <v>2251982.39</v>
      </c>
      <c r="Q42" s="6">
        <f t="shared" si="6"/>
        <v>1892422.2100000002</v>
      </c>
      <c r="R42" s="6">
        <f t="shared" si="4"/>
        <v>47310.555250000005</v>
      </c>
      <c r="T42" s="12" t="s">
        <v>187</v>
      </c>
      <c r="U42" s="12" t="s">
        <v>188</v>
      </c>
      <c r="V42" s="20">
        <v>1782325.3499999999</v>
      </c>
    </row>
    <row r="43" spans="2:22" s="5" customFormat="1" ht="15.6" x14ac:dyDescent="0.3">
      <c r="B43" s="5" t="s">
        <v>16</v>
      </c>
      <c r="C43" s="5" t="s">
        <v>189</v>
      </c>
      <c r="D43" s="5" t="s">
        <v>190</v>
      </c>
      <c r="E43" s="5" t="s">
        <v>191</v>
      </c>
      <c r="F43" s="5" t="s">
        <v>59</v>
      </c>
      <c r="G43" s="5" t="s">
        <v>192</v>
      </c>
      <c r="H43" s="6">
        <f t="shared" si="10"/>
        <v>1.8947368545923382E-2</v>
      </c>
      <c r="I43" s="6">
        <f t="shared" si="0"/>
        <v>1931092.4210526315</v>
      </c>
      <c r="J43" s="6">
        <v>366907.56</v>
      </c>
      <c r="K43" s="6">
        <v>0</v>
      </c>
      <c r="L43" s="6">
        <v>0</v>
      </c>
      <c r="M43" s="6">
        <f t="shared" si="9"/>
        <v>1931092.44</v>
      </c>
      <c r="N43" s="6">
        <f t="shared" si="2"/>
        <v>366907.56</v>
      </c>
      <c r="O43" s="6">
        <f t="shared" si="3"/>
        <v>2298000</v>
      </c>
      <c r="P43" s="6">
        <v>2298000</v>
      </c>
      <c r="Q43" s="6">
        <f t="shared" si="6"/>
        <v>1931092.44</v>
      </c>
      <c r="R43" s="6">
        <f t="shared" si="4"/>
        <v>48277.310999999994</v>
      </c>
      <c r="T43" s="12" t="s">
        <v>193</v>
      </c>
      <c r="U43" s="12" t="s">
        <v>194</v>
      </c>
      <c r="V43" s="20">
        <v>75065.125999999989</v>
      </c>
    </row>
    <row r="44" spans="2:22" s="5" customFormat="1" ht="15.6" x14ac:dyDescent="0.3">
      <c r="B44" s="7" t="s">
        <v>16</v>
      </c>
      <c r="C44" s="7" t="s">
        <v>195</v>
      </c>
      <c r="D44" s="7" t="s">
        <v>35</v>
      </c>
      <c r="E44" s="7" t="s">
        <v>196</v>
      </c>
      <c r="F44" s="7" t="s">
        <v>112</v>
      </c>
      <c r="G44" s="7" t="s">
        <v>113</v>
      </c>
      <c r="H44" s="8">
        <f t="shared" si="10"/>
        <v>4.6566128730773926E-10</v>
      </c>
      <c r="I44" s="8">
        <f t="shared" si="0"/>
        <v>1941137.9999999998</v>
      </c>
      <c r="J44" s="8">
        <v>368816.22</v>
      </c>
      <c r="K44" s="8">
        <v>0</v>
      </c>
      <c r="L44" s="8">
        <v>0</v>
      </c>
      <c r="M44" s="8">
        <f>+I44+H44</f>
        <v>1941138.0000000002</v>
      </c>
      <c r="N44" s="8">
        <f t="shared" si="2"/>
        <v>368816.22</v>
      </c>
      <c r="O44" s="8">
        <f t="shared" si="3"/>
        <v>2309954.2200000002</v>
      </c>
      <c r="P44" s="8">
        <v>2309954.2200000002</v>
      </c>
      <c r="Q44" s="8">
        <f t="shared" si="6"/>
        <v>1941138.0000000002</v>
      </c>
      <c r="R44" s="8">
        <f t="shared" si="4"/>
        <v>48528.450000000012</v>
      </c>
      <c r="T44" s="12" t="s">
        <v>197</v>
      </c>
      <c r="U44" s="12" t="s">
        <v>198</v>
      </c>
      <c r="V44" s="20">
        <v>250755</v>
      </c>
    </row>
    <row r="45" spans="2:22" ht="15.6" x14ac:dyDescent="0.3">
      <c r="B45" s="5" t="s">
        <v>16</v>
      </c>
      <c r="C45" s="5" t="s">
        <v>199</v>
      </c>
      <c r="D45" s="5" t="s">
        <v>18</v>
      </c>
      <c r="E45" s="5" t="s">
        <v>200</v>
      </c>
      <c r="F45" s="5" t="s">
        <v>62</v>
      </c>
      <c r="G45" s="5" t="s">
        <v>69</v>
      </c>
      <c r="H45" s="6">
        <f t="shared" si="10"/>
        <v>588015.06315789488</v>
      </c>
      <c r="I45" s="6">
        <f t="shared" si="0"/>
        <v>1387398.7368421052</v>
      </c>
      <c r="J45" s="6">
        <v>263605.76000000001</v>
      </c>
      <c r="K45" s="6">
        <v>0</v>
      </c>
      <c r="L45" s="6">
        <v>0</v>
      </c>
      <c r="M45" s="6">
        <f>+H45+I45+K45</f>
        <v>1975413.8</v>
      </c>
      <c r="N45" s="6">
        <f t="shared" si="2"/>
        <v>263605.76000000001</v>
      </c>
      <c r="O45" s="6">
        <f t="shared" si="3"/>
        <v>2239019.56</v>
      </c>
      <c r="P45" s="6">
        <v>2239019.56</v>
      </c>
      <c r="Q45" s="6">
        <f t="shared" si="6"/>
        <v>1975413.8</v>
      </c>
      <c r="R45" s="6">
        <f t="shared" si="4"/>
        <v>49385.345000000001</v>
      </c>
      <c r="S45" s="5"/>
      <c r="T45" s="12" t="s">
        <v>201</v>
      </c>
      <c r="U45" s="12" t="s">
        <v>202</v>
      </c>
      <c r="V45" s="20">
        <v>415470</v>
      </c>
    </row>
    <row r="46" spans="2:22" ht="15.6" x14ac:dyDescent="0.3">
      <c r="B46" s="5" t="s">
        <v>16</v>
      </c>
      <c r="C46" s="5" t="s">
        <v>203</v>
      </c>
      <c r="D46" s="5" t="s">
        <v>97</v>
      </c>
      <c r="E46" s="5" t="s">
        <v>204</v>
      </c>
      <c r="F46" s="5" t="s">
        <v>39</v>
      </c>
      <c r="G46" s="5" t="s">
        <v>205</v>
      </c>
      <c r="H46" s="6">
        <v>0</v>
      </c>
      <c r="I46" s="6">
        <f t="shared" si="0"/>
        <v>1982283.0000000002</v>
      </c>
      <c r="J46" s="6">
        <v>376633.77</v>
      </c>
      <c r="K46" s="6">
        <v>0</v>
      </c>
      <c r="L46" s="6">
        <v>0</v>
      </c>
      <c r="M46" s="6">
        <f>+H46+I46+K46</f>
        <v>1982283.0000000002</v>
      </c>
      <c r="N46" s="6">
        <f t="shared" si="2"/>
        <v>376633.77</v>
      </c>
      <c r="O46" s="6">
        <f t="shared" si="3"/>
        <v>2358916.7700000005</v>
      </c>
      <c r="P46" s="6">
        <v>2358916.77</v>
      </c>
      <c r="Q46" s="6">
        <f t="shared" si="6"/>
        <v>1982283.0000000002</v>
      </c>
      <c r="R46" s="6">
        <f t="shared" si="4"/>
        <v>49557.075000000012</v>
      </c>
      <c r="S46" s="5"/>
      <c r="T46" s="12" t="s">
        <v>206</v>
      </c>
      <c r="U46" s="12" t="s">
        <v>207</v>
      </c>
      <c r="V46" s="20">
        <v>780745.72499999998</v>
      </c>
    </row>
    <row r="47" spans="2:22" ht="15.6" x14ac:dyDescent="0.3">
      <c r="B47" s="7" t="s">
        <v>16</v>
      </c>
      <c r="C47" s="7" t="s">
        <v>208</v>
      </c>
      <c r="D47" s="7" t="s">
        <v>47</v>
      </c>
      <c r="E47" s="7" t="s">
        <v>148</v>
      </c>
      <c r="F47" s="7" t="s">
        <v>49</v>
      </c>
      <c r="G47" s="7" t="s">
        <v>50</v>
      </c>
      <c r="H47" s="8">
        <f>+P47-I47-J47</f>
        <v>-4.6315789746586233E-2</v>
      </c>
      <c r="I47" s="8">
        <f t="shared" si="0"/>
        <v>1988319.5263157897</v>
      </c>
      <c r="J47" s="8">
        <v>377780.71</v>
      </c>
      <c r="K47" s="8">
        <v>0</v>
      </c>
      <c r="L47" s="8">
        <v>0</v>
      </c>
      <c r="M47" s="8">
        <f>+I47+H47</f>
        <v>1988319.48</v>
      </c>
      <c r="N47" s="8">
        <f t="shared" si="2"/>
        <v>377780.71</v>
      </c>
      <c r="O47" s="8">
        <f t="shared" si="3"/>
        <v>2366100.19</v>
      </c>
      <c r="P47" s="8">
        <v>2366100.19</v>
      </c>
      <c r="Q47" s="8">
        <f t="shared" si="6"/>
        <v>1988319.48</v>
      </c>
      <c r="R47" s="8">
        <f t="shared" si="4"/>
        <v>49707.987000000001</v>
      </c>
      <c r="S47" s="5"/>
      <c r="T47" s="12" t="s">
        <v>209</v>
      </c>
      <c r="U47" s="12" t="s">
        <v>210</v>
      </c>
      <c r="V47" s="20">
        <v>97556.920499999993</v>
      </c>
    </row>
    <row r="48" spans="2:22" ht="15.6" x14ac:dyDescent="0.3">
      <c r="B48" s="5" t="s">
        <v>16</v>
      </c>
      <c r="C48" s="5" t="s">
        <v>211</v>
      </c>
      <c r="D48" s="5" t="s">
        <v>125</v>
      </c>
      <c r="E48" s="5" t="s">
        <v>212</v>
      </c>
      <c r="F48" s="5" t="s">
        <v>127</v>
      </c>
      <c r="G48" s="5" t="s">
        <v>128</v>
      </c>
      <c r="H48" s="6">
        <f>+P48-I48-J48</f>
        <v>2.8421052556950599E-2</v>
      </c>
      <c r="I48" s="6">
        <f t="shared" si="0"/>
        <v>1996638.6315789474</v>
      </c>
      <c r="J48" s="6">
        <v>379361.34</v>
      </c>
      <c r="K48" s="6">
        <v>0</v>
      </c>
      <c r="L48" s="6">
        <v>0</v>
      </c>
      <c r="M48" s="6">
        <f t="shared" ref="M48:M53" si="11">+H48+I48+K48</f>
        <v>1996638.66</v>
      </c>
      <c r="N48" s="6">
        <f t="shared" si="2"/>
        <v>379361.34</v>
      </c>
      <c r="O48" s="6">
        <f t="shared" si="3"/>
        <v>2376000</v>
      </c>
      <c r="P48" s="6">
        <v>2376000</v>
      </c>
      <c r="Q48" s="6">
        <f t="shared" si="6"/>
        <v>1996638.66</v>
      </c>
      <c r="R48" s="6">
        <f t="shared" si="4"/>
        <v>49915.966499999995</v>
      </c>
      <c r="S48" s="5"/>
      <c r="T48" s="12" t="s">
        <v>213</v>
      </c>
      <c r="U48" s="12" t="s">
        <v>214</v>
      </c>
      <c r="V48" s="20">
        <v>6965613.2682500007</v>
      </c>
    </row>
    <row r="49" spans="2:22" ht="15.6" x14ac:dyDescent="0.3">
      <c r="B49" s="5" t="s">
        <v>16</v>
      </c>
      <c r="C49" s="5" t="s">
        <v>215</v>
      </c>
      <c r="D49" s="5" t="s">
        <v>35</v>
      </c>
      <c r="E49" s="5" t="s">
        <v>216</v>
      </c>
      <c r="F49" s="5" t="s">
        <v>217</v>
      </c>
      <c r="G49" s="5" t="s">
        <v>218</v>
      </c>
      <c r="H49" s="6">
        <f>+P49-I49-J49</f>
        <v>2000000</v>
      </c>
      <c r="I49" s="6">
        <f t="shared" si="0"/>
        <v>0</v>
      </c>
      <c r="J49" s="6">
        <v>0</v>
      </c>
      <c r="K49" s="6">
        <v>0</v>
      </c>
      <c r="L49" s="6">
        <v>0</v>
      </c>
      <c r="M49" s="6">
        <f t="shared" si="11"/>
        <v>2000000</v>
      </c>
      <c r="N49" s="6">
        <f t="shared" si="2"/>
        <v>0</v>
      </c>
      <c r="O49" s="6">
        <f t="shared" si="3"/>
        <v>2000000</v>
      </c>
      <c r="P49" s="6">
        <v>2000000</v>
      </c>
      <c r="Q49" s="6">
        <f t="shared" si="6"/>
        <v>2000000</v>
      </c>
      <c r="R49" s="6">
        <f t="shared" si="4"/>
        <v>50000</v>
      </c>
      <c r="S49" s="5"/>
      <c r="T49" s="12" t="s">
        <v>219</v>
      </c>
      <c r="U49" s="12" t="s">
        <v>220</v>
      </c>
      <c r="V49" s="20">
        <v>525376.77499999991</v>
      </c>
    </row>
    <row r="50" spans="2:22" ht="15.6" x14ac:dyDescent="0.3">
      <c r="B50" s="5" t="s">
        <v>16</v>
      </c>
      <c r="C50" s="5" t="s">
        <v>221</v>
      </c>
      <c r="D50" s="5" t="s">
        <v>18</v>
      </c>
      <c r="E50" s="5" t="s">
        <v>222</v>
      </c>
      <c r="F50" s="5" t="s">
        <v>62</v>
      </c>
      <c r="G50" s="5" t="s">
        <v>69</v>
      </c>
      <c r="H50" s="6">
        <f>+P50-I50-J50</f>
        <v>467038.58631578949</v>
      </c>
      <c r="I50" s="6">
        <f t="shared" si="0"/>
        <v>1629997.4736842106</v>
      </c>
      <c r="J50" s="6">
        <v>309699.52</v>
      </c>
      <c r="K50" s="6">
        <v>0</v>
      </c>
      <c r="L50" s="6">
        <v>0</v>
      </c>
      <c r="M50" s="6">
        <f t="shared" si="11"/>
        <v>2097036.06</v>
      </c>
      <c r="N50" s="6">
        <f t="shared" si="2"/>
        <v>309699.52</v>
      </c>
      <c r="O50" s="6">
        <f t="shared" si="3"/>
        <v>2406735.58</v>
      </c>
      <c r="P50" s="6">
        <v>2406735.58</v>
      </c>
      <c r="Q50" s="6">
        <f>+M50-96276</f>
        <v>2000760.06</v>
      </c>
      <c r="R50" s="6">
        <f t="shared" si="4"/>
        <v>50019.001500000006</v>
      </c>
      <c r="S50" s="5"/>
      <c r="T50" s="12" t="s">
        <v>223</v>
      </c>
      <c r="U50" s="12" t="s">
        <v>224</v>
      </c>
      <c r="V50" s="20">
        <v>7514576.6562368441</v>
      </c>
    </row>
    <row r="51" spans="2:22" ht="15.6" x14ac:dyDescent="0.3">
      <c r="B51" s="5" t="s">
        <v>16</v>
      </c>
      <c r="C51" s="5" t="s">
        <v>225</v>
      </c>
      <c r="D51" s="5" t="s">
        <v>125</v>
      </c>
      <c r="E51" s="5" t="s">
        <v>226</v>
      </c>
      <c r="F51" s="5" t="s">
        <v>127</v>
      </c>
      <c r="G51" s="5" t="s">
        <v>128</v>
      </c>
      <c r="H51" s="6">
        <f>+P51-I51-J51-K51-L51</f>
        <v>2.0526315725874156E-2</v>
      </c>
      <c r="I51" s="6">
        <f t="shared" si="0"/>
        <v>2042016.7894736843</v>
      </c>
      <c r="J51" s="6">
        <v>387983.19</v>
      </c>
      <c r="K51" s="6">
        <v>0</v>
      </c>
      <c r="L51" s="6">
        <v>0</v>
      </c>
      <c r="M51" s="6">
        <f t="shared" si="11"/>
        <v>2042016.81</v>
      </c>
      <c r="N51" s="6">
        <f t="shared" si="2"/>
        <v>387983.19</v>
      </c>
      <c r="O51" s="6">
        <f t="shared" si="3"/>
        <v>2430000</v>
      </c>
      <c r="P51" s="6">
        <v>2430000</v>
      </c>
      <c r="Q51" s="6">
        <f t="shared" ref="Q51:Q65" si="12">+M51</f>
        <v>2042016.81</v>
      </c>
      <c r="R51" s="6">
        <f t="shared" si="4"/>
        <v>51050.420250000003</v>
      </c>
      <c r="S51" s="5"/>
      <c r="T51" s="12" t="s">
        <v>227</v>
      </c>
      <c r="U51" s="12" t="s">
        <v>228</v>
      </c>
      <c r="V51" s="20">
        <v>228953.77499999999</v>
      </c>
    </row>
    <row r="52" spans="2:22" ht="15.6" x14ac:dyDescent="0.3">
      <c r="B52" s="5" t="s">
        <v>16</v>
      </c>
      <c r="C52" s="5" t="s">
        <v>229</v>
      </c>
      <c r="D52" s="5" t="s">
        <v>18</v>
      </c>
      <c r="E52" s="5" t="s">
        <v>230</v>
      </c>
      <c r="F52" s="5" t="s">
        <v>20</v>
      </c>
      <c r="G52" s="5" t="s">
        <v>21</v>
      </c>
      <c r="H52" s="6">
        <v>0.33684210572391748</v>
      </c>
      <c r="I52" s="6">
        <f t="shared" si="0"/>
        <v>2061545.2631578944</v>
      </c>
      <c r="J52" s="6">
        <v>391693.6</v>
      </c>
      <c r="K52" s="6">
        <v>0</v>
      </c>
      <c r="L52" s="6">
        <v>0</v>
      </c>
      <c r="M52" s="6">
        <f t="shared" si="11"/>
        <v>2061545.6</v>
      </c>
      <c r="N52" s="6">
        <f t="shared" si="2"/>
        <v>391693.6</v>
      </c>
      <c r="O52" s="6">
        <f t="shared" si="3"/>
        <v>2453239.2000000002</v>
      </c>
      <c r="P52" s="6">
        <v>2453239.2000000002</v>
      </c>
      <c r="Q52" s="6">
        <f t="shared" si="12"/>
        <v>2061545.6</v>
      </c>
      <c r="R52" s="6">
        <f t="shared" si="4"/>
        <v>51538.64</v>
      </c>
      <c r="S52" s="5"/>
      <c r="T52" s="12" t="s">
        <v>231</v>
      </c>
      <c r="U52" s="12" t="s">
        <v>232</v>
      </c>
      <c r="V52" s="20">
        <v>157236.125</v>
      </c>
    </row>
    <row r="53" spans="2:22" ht="15.6" x14ac:dyDescent="0.3">
      <c r="B53" s="5" t="s">
        <v>16</v>
      </c>
      <c r="C53" s="5" t="s">
        <v>233</v>
      </c>
      <c r="D53" s="5" t="s">
        <v>35</v>
      </c>
      <c r="E53" s="5" t="s">
        <v>234</v>
      </c>
      <c r="F53" s="5" t="s">
        <v>112</v>
      </c>
      <c r="G53" s="5" t="s">
        <v>113</v>
      </c>
      <c r="H53" s="6">
        <f t="shared" ref="H53:H58" si="13">+P53-I53-J53</f>
        <v>0</v>
      </c>
      <c r="I53" s="6">
        <f t="shared" si="0"/>
        <v>2062739.9999999998</v>
      </c>
      <c r="J53" s="6">
        <v>391920.6</v>
      </c>
      <c r="K53" s="6">
        <v>0</v>
      </c>
      <c r="L53" s="6">
        <v>0</v>
      </c>
      <c r="M53" s="6">
        <f t="shared" si="11"/>
        <v>2062739.9999999998</v>
      </c>
      <c r="N53" s="6">
        <f t="shared" si="2"/>
        <v>391920.6</v>
      </c>
      <c r="O53" s="6">
        <f t="shared" si="3"/>
        <v>2454660.5999999996</v>
      </c>
      <c r="P53" s="6">
        <v>2454660.6</v>
      </c>
      <c r="Q53" s="6">
        <f t="shared" si="12"/>
        <v>2062739.9999999998</v>
      </c>
      <c r="R53" s="6">
        <f t="shared" si="4"/>
        <v>51568.499999999993</v>
      </c>
      <c r="S53" s="5"/>
      <c r="T53" s="12" t="s">
        <v>235</v>
      </c>
      <c r="U53" s="12" t="s">
        <v>236</v>
      </c>
      <c r="V53" s="20">
        <v>826275.48789473693</v>
      </c>
    </row>
    <row r="54" spans="2:22" ht="15.6" x14ac:dyDescent="0.3">
      <c r="B54" s="7" t="s">
        <v>16</v>
      </c>
      <c r="C54" s="7" t="s">
        <v>237</v>
      </c>
      <c r="D54" s="7" t="s">
        <v>35</v>
      </c>
      <c r="E54" s="7" t="s">
        <v>238</v>
      </c>
      <c r="F54" s="7" t="s">
        <v>112</v>
      </c>
      <c r="G54" s="7" t="s">
        <v>113</v>
      </c>
      <c r="H54" s="8">
        <f t="shared" si="13"/>
        <v>0</v>
      </c>
      <c r="I54" s="8">
        <f t="shared" si="0"/>
        <v>2080250</v>
      </c>
      <c r="J54" s="8">
        <v>395247.5</v>
      </c>
      <c r="K54" s="8">
        <v>0</v>
      </c>
      <c r="L54" s="8">
        <v>0</v>
      </c>
      <c r="M54" s="8">
        <f>+I54+H54</f>
        <v>2080250</v>
      </c>
      <c r="N54" s="8">
        <f t="shared" si="2"/>
        <v>395247.5</v>
      </c>
      <c r="O54" s="8">
        <f t="shared" si="3"/>
        <v>2475497.5</v>
      </c>
      <c r="P54" s="8">
        <v>2475497.5</v>
      </c>
      <c r="Q54" s="8">
        <f t="shared" si="12"/>
        <v>2080250</v>
      </c>
      <c r="R54" s="8">
        <f t="shared" si="4"/>
        <v>52006.25</v>
      </c>
      <c r="S54" s="5"/>
      <c r="T54" s="12" t="s">
        <v>239</v>
      </c>
      <c r="U54" s="12" t="s">
        <v>240</v>
      </c>
      <c r="V54" s="20">
        <v>1363589.8</v>
      </c>
    </row>
    <row r="55" spans="2:22" ht="15.6" x14ac:dyDescent="0.3">
      <c r="B55" s="5" t="s">
        <v>16</v>
      </c>
      <c r="C55" s="5" t="s">
        <v>241</v>
      </c>
      <c r="D55" s="5" t="s">
        <v>18</v>
      </c>
      <c r="E55" s="5" t="s">
        <v>94</v>
      </c>
      <c r="F55" s="5" t="s">
        <v>20</v>
      </c>
      <c r="G55" s="5" t="s">
        <v>21</v>
      </c>
      <c r="H55" s="6">
        <f t="shared" si="13"/>
        <v>0.17894736869493499</v>
      </c>
      <c r="I55" s="6">
        <f t="shared" si="0"/>
        <v>2114217.4210526315</v>
      </c>
      <c r="J55" s="6">
        <v>401701.31</v>
      </c>
      <c r="K55" s="6">
        <v>0</v>
      </c>
      <c r="L55" s="6">
        <v>0</v>
      </c>
      <c r="M55" s="6">
        <f t="shared" ref="M55:M60" si="14">+H55+I55+K55</f>
        <v>2114217.6</v>
      </c>
      <c r="N55" s="6">
        <f t="shared" si="2"/>
        <v>401701.31</v>
      </c>
      <c r="O55" s="6">
        <f t="shared" si="3"/>
        <v>2515918.91</v>
      </c>
      <c r="P55" s="6">
        <v>2515918.91</v>
      </c>
      <c r="Q55" s="6">
        <f t="shared" si="12"/>
        <v>2114217.6</v>
      </c>
      <c r="R55" s="6">
        <f t="shared" si="4"/>
        <v>52855.44</v>
      </c>
      <c r="S55" s="5"/>
      <c r="T55" s="22" t="s">
        <v>242</v>
      </c>
      <c r="U55" s="12" t="s">
        <v>243</v>
      </c>
      <c r="V55" s="20">
        <v>1094422.25</v>
      </c>
    </row>
    <row r="56" spans="2:22" ht="15.6" x14ac:dyDescent="0.3">
      <c r="B56" s="5" t="s">
        <v>16</v>
      </c>
      <c r="C56" s="5" t="s">
        <v>244</v>
      </c>
      <c r="D56" s="5" t="s">
        <v>35</v>
      </c>
      <c r="E56" s="5" t="s">
        <v>245</v>
      </c>
      <c r="F56" s="5" t="s">
        <v>112</v>
      </c>
      <c r="G56" s="5" t="s">
        <v>113</v>
      </c>
      <c r="H56" s="6">
        <f t="shared" si="13"/>
        <v>0</v>
      </c>
      <c r="I56" s="6">
        <f t="shared" si="0"/>
        <v>2116200</v>
      </c>
      <c r="J56" s="6">
        <v>402078</v>
      </c>
      <c r="K56" s="6">
        <v>0</v>
      </c>
      <c r="L56" s="6">
        <v>0</v>
      </c>
      <c r="M56" s="6">
        <f t="shared" si="14"/>
        <v>2116200</v>
      </c>
      <c r="N56" s="6">
        <f t="shared" si="2"/>
        <v>402078</v>
      </c>
      <c r="O56" s="6">
        <f t="shared" si="3"/>
        <v>2518278</v>
      </c>
      <c r="P56" s="6">
        <v>2518278</v>
      </c>
      <c r="Q56" s="6">
        <f t="shared" si="12"/>
        <v>2116200</v>
      </c>
      <c r="R56" s="6">
        <f t="shared" si="4"/>
        <v>52905</v>
      </c>
      <c r="S56" s="5"/>
      <c r="T56" s="12" t="s">
        <v>246</v>
      </c>
      <c r="U56" s="12" t="s">
        <v>247</v>
      </c>
      <c r="V56" s="20">
        <v>27226.89</v>
      </c>
    </row>
    <row r="57" spans="2:22" ht="15.6" x14ac:dyDescent="0.3">
      <c r="B57" s="5" t="s">
        <v>16</v>
      </c>
      <c r="C57" s="5" t="s">
        <v>248</v>
      </c>
      <c r="D57" s="5" t="s">
        <v>47</v>
      </c>
      <c r="E57" s="5" t="s">
        <v>249</v>
      </c>
      <c r="F57" s="5" t="s">
        <v>49</v>
      </c>
      <c r="G57" s="5" t="s">
        <v>50</v>
      </c>
      <c r="H57" s="6">
        <f t="shared" si="13"/>
        <v>0</v>
      </c>
      <c r="I57" s="6">
        <f t="shared" si="0"/>
        <v>2117652</v>
      </c>
      <c r="J57" s="6">
        <v>402353.88</v>
      </c>
      <c r="K57" s="6">
        <v>0</v>
      </c>
      <c r="L57" s="6">
        <v>0</v>
      </c>
      <c r="M57" s="6">
        <f t="shared" si="14"/>
        <v>2117652</v>
      </c>
      <c r="N57" s="6">
        <f t="shared" si="2"/>
        <v>402353.88</v>
      </c>
      <c r="O57" s="6">
        <f t="shared" si="3"/>
        <v>2520005.88</v>
      </c>
      <c r="P57" s="6">
        <v>2520005.88</v>
      </c>
      <c r="Q57" s="6">
        <f t="shared" si="12"/>
        <v>2117652</v>
      </c>
      <c r="R57" s="6">
        <f t="shared" si="4"/>
        <v>52941.3</v>
      </c>
      <c r="S57" s="5"/>
      <c r="T57" s="22" t="s">
        <v>250</v>
      </c>
      <c r="U57" s="12" t="s">
        <v>251</v>
      </c>
      <c r="V57" s="20">
        <v>215509.53999999998</v>
      </c>
    </row>
    <row r="58" spans="2:22" ht="15.6" x14ac:dyDescent="0.3">
      <c r="B58" s="5" t="s">
        <v>16</v>
      </c>
      <c r="C58" s="5" t="s">
        <v>252</v>
      </c>
      <c r="D58" s="5" t="s">
        <v>18</v>
      </c>
      <c r="E58" s="5" t="s">
        <v>253</v>
      </c>
      <c r="F58" s="5" t="s">
        <v>20</v>
      </c>
      <c r="G58" s="5" t="s">
        <v>21</v>
      </c>
      <c r="H58" s="6">
        <f t="shared" si="13"/>
        <v>5.1578947517555207E-2</v>
      </c>
      <c r="I58" s="6">
        <f t="shared" si="0"/>
        <v>2162719.3684210526</v>
      </c>
      <c r="J58" s="6">
        <v>410916.68</v>
      </c>
      <c r="K58" s="6">
        <v>0</v>
      </c>
      <c r="L58" s="6">
        <v>0</v>
      </c>
      <c r="M58" s="6">
        <f t="shared" si="14"/>
        <v>2162719.42</v>
      </c>
      <c r="N58" s="6">
        <f t="shared" si="2"/>
        <v>410916.68</v>
      </c>
      <c r="O58" s="6">
        <f t="shared" si="3"/>
        <v>2573636.1</v>
      </c>
      <c r="P58" s="6">
        <v>2573636.1</v>
      </c>
      <c r="Q58" s="6">
        <f t="shared" si="12"/>
        <v>2162719.42</v>
      </c>
      <c r="R58" s="6">
        <f t="shared" si="4"/>
        <v>54067.985499999995</v>
      </c>
      <c r="S58" s="5"/>
      <c r="T58" s="12" t="s">
        <v>254</v>
      </c>
      <c r="U58" s="12" t="s">
        <v>255</v>
      </c>
      <c r="V58" s="20">
        <v>23130.251999999997</v>
      </c>
    </row>
    <row r="59" spans="2:22" ht="15.6" x14ac:dyDescent="0.3">
      <c r="B59" s="5" t="s">
        <v>16</v>
      </c>
      <c r="C59" s="5" t="s">
        <v>256</v>
      </c>
      <c r="D59" s="5" t="s">
        <v>35</v>
      </c>
      <c r="E59" s="5" t="s">
        <v>257</v>
      </c>
      <c r="F59" s="5" t="s">
        <v>112</v>
      </c>
      <c r="G59" s="5" t="s">
        <v>113</v>
      </c>
      <c r="H59" s="6">
        <v>-2.1052632015198469E-2</v>
      </c>
      <c r="I59" s="6">
        <f t="shared" si="0"/>
        <v>2177751.4210526319</v>
      </c>
      <c r="J59" s="6">
        <v>413772.77</v>
      </c>
      <c r="K59" s="6">
        <v>0</v>
      </c>
      <c r="L59" s="6">
        <v>0</v>
      </c>
      <c r="M59" s="6">
        <f t="shared" si="14"/>
        <v>2177751.4</v>
      </c>
      <c r="N59" s="6">
        <f t="shared" si="2"/>
        <v>413772.77</v>
      </c>
      <c r="O59" s="6">
        <f t="shared" si="3"/>
        <v>2591524.17</v>
      </c>
      <c r="P59" s="6">
        <v>2591524.17</v>
      </c>
      <c r="Q59" s="6">
        <f t="shared" si="12"/>
        <v>2177751.4</v>
      </c>
      <c r="R59" s="6">
        <f t="shared" si="4"/>
        <v>54443.785000000003</v>
      </c>
      <c r="S59" s="5"/>
      <c r="T59" s="12" t="s">
        <v>258</v>
      </c>
      <c r="U59" s="12" t="s">
        <v>259</v>
      </c>
      <c r="V59" s="20">
        <v>4144773.5060789473</v>
      </c>
    </row>
    <row r="60" spans="2:22" ht="15.6" x14ac:dyDescent="0.3">
      <c r="B60" s="5" t="s">
        <v>16</v>
      </c>
      <c r="C60" s="5" t="s">
        <v>260</v>
      </c>
      <c r="D60" s="5" t="s">
        <v>35</v>
      </c>
      <c r="E60" s="5" t="s">
        <v>142</v>
      </c>
      <c r="F60" s="5" t="s">
        <v>112</v>
      </c>
      <c r="G60" s="5" t="s">
        <v>113</v>
      </c>
      <c r="H60" s="6">
        <f>+P60-I60-J60</f>
        <v>0</v>
      </c>
      <c r="I60" s="6">
        <f t="shared" si="0"/>
        <v>2181864</v>
      </c>
      <c r="J60" s="6">
        <v>414554.16</v>
      </c>
      <c r="K60" s="6">
        <v>0</v>
      </c>
      <c r="L60" s="6">
        <v>0</v>
      </c>
      <c r="M60" s="6">
        <f t="shared" si="14"/>
        <v>2181864</v>
      </c>
      <c r="N60" s="6">
        <f t="shared" si="2"/>
        <v>414554.16</v>
      </c>
      <c r="O60" s="6">
        <f t="shared" si="3"/>
        <v>2596418.16</v>
      </c>
      <c r="P60" s="6">
        <v>2596418.16</v>
      </c>
      <c r="Q60" s="6">
        <f t="shared" si="12"/>
        <v>2181864</v>
      </c>
      <c r="R60" s="6">
        <f t="shared" si="4"/>
        <v>54546.6</v>
      </c>
      <c r="S60" s="5"/>
      <c r="T60" s="12" t="s">
        <v>261</v>
      </c>
      <c r="U60" s="12" t="s">
        <v>262</v>
      </c>
      <c r="V60" s="20">
        <v>1688897.425</v>
      </c>
    </row>
    <row r="61" spans="2:22" s="5" customFormat="1" ht="15.6" x14ac:dyDescent="0.3">
      <c r="B61" s="7" t="s">
        <v>16</v>
      </c>
      <c r="C61" s="7" t="s">
        <v>263</v>
      </c>
      <c r="D61" s="7" t="s">
        <v>35</v>
      </c>
      <c r="E61" s="7" t="s">
        <v>148</v>
      </c>
      <c r="F61" s="7" t="s">
        <v>112</v>
      </c>
      <c r="G61" s="7" t="s">
        <v>113</v>
      </c>
      <c r="H61" s="8">
        <f>+P61-I61-J61</f>
        <v>0</v>
      </c>
      <c r="I61" s="8">
        <f t="shared" si="0"/>
        <v>2191282</v>
      </c>
      <c r="J61" s="8">
        <v>416343.58</v>
      </c>
      <c r="K61" s="8">
        <v>0</v>
      </c>
      <c r="L61" s="8">
        <v>0</v>
      </c>
      <c r="M61" s="8">
        <f>+I61+H61</f>
        <v>2191282</v>
      </c>
      <c r="N61" s="8">
        <f t="shared" si="2"/>
        <v>416343.58</v>
      </c>
      <c r="O61" s="8">
        <f t="shared" si="3"/>
        <v>2607625.58</v>
      </c>
      <c r="P61" s="8">
        <v>2607625.58</v>
      </c>
      <c r="Q61" s="8">
        <f t="shared" si="12"/>
        <v>2191282</v>
      </c>
      <c r="R61" s="8">
        <f t="shared" si="4"/>
        <v>54782.05</v>
      </c>
      <c r="T61" s="12" t="s">
        <v>264</v>
      </c>
      <c r="U61" s="12" t="s">
        <v>265</v>
      </c>
      <c r="V61" s="20">
        <v>2314175.3126315791</v>
      </c>
    </row>
    <row r="62" spans="2:22" s="5" customFormat="1" ht="15.6" x14ac:dyDescent="0.3">
      <c r="B62" s="5" t="s">
        <v>16</v>
      </c>
      <c r="C62" s="5" t="s">
        <v>266</v>
      </c>
      <c r="D62" s="5" t="s">
        <v>18</v>
      </c>
      <c r="E62" s="5" t="s">
        <v>162</v>
      </c>
      <c r="F62" s="5" t="s">
        <v>20</v>
      </c>
      <c r="G62" s="5" t="s">
        <v>21</v>
      </c>
      <c r="H62" s="6">
        <v>0</v>
      </c>
      <c r="I62" s="6">
        <f t="shared" si="0"/>
        <v>2229624.2631578944</v>
      </c>
      <c r="J62" s="6">
        <v>423628.61</v>
      </c>
      <c r="K62" s="6">
        <v>0</v>
      </c>
      <c r="L62" s="6">
        <v>0</v>
      </c>
      <c r="M62" s="6">
        <f t="shared" ref="M62:M80" si="15">+H62+I62+K62</f>
        <v>2229624.2631578944</v>
      </c>
      <c r="N62" s="6">
        <f t="shared" si="2"/>
        <v>423628.61</v>
      </c>
      <c r="O62" s="6">
        <f t="shared" si="3"/>
        <v>2653252.8731578942</v>
      </c>
      <c r="P62" s="6">
        <v>4330403.8099999996</v>
      </c>
      <c r="Q62" s="6">
        <f t="shared" si="12"/>
        <v>2229624.2631578944</v>
      </c>
      <c r="R62" s="6">
        <f t="shared" si="4"/>
        <v>55740.606578947365</v>
      </c>
      <c r="T62" s="12" t="s">
        <v>267</v>
      </c>
      <c r="U62" s="12" t="s">
        <v>268</v>
      </c>
      <c r="V62" s="20">
        <v>538849.451</v>
      </c>
    </row>
    <row r="63" spans="2:22" s="5" customFormat="1" ht="15.6" x14ac:dyDescent="0.3">
      <c r="B63" s="5" t="s">
        <v>16</v>
      </c>
      <c r="C63" s="5" t="s">
        <v>269</v>
      </c>
      <c r="D63" s="5" t="s">
        <v>35</v>
      </c>
      <c r="E63" s="5" t="s">
        <v>270</v>
      </c>
      <c r="F63" s="5" t="s">
        <v>271</v>
      </c>
      <c r="G63" s="5" t="s">
        <v>272</v>
      </c>
      <c r="H63" s="6">
        <f>+P63-I63-J63-K63-L63</f>
        <v>2230000</v>
      </c>
      <c r="I63" s="6">
        <f t="shared" si="0"/>
        <v>0</v>
      </c>
      <c r="J63" s="6">
        <v>0</v>
      </c>
      <c r="K63" s="6">
        <v>0</v>
      </c>
      <c r="L63" s="6">
        <v>0</v>
      </c>
      <c r="M63" s="6">
        <f t="shared" si="15"/>
        <v>2230000</v>
      </c>
      <c r="N63" s="6">
        <f t="shared" si="2"/>
        <v>0</v>
      </c>
      <c r="O63" s="6">
        <f t="shared" si="3"/>
        <v>2230000</v>
      </c>
      <c r="P63" s="6">
        <v>2230000</v>
      </c>
      <c r="Q63" s="6">
        <f t="shared" si="12"/>
        <v>2230000</v>
      </c>
      <c r="R63" s="6">
        <f t="shared" si="4"/>
        <v>55750</v>
      </c>
      <c r="T63" s="12" t="s">
        <v>273</v>
      </c>
      <c r="U63" s="12" t="s">
        <v>274</v>
      </c>
      <c r="V63" s="20">
        <v>67616.899999999994</v>
      </c>
    </row>
    <row r="64" spans="2:22" s="5" customFormat="1" ht="15.6" x14ac:dyDescent="0.3">
      <c r="B64" s="5" t="s">
        <v>16</v>
      </c>
      <c r="C64" s="5" t="s">
        <v>275</v>
      </c>
      <c r="D64" s="5" t="s">
        <v>18</v>
      </c>
      <c r="E64" s="5" t="s">
        <v>276</v>
      </c>
      <c r="F64" s="5" t="s">
        <v>62</v>
      </c>
      <c r="G64" s="5" t="s">
        <v>69</v>
      </c>
      <c r="H64" s="6">
        <f>+P64-I64-J64</f>
        <v>2068627.4</v>
      </c>
      <c r="I64" s="6">
        <f t="shared" si="0"/>
        <v>220842</v>
      </c>
      <c r="J64" s="6">
        <v>41959.98</v>
      </c>
      <c r="K64" s="6">
        <v>0</v>
      </c>
      <c r="L64" s="6">
        <v>0</v>
      </c>
      <c r="M64" s="6">
        <f t="shared" si="15"/>
        <v>2289469.4</v>
      </c>
      <c r="N64" s="6">
        <f t="shared" si="2"/>
        <v>41959.98</v>
      </c>
      <c r="O64" s="6">
        <f t="shared" si="3"/>
        <v>2331429.38</v>
      </c>
      <c r="P64" s="6">
        <v>2331429.38</v>
      </c>
      <c r="Q64" s="6">
        <f t="shared" si="12"/>
        <v>2289469.4</v>
      </c>
      <c r="R64" s="6">
        <f t="shared" si="4"/>
        <v>57236.735000000001</v>
      </c>
      <c r="T64" s="22" t="s">
        <v>277</v>
      </c>
      <c r="U64" s="12" t="s">
        <v>278</v>
      </c>
      <c r="V64" s="20">
        <v>1163554.80375</v>
      </c>
    </row>
    <row r="65" spans="2:22" s="5" customFormat="1" ht="15.6" x14ac:dyDescent="0.3">
      <c r="B65" s="5" t="s">
        <v>16</v>
      </c>
      <c r="C65" s="5" t="s">
        <v>279</v>
      </c>
      <c r="D65" s="5" t="s">
        <v>110</v>
      </c>
      <c r="E65" s="5" t="s">
        <v>87</v>
      </c>
      <c r="F65" s="5" t="s">
        <v>112</v>
      </c>
      <c r="G65" s="5" t="s">
        <v>113</v>
      </c>
      <c r="H65" s="6">
        <f>+P65-I65-J65-K65-L65</f>
        <v>1.7462298274040222E-10</v>
      </c>
      <c r="I65" s="6">
        <f t="shared" si="0"/>
        <v>2330064</v>
      </c>
      <c r="J65" s="6">
        <v>442712.16</v>
      </c>
      <c r="K65" s="6">
        <v>0</v>
      </c>
      <c r="L65" s="6">
        <v>0</v>
      </c>
      <c r="M65" s="6">
        <f t="shared" si="15"/>
        <v>2330064</v>
      </c>
      <c r="N65" s="6">
        <f t="shared" si="2"/>
        <v>442712.16</v>
      </c>
      <c r="O65" s="6">
        <f t="shared" si="3"/>
        <v>2772776.16</v>
      </c>
      <c r="P65" s="6">
        <v>2772776.16</v>
      </c>
      <c r="Q65" s="6">
        <f t="shared" si="12"/>
        <v>2330064</v>
      </c>
      <c r="R65" s="6">
        <f t="shared" si="4"/>
        <v>58251.6</v>
      </c>
      <c r="T65" s="12" t="s">
        <v>280</v>
      </c>
      <c r="U65" s="12" t="s">
        <v>281</v>
      </c>
      <c r="V65" s="20">
        <v>298794.5</v>
      </c>
    </row>
    <row r="66" spans="2:22" s="5" customFormat="1" ht="15.6" x14ac:dyDescent="0.3">
      <c r="B66" s="5" t="s">
        <v>16</v>
      </c>
      <c r="C66" s="5" t="s">
        <v>282</v>
      </c>
      <c r="D66" s="5" t="s">
        <v>18</v>
      </c>
      <c r="E66" s="5" t="s">
        <v>61</v>
      </c>
      <c r="F66" s="5" t="s">
        <v>20</v>
      </c>
      <c r="G66" s="5" t="s">
        <v>21</v>
      </c>
      <c r="H66" s="6">
        <f>+P66-I66-J66-K66-L66</f>
        <v>902799.46526315797</v>
      </c>
      <c r="I66" s="6">
        <f t="shared" si="0"/>
        <v>1554297.894736842</v>
      </c>
      <c r="J66" s="6">
        <v>295316.59999999998</v>
      </c>
      <c r="K66" s="6">
        <v>0</v>
      </c>
      <c r="L66" s="6">
        <v>0</v>
      </c>
      <c r="M66" s="6">
        <f t="shared" si="15"/>
        <v>2457097.36</v>
      </c>
      <c r="N66" s="6">
        <f t="shared" si="2"/>
        <v>295316.59999999998</v>
      </c>
      <c r="O66" s="6">
        <f t="shared" si="3"/>
        <v>2752413.96</v>
      </c>
      <c r="P66" s="6">
        <v>2752413.96</v>
      </c>
      <c r="Q66" s="6">
        <f>+M66-121743</f>
        <v>2335354.36</v>
      </c>
      <c r="R66" s="6">
        <f t="shared" si="4"/>
        <v>58383.858999999997</v>
      </c>
      <c r="T66" s="12" t="s">
        <v>283</v>
      </c>
      <c r="U66" s="12" t="s">
        <v>284</v>
      </c>
      <c r="V66" s="20">
        <v>7034542.2730000019</v>
      </c>
    </row>
    <row r="67" spans="2:22" s="5" customFormat="1" ht="15.6" x14ac:dyDescent="0.3">
      <c r="B67" s="5" t="s">
        <v>16</v>
      </c>
      <c r="C67" s="5" t="s">
        <v>285</v>
      </c>
      <c r="D67" s="5" t="s">
        <v>35</v>
      </c>
      <c r="E67" s="5" t="s">
        <v>286</v>
      </c>
      <c r="F67" s="5" t="s">
        <v>37</v>
      </c>
      <c r="G67" s="5" t="s">
        <v>38</v>
      </c>
      <c r="H67" s="6">
        <f>+P67-I67-J67-K67-L67</f>
        <v>4.3157894629985094E-2</v>
      </c>
      <c r="I67" s="6">
        <f t="shared" ref="I67:I130" si="16">+J67/19*100</f>
        <v>2361411.7368421052</v>
      </c>
      <c r="J67" s="6">
        <v>448668.23</v>
      </c>
      <c r="K67" s="6">
        <v>0</v>
      </c>
      <c r="L67" s="6">
        <v>0</v>
      </c>
      <c r="M67" s="6">
        <f t="shared" si="15"/>
        <v>2361411.7799999998</v>
      </c>
      <c r="N67" s="6">
        <f t="shared" ref="N67:N130" si="17">+J67+L67</f>
        <v>448668.23</v>
      </c>
      <c r="O67" s="6">
        <f t="shared" ref="O67:O130" si="18">+M67+N67</f>
        <v>2810080.01</v>
      </c>
      <c r="P67" s="6">
        <v>2810080.01</v>
      </c>
      <c r="Q67" s="6">
        <f t="shared" ref="Q67:Q80" si="19">+M67</f>
        <v>2361411.7799999998</v>
      </c>
      <c r="R67" s="6">
        <f t="shared" ref="R67:R130" si="20">+Q67*2.5/100</f>
        <v>59035.294499999989</v>
      </c>
      <c r="T67" s="12" t="s">
        <v>287</v>
      </c>
      <c r="U67" s="12" t="s">
        <v>288</v>
      </c>
      <c r="V67" s="20">
        <v>44662.5</v>
      </c>
    </row>
    <row r="68" spans="2:22" s="5" customFormat="1" ht="15.6" x14ac:dyDescent="0.3">
      <c r="B68" s="5" t="s">
        <v>16</v>
      </c>
      <c r="C68" s="5" t="s">
        <v>289</v>
      </c>
      <c r="D68" s="5" t="s">
        <v>35</v>
      </c>
      <c r="E68" s="5" t="s">
        <v>64</v>
      </c>
      <c r="F68" s="5" t="s">
        <v>37</v>
      </c>
      <c r="G68" s="5" t="s">
        <v>65</v>
      </c>
      <c r="H68" s="6">
        <f>+P68-I68-J68</f>
        <v>0.10526315757306293</v>
      </c>
      <c r="I68" s="6">
        <f t="shared" si="16"/>
        <v>2395585.8947368423</v>
      </c>
      <c r="J68" s="6">
        <v>455161.32</v>
      </c>
      <c r="K68" s="6">
        <v>0</v>
      </c>
      <c r="L68" s="6">
        <v>0</v>
      </c>
      <c r="M68" s="6">
        <f t="shared" si="15"/>
        <v>2395586</v>
      </c>
      <c r="N68" s="6">
        <f t="shared" si="17"/>
        <v>455161.32</v>
      </c>
      <c r="O68" s="6">
        <f t="shared" si="18"/>
        <v>2850747.32</v>
      </c>
      <c r="P68" s="6">
        <v>2850747.32</v>
      </c>
      <c r="Q68" s="6">
        <f t="shared" si="19"/>
        <v>2395586</v>
      </c>
      <c r="R68" s="6">
        <f t="shared" si="20"/>
        <v>59889.65</v>
      </c>
      <c r="T68" s="12" t="s">
        <v>290</v>
      </c>
      <c r="U68" s="12" t="s">
        <v>291</v>
      </c>
      <c r="V68" s="20">
        <v>903027.18775000016</v>
      </c>
    </row>
    <row r="69" spans="2:22" s="5" customFormat="1" ht="15.6" x14ac:dyDescent="0.3">
      <c r="B69" s="5" t="s">
        <v>16</v>
      </c>
      <c r="C69" s="5" t="s">
        <v>292</v>
      </c>
      <c r="D69" s="5" t="s">
        <v>156</v>
      </c>
      <c r="E69" s="5" t="s">
        <v>293</v>
      </c>
      <c r="F69" s="5" t="s">
        <v>82</v>
      </c>
      <c r="G69" s="5" t="s">
        <v>294</v>
      </c>
      <c r="H69" s="6">
        <f>+P69-I69-J69</f>
        <v>3.1578947091475129E-2</v>
      </c>
      <c r="I69" s="6">
        <f t="shared" si="16"/>
        <v>2399159.368421053</v>
      </c>
      <c r="J69" s="6">
        <v>455840.28</v>
      </c>
      <c r="K69" s="6">
        <v>0</v>
      </c>
      <c r="L69" s="6">
        <v>0</v>
      </c>
      <c r="M69" s="6">
        <f t="shared" si="15"/>
        <v>2399159.4000000004</v>
      </c>
      <c r="N69" s="6">
        <f t="shared" si="17"/>
        <v>455840.28</v>
      </c>
      <c r="O69" s="6">
        <f t="shared" si="18"/>
        <v>2854999.6800000006</v>
      </c>
      <c r="P69" s="6">
        <v>2854999.68</v>
      </c>
      <c r="Q69" s="6">
        <f t="shared" si="19"/>
        <v>2399159.4000000004</v>
      </c>
      <c r="R69" s="6">
        <f t="shared" si="20"/>
        <v>59978.985000000008</v>
      </c>
      <c r="T69" s="12" t="s">
        <v>295</v>
      </c>
      <c r="U69" s="12" t="s">
        <v>296</v>
      </c>
      <c r="V69" s="20">
        <v>488910.0405</v>
      </c>
    </row>
    <row r="70" spans="2:22" s="5" customFormat="1" ht="15.6" x14ac:dyDescent="0.3">
      <c r="B70" s="5" t="s">
        <v>16</v>
      </c>
      <c r="C70" s="5" t="s">
        <v>297</v>
      </c>
      <c r="D70" s="5" t="s">
        <v>18</v>
      </c>
      <c r="E70" s="5" t="s">
        <v>298</v>
      </c>
      <c r="F70" s="5" t="s">
        <v>20</v>
      </c>
      <c r="G70" s="5" t="s">
        <v>21</v>
      </c>
      <c r="H70" s="6">
        <f>+P70-I70-J70</f>
        <v>0</v>
      </c>
      <c r="I70" s="6">
        <f t="shared" si="16"/>
        <v>2419200</v>
      </c>
      <c r="J70" s="6">
        <v>459648</v>
      </c>
      <c r="K70" s="6">
        <v>0</v>
      </c>
      <c r="L70" s="6">
        <v>0</v>
      </c>
      <c r="M70" s="6">
        <f t="shared" si="15"/>
        <v>2419200</v>
      </c>
      <c r="N70" s="6">
        <f t="shared" si="17"/>
        <v>459648</v>
      </c>
      <c r="O70" s="6">
        <f t="shared" si="18"/>
        <v>2878848</v>
      </c>
      <c r="P70" s="6">
        <v>2878848</v>
      </c>
      <c r="Q70" s="6">
        <f t="shared" si="19"/>
        <v>2419200</v>
      </c>
      <c r="R70" s="6">
        <f t="shared" si="20"/>
        <v>60480</v>
      </c>
      <c r="T70" s="12" t="s">
        <v>299</v>
      </c>
      <c r="U70" s="12" t="s">
        <v>300</v>
      </c>
      <c r="V70" s="20">
        <v>76746</v>
      </c>
    </row>
    <row r="71" spans="2:22" s="5" customFormat="1" ht="15.6" x14ac:dyDescent="0.3">
      <c r="B71" s="5" t="s">
        <v>16</v>
      </c>
      <c r="C71" s="5" t="s">
        <v>301</v>
      </c>
      <c r="D71" s="5" t="s">
        <v>18</v>
      </c>
      <c r="E71" s="5" t="s">
        <v>302</v>
      </c>
      <c r="F71" s="5" t="s">
        <v>62</v>
      </c>
      <c r="G71" s="5" t="s">
        <v>69</v>
      </c>
      <c r="H71" s="6">
        <v>0</v>
      </c>
      <c r="I71" s="6">
        <f t="shared" si="16"/>
        <v>2453975.789473684</v>
      </c>
      <c r="J71" s="6">
        <v>466255.4</v>
      </c>
      <c r="K71" s="6">
        <v>0</v>
      </c>
      <c r="L71" s="6">
        <v>0</v>
      </c>
      <c r="M71" s="6">
        <f t="shared" si="15"/>
        <v>2453975.789473684</v>
      </c>
      <c r="N71" s="6">
        <f t="shared" si="17"/>
        <v>466255.4</v>
      </c>
      <c r="O71" s="6">
        <f t="shared" si="18"/>
        <v>2920231.1894736839</v>
      </c>
      <c r="P71" s="6">
        <v>2920329.6</v>
      </c>
      <c r="Q71" s="6">
        <f t="shared" si="19"/>
        <v>2453975.789473684</v>
      </c>
      <c r="R71" s="6">
        <f t="shared" si="20"/>
        <v>61349.394736842107</v>
      </c>
      <c r="T71" s="12" t="s">
        <v>303</v>
      </c>
      <c r="U71" s="12" t="s">
        <v>304</v>
      </c>
      <c r="V71" s="20">
        <v>758590.96625000006</v>
      </c>
    </row>
    <row r="72" spans="2:22" ht="15.6" x14ac:dyDescent="0.3">
      <c r="B72" s="5" t="s">
        <v>16</v>
      </c>
      <c r="C72" s="5" t="s">
        <v>305</v>
      </c>
      <c r="D72" s="5" t="s">
        <v>306</v>
      </c>
      <c r="E72" s="5" t="s">
        <v>307</v>
      </c>
      <c r="F72" s="5" t="s">
        <v>70</v>
      </c>
      <c r="G72" s="5" t="s">
        <v>308</v>
      </c>
      <c r="H72" s="6">
        <v>0</v>
      </c>
      <c r="I72" s="6">
        <f t="shared" si="16"/>
        <v>2457142.4736842103</v>
      </c>
      <c r="J72" s="6">
        <v>466857.07</v>
      </c>
      <c r="K72" s="6">
        <v>0</v>
      </c>
      <c r="L72" s="6">
        <v>0</v>
      </c>
      <c r="M72" s="6">
        <f t="shared" si="15"/>
        <v>2457142.4736842103</v>
      </c>
      <c r="N72" s="6">
        <f t="shared" si="17"/>
        <v>466857.07</v>
      </c>
      <c r="O72" s="6">
        <f t="shared" si="18"/>
        <v>2923999.5436842102</v>
      </c>
      <c r="P72" s="6">
        <v>2923999.58</v>
      </c>
      <c r="Q72" s="6">
        <f t="shared" si="19"/>
        <v>2457142.4736842103</v>
      </c>
      <c r="R72" s="6">
        <f t="shared" si="20"/>
        <v>61428.561842105257</v>
      </c>
      <c r="S72" s="5"/>
      <c r="T72" s="12" t="s">
        <v>309</v>
      </c>
      <c r="U72" s="12" t="s">
        <v>310</v>
      </c>
      <c r="V72" s="20">
        <v>485194.72625000007</v>
      </c>
    </row>
    <row r="73" spans="2:22" s="5" customFormat="1" ht="15.6" x14ac:dyDescent="0.3">
      <c r="B73" s="5" t="s">
        <v>16</v>
      </c>
      <c r="C73" s="5" t="s">
        <v>311</v>
      </c>
      <c r="D73" s="5" t="s">
        <v>18</v>
      </c>
      <c r="E73" s="5" t="s">
        <v>312</v>
      </c>
      <c r="F73" s="5" t="s">
        <v>62</v>
      </c>
      <c r="G73" s="5" t="s">
        <v>69</v>
      </c>
      <c r="H73" s="6">
        <f t="shared" ref="H73:H78" si="21">+P73-I73-J73</f>
        <v>108.05947368394118</v>
      </c>
      <c r="I73" s="6">
        <f t="shared" si="16"/>
        <v>2489128.210526316</v>
      </c>
      <c r="J73" s="6">
        <v>472934.36</v>
      </c>
      <c r="K73" s="6">
        <v>0</v>
      </c>
      <c r="L73" s="6">
        <v>0</v>
      </c>
      <c r="M73" s="6">
        <f t="shared" si="15"/>
        <v>2489236.27</v>
      </c>
      <c r="N73" s="6">
        <f t="shared" si="17"/>
        <v>472934.36</v>
      </c>
      <c r="O73" s="6">
        <f t="shared" si="18"/>
        <v>2962170.63</v>
      </c>
      <c r="P73" s="6">
        <v>2962170.63</v>
      </c>
      <c r="Q73" s="6">
        <f t="shared" si="19"/>
        <v>2489236.27</v>
      </c>
      <c r="R73" s="6">
        <f t="shared" si="20"/>
        <v>62230.906749999995</v>
      </c>
      <c r="T73" s="12" t="s">
        <v>313</v>
      </c>
      <c r="U73" s="12" t="s">
        <v>314</v>
      </c>
      <c r="V73" s="20">
        <v>35875.800000000003</v>
      </c>
    </row>
    <row r="74" spans="2:22" s="5" customFormat="1" ht="15.6" x14ac:dyDescent="0.3">
      <c r="B74" s="5" t="s">
        <v>16</v>
      </c>
      <c r="C74" s="5" t="s">
        <v>315</v>
      </c>
      <c r="D74" s="5" t="s">
        <v>35</v>
      </c>
      <c r="E74" s="5" t="s">
        <v>316</v>
      </c>
      <c r="F74" s="5" t="s">
        <v>37</v>
      </c>
      <c r="G74" s="5" t="s">
        <v>317</v>
      </c>
      <c r="H74" s="6">
        <f t="shared" si="21"/>
        <v>0.11421052645891905</v>
      </c>
      <c r="I74" s="6">
        <f t="shared" si="16"/>
        <v>2541176.3157894737</v>
      </c>
      <c r="J74" s="6">
        <v>482823.5</v>
      </c>
      <c r="K74" s="6">
        <v>0</v>
      </c>
      <c r="L74" s="6">
        <v>0</v>
      </c>
      <c r="M74" s="6">
        <f t="shared" si="15"/>
        <v>2541176.4300000002</v>
      </c>
      <c r="N74" s="6">
        <f t="shared" si="17"/>
        <v>482823.5</v>
      </c>
      <c r="O74" s="6">
        <f t="shared" si="18"/>
        <v>3023999.93</v>
      </c>
      <c r="P74" s="6">
        <v>3023999.93</v>
      </c>
      <c r="Q74" s="6">
        <f t="shared" si="19"/>
        <v>2541176.4300000002</v>
      </c>
      <c r="R74" s="6">
        <f t="shared" si="20"/>
        <v>63529.410750000003</v>
      </c>
      <c r="T74" s="12" t="s">
        <v>318</v>
      </c>
      <c r="U74" s="12" t="s">
        <v>319</v>
      </c>
      <c r="V74" s="20">
        <v>1037911.85</v>
      </c>
    </row>
    <row r="75" spans="2:22" s="5" customFormat="1" ht="15.6" x14ac:dyDescent="0.3">
      <c r="B75" s="5" t="s">
        <v>16</v>
      </c>
      <c r="C75" s="5" t="s">
        <v>320</v>
      </c>
      <c r="D75" s="5" t="s">
        <v>18</v>
      </c>
      <c r="E75" s="5" t="s">
        <v>298</v>
      </c>
      <c r="F75" s="5" t="s">
        <v>62</v>
      </c>
      <c r="G75" s="5" t="s">
        <v>69</v>
      </c>
      <c r="H75" s="6">
        <f t="shared" si="21"/>
        <v>16.121052631468046</v>
      </c>
      <c r="I75" s="6">
        <f t="shared" si="16"/>
        <v>2553967.5789473685</v>
      </c>
      <c r="J75" s="6">
        <v>485253.84</v>
      </c>
      <c r="K75" s="6">
        <v>0</v>
      </c>
      <c r="L75" s="6">
        <v>0</v>
      </c>
      <c r="M75" s="6">
        <f t="shared" si="15"/>
        <v>2553983.7000000002</v>
      </c>
      <c r="N75" s="6">
        <f t="shared" si="17"/>
        <v>485253.84</v>
      </c>
      <c r="O75" s="6">
        <f t="shared" si="18"/>
        <v>3039237.54</v>
      </c>
      <c r="P75" s="6">
        <v>3039237.54</v>
      </c>
      <c r="Q75" s="6">
        <f t="shared" si="19"/>
        <v>2553983.7000000002</v>
      </c>
      <c r="R75" s="6">
        <f t="shared" si="20"/>
        <v>63849.592499999999</v>
      </c>
      <c r="T75" s="12" t="s">
        <v>321</v>
      </c>
      <c r="U75" s="12" t="s">
        <v>322</v>
      </c>
      <c r="V75" s="20">
        <v>334064.7</v>
      </c>
    </row>
    <row r="76" spans="2:22" s="5" customFormat="1" ht="15.6" x14ac:dyDescent="0.3">
      <c r="B76" s="5" t="s">
        <v>16</v>
      </c>
      <c r="C76" s="5" t="s">
        <v>323</v>
      </c>
      <c r="D76" s="5" t="s">
        <v>35</v>
      </c>
      <c r="E76" s="5" t="s">
        <v>324</v>
      </c>
      <c r="F76" s="5" t="s">
        <v>112</v>
      </c>
      <c r="G76" s="5" t="s">
        <v>113</v>
      </c>
      <c r="H76" s="6">
        <f t="shared" si="21"/>
        <v>0</v>
      </c>
      <c r="I76" s="6">
        <f t="shared" si="16"/>
        <v>2592240</v>
      </c>
      <c r="J76" s="6">
        <v>492525.6</v>
      </c>
      <c r="K76" s="6">
        <v>0</v>
      </c>
      <c r="L76" s="6">
        <v>0</v>
      </c>
      <c r="M76" s="6">
        <f t="shared" si="15"/>
        <v>2592240</v>
      </c>
      <c r="N76" s="6">
        <f t="shared" si="17"/>
        <v>492525.6</v>
      </c>
      <c r="O76" s="6">
        <f t="shared" si="18"/>
        <v>3084765.6</v>
      </c>
      <c r="P76" s="6">
        <v>3084765.6</v>
      </c>
      <c r="Q76" s="6">
        <f t="shared" si="19"/>
        <v>2592240</v>
      </c>
      <c r="R76" s="6">
        <f t="shared" si="20"/>
        <v>64806</v>
      </c>
      <c r="T76" s="12" t="s">
        <v>325</v>
      </c>
      <c r="U76" s="12" t="s">
        <v>326</v>
      </c>
      <c r="V76" s="20">
        <v>433518.86575</v>
      </c>
    </row>
    <row r="77" spans="2:22" s="5" customFormat="1" ht="15.6" x14ac:dyDescent="0.3">
      <c r="B77" s="5" t="s">
        <v>16</v>
      </c>
      <c r="C77" s="5" t="s">
        <v>327</v>
      </c>
      <c r="D77" s="5" t="s">
        <v>97</v>
      </c>
      <c r="E77" s="5" t="s">
        <v>328</v>
      </c>
      <c r="F77" s="5" t="s">
        <v>39</v>
      </c>
      <c r="G77" s="5" t="s">
        <v>99</v>
      </c>
      <c r="H77" s="6">
        <f t="shared" si="21"/>
        <v>0</v>
      </c>
      <c r="I77" s="6">
        <f t="shared" si="16"/>
        <v>2610560</v>
      </c>
      <c r="J77" s="6">
        <v>496006.40000000002</v>
      </c>
      <c r="K77" s="6">
        <v>0</v>
      </c>
      <c r="L77" s="6">
        <v>0</v>
      </c>
      <c r="M77" s="6">
        <f t="shared" si="15"/>
        <v>2610560</v>
      </c>
      <c r="N77" s="6">
        <f t="shared" si="17"/>
        <v>496006.40000000002</v>
      </c>
      <c r="O77" s="6">
        <f t="shared" si="18"/>
        <v>3106566.4</v>
      </c>
      <c r="P77" s="6">
        <v>3106566.4</v>
      </c>
      <c r="Q77" s="6">
        <f t="shared" si="19"/>
        <v>2610560</v>
      </c>
      <c r="R77" s="6">
        <f t="shared" si="20"/>
        <v>65264</v>
      </c>
      <c r="T77" s="12" t="s">
        <v>329</v>
      </c>
      <c r="U77" s="12" t="s">
        <v>330</v>
      </c>
      <c r="V77" s="20">
        <v>279544.5</v>
      </c>
    </row>
    <row r="78" spans="2:22" ht="15.6" x14ac:dyDescent="0.3">
      <c r="B78" s="5" t="s">
        <v>16</v>
      </c>
      <c r="C78" s="5" t="s">
        <v>331</v>
      </c>
      <c r="D78" s="5" t="s">
        <v>35</v>
      </c>
      <c r="E78" s="5" t="s">
        <v>332</v>
      </c>
      <c r="F78" s="5" t="s">
        <v>112</v>
      </c>
      <c r="G78" s="5" t="s">
        <v>113</v>
      </c>
      <c r="H78" s="6">
        <f t="shared" si="21"/>
        <v>0</v>
      </c>
      <c r="I78" s="6">
        <f t="shared" si="16"/>
        <v>2645016</v>
      </c>
      <c r="J78" s="6">
        <v>502553.04</v>
      </c>
      <c r="K78" s="6">
        <v>0</v>
      </c>
      <c r="L78" s="6">
        <v>0</v>
      </c>
      <c r="M78" s="6">
        <f t="shared" si="15"/>
        <v>2645016</v>
      </c>
      <c r="N78" s="6">
        <f t="shared" si="17"/>
        <v>502553.04</v>
      </c>
      <c r="O78" s="6">
        <f t="shared" si="18"/>
        <v>3147569.04</v>
      </c>
      <c r="P78" s="6">
        <v>3147569.04</v>
      </c>
      <c r="Q78" s="6">
        <f t="shared" si="19"/>
        <v>2645016</v>
      </c>
      <c r="R78" s="6">
        <f t="shared" si="20"/>
        <v>66125.399999999994</v>
      </c>
      <c r="S78" s="5"/>
      <c r="T78" s="12" t="s">
        <v>333</v>
      </c>
      <c r="U78" s="12" t="s">
        <v>334</v>
      </c>
      <c r="V78" s="20">
        <v>213180</v>
      </c>
    </row>
    <row r="79" spans="2:22" s="5" customFormat="1" ht="15.6" x14ac:dyDescent="0.3">
      <c r="B79" s="5" t="s">
        <v>16</v>
      </c>
      <c r="C79" s="5" t="s">
        <v>335</v>
      </c>
      <c r="D79" s="5" t="s">
        <v>336</v>
      </c>
      <c r="E79" s="5" t="s">
        <v>337</v>
      </c>
      <c r="F79" s="5" t="s">
        <v>85</v>
      </c>
      <c r="G79" s="5" t="s">
        <v>338</v>
      </c>
      <c r="H79" s="6">
        <f>+P79-I79-J79-K79-L79</f>
        <v>-2.4736842256970704E-2</v>
      </c>
      <c r="I79" s="6">
        <f t="shared" si="16"/>
        <v>2654584.8947368423</v>
      </c>
      <c r="J79" s="6">
        <v>504371.13</v>
      </c>
      <c r="K79" s="6">
        <v>0</v>
      </c>
      <c r="L79" s="6">
        <v>0</v>
      </c>
      <c r="M79" s="6">
        <f t="shared" si="15"/>
        <v>2654584.87</v>
      </c>
      <c r="N79" s="6">
        <f t="shared" si="17"/>
        <v>504371.13</v>
      </c>
      <c r="O79" s="6">
        <f t="shared" si="18"/>
        <v>3158956</v>
      </c>
      <c r="P79" s="6">
        <v>3158956</v>
      </c>
      <c r="Q79" s="6">
        <f t="shared" si="19"/>
        <v>2654584.87</v>
      </c>
      <c r="R79" s="6">
        <f t="shared" si="20"/>
        <v>66364.621750000006</v>
      </c>
      <c r="T79" s="12" t="s">
        <v>339</v>
      </c>
      <c r="U79" s="12" t="s">
        <v>340</v>
      </c>
      <c r="V79" s="20">
        <v>322478.99174999999</v>
      </c>
    </row>
    <row r="80" spans="2:22" s="5" customFormat="1" ht="15.6" x14ac:dyDescent="0.3">
      <c r="B80" s="5" t="s">
        <v>16</v>
      </c>
      <c r="C80" s="5" t="s">
        <v>341</v>
      </c>
      <c r="D80" s="5" t="s">
        <v>35</v>
      </c>
      <c r="E80" s="5" t="s">
        <v>133</v>
      </c>
      <c r="F80" s="5" t="s">
        <v>112</v>
      </c>
      <c r="G80" s="5" t="s">
        <v>113</v>
      </c>
      <c r="H80" s="6">
        <f t="shared" ref="H80:H85" si="22">+P80-I80-J80</f>
        <v>0</v>
      </c>
      <c r="I80" s="6">
        <f t="shared" si="16"/>
        <v>2676924</v>
      </c>
      <c r="J80" s="6">
        <v>508615.56</v>
      </c>
      <c r="K80" s="6">
        <v>0</v>
      </c>
      <c r="L80" s="6">
        <v>0</v>
      </c>
      <c r="M80" s="6">
        <f t="shared" si="15"/>
        <v>2676924</v>
      </c>
      <c r="N80" s="6">
        <f t="shared" si="17"/>
        <v>508615.56</v>
      </c>
      <c r="O80" s="6">
        <f t="shared" si="18"/>
        <v>3185539.56</v>
      </c>
      <c r="P80" s="6">
        <v>3185539.56</v>
      </c>
      <c r="Q80" s="6">
        <f t="shared" si="19"/>
        <v>2676924</v>
      </c>
      <c r="R80" s="6">
        <f t="shared" si="20"/>
        <v>66923.100000000006</v>
      </c>
      <c r="T80" s="12" t="s">
        <v>342</v>
      </c>
      <c r="U80" s="12" t="s">
        <v>343</v>
      </c>
      <c r="V80" s="20">
        <v>24300</v>
      </c>
    </row>
    <row r="81" spans="2:22" ht="15.6" x14ac:dyDescent="0.3">
      <c r="B81" s="7" t="s">
        <v>16</v>
      </c>
      <c r="C81" s="7" t="s">
        <v>344</v>
      </c>
      <c r="D81" s="7" t="s">
        <v>18</v>
      </c>
      <c r="E81" s="7" t="s">
        <v>345</v>
      </c>
      <c r="F81" s="7" t="s">
        <v>20</v>
      </c>
      <c r="G81" s="7" t="s">
        <v>21</v>
      </c>
      <c r="H81" s="8">
        <f t="shared" si="22"/>
        <v>389829.25263157877</v>
      </c>
      <c r="I81" s="8">
        <f t="shared" si="16"/>
        <v>2458425.9473684211</v>
      </c>
      <c r="J81" s="8">
        <v>467100.93</v>
      </c>
      <c r="K81" s="8">
        <v>0</v>
      </c>
      <c r="L81" s="8">
        <v>0</v>
      </c>
      <c r="M81" s="8">
        <f>+I81+H81</f>
        <v>2848255.1999999997</v>
      </c>
      <c r="N81" s="8">
        <f t="shared" si="17"/>
        <v>467100.93</v>
      </c>
      <c r="O81" s="8">
        <f t="shared" si="18"/>
        <v>3315356.13</v>
      </c>
      <c r="P81" s="8">
        <v>3315356.13</v>
      </c>
      <c r="Q81" s="8">
        <f>+M81-146880</f>
        <v>2701375.1999999997</v>
      </c>
      <c r="R81" s="8">
        <f t="shared" si="20"/>
        <v>67534.37999999999</v>
      </c>
      <c r="S81" s="5"/>
      <c r="T81" s="12" t="s">
        <v>346</v>
      </c>
      <c r="U81" s="12" t="s">
        <v>347</v>
      </c>
      <c r="V81" s="20">
        <v>135714.28600000002</v>
      </c>
    </row>
    <row r="82" spans="2:22" s="5" customFormat="1" ht="15.6" x14ac:dyDescent="0.3">
      <c r="B82" s="5" t="s">
        <v>16</v>
      </c>
      <c r="C82" s="5" t="s">
        <v>348</v>
      </c>
      <c r="D82" s="5" t="s">
        <v>35</v>
      </c>
      <c r="E82" s="5" t="s">
        <v>349</v>
      </c>
      <c r="F82" s="5" t="s">
        <v>112</v>
      </c>
      <c r="G82" s="5" t="s">
        <v>113</v>
      </c>
      <c r="H82" s="6">
        <f t="shared" si="22"/>
        <v>0</v>
      </c>
      <c r="I82" s="6">
        <f t="shared" si="16"/>
        <v>2718954</v>
      </c>
      <c r="J82" s="6">
        <v>516601.26</v>
      </c>
      <c r="K82" s="6">
        <v>0</v>
      </c>
      <c r="L82" s="6">
        <v>0</v>
      </c>
      <c r="M82" s="6">
        <f t="shared" ref="M82:M93" si="23">+H82+I82+K82</f>
        <v>2718954</v>
      </c>
      <c r="N82" s="6">
        <f t="shared" si="17"/>
        <v>516601.26</v>
      </c>
      <c r="O82" s="6">
        <f t="shared" si="18"/>
        <v>3235555.26</v>
      </c>
      <c r="P82" s="6">
        <v>3235555.26</v>
      </c>
      <c r="Q82" s="6">
        <f t="shared" ref="Q82:Q92" si="24">+M82</f>
        <v>2718954</v>
      </c>
      <c r="R82" s="6">
        <f t="shared" si="20"/>
        <v>67973.850000000006</v>
      </c>
      <c r="T82" s="12" t="s">
        <v>350</v>
      </c>
      <c r="U82" s="12" t="s">
        <v>351</v>
      </c>
      <c r="V82" s="20">
        <v>180678.75</v>
      </c>
    </row>
    <row r="83" spans="2:22" s="5" customFormat="1" ht="15.6" x14ac:dyDescent="0.3">
      <c r="B83" s="5" t="s">
        <v>16</v>
      </c>
      <c r="C83" s="5" t="s">
        <v>352</v>
      </c>
      <c r="D83" s="5" t="s">
        <v>110</v>
      </c>
      <c r="E83" s="5" t="s">
        <v>353</v>
      </c>
      <c r="F83" s="5" t="s">
        <v>112</v>
      </c>
      <c r="G83" s="5" t="s">
        <v>113</v>
      </c>
      <c r="H83" s="6">
        <f t="shared" si="22"/>
        <v>0</v>
      </c>
      <c r="I83" s="6">
        <f t="shared" si="16"/>
        <v>2818855</v>
      </c>
      <c r="J83" s="6">
        <v>535582.44999999995</v>
      </c>
      <c r="K83" s="6">
        <v>0</v>
      </c>
      <c r="L83" s="6">
        <v>0</v>
      </c>
      <c r="M83" s="6">
        <f t="shared" si="23"/>
        <v>2818855</v>
      </c>
      <c r="N83" s="6">
        <f t="shared" si="17"/>
        <v>535582.44999999995</v>
      </c>
      <c r="O83" s="6">
        <f t="shared" si="18"/>
        <v>3354437.45</v>
      </c>
      <c r="P83" s="6">
        <v>3354437.45</v>
      </c>
      <c r="Q83" s="6">
        <f t="shared" si="24"/>
        <v>2818855</v>
      </c>
      <c r="R83" s="6">
        <f t="shared" si="20"/>
        <v>70471.375</v>
      </c>
      <c r="T83" s="12" t="s">
        <v>354</v>
      </c>
      <c r="U83" s="12" t="s">
        <v>355</v>
      </c>
      <c r="V83" s="20">
        <v>116663.73925</v>
      </c>
    </row>
    <row r="84" spans="2:22" s="5" customFormat="1" ht="15.6" x14ac:dyDescent="0.3">
      <c r="B84" s="5" t="s">
        <v>16</v>
      </c>
      <c r="C84" s="5" t="s">
        <v>356</v>
      </c>
      <c r="D84" s="5" t="s">
        <v>35</v>
      </c>
      <c r="E84" s="5" t="s">
        <v>357</v>
      </c>
      <c r="F84" s="5" t="s">
        <v>112</v>
      </c>
      <c r="G84" s="5" t="s">
        <v>113</v>
      </c>
      <c r="H84" s="6">
        <f t="shared" si="22"/>
        <v>0</v>
      </c>
      <c r="I84" s="6">
        <f t="shared" si="16"/>
        <v>2874935.9999999995</v>
      </c>
      <c r="J84" s="6">
        <v>546237.84</v>
      </c>
      <c r="K84" s="6">
        <v>0</v>
      </c>
      <c r="L84" s="6">
        <v>0</v>
      </c>
      <c r="M84" s="6">
        <f t="shared" si="23"/>
        <v>2874935.9999999995</v>
      </c>
      <c r="N84" s="6">
        <f t="shared" si="17"/>
        <v>546237.84</v>
      </c>
      <c r="O84" s="6">
        <f t="shared" si="18"/>
        <v>3421173.8399999994</v>
      </c>
      <c r="P84" s="6">
        <v>3421173.84</v>
      </c>
      <c r="Q84" s="6">
        <f t="shared" si="24"/>
        <v>2874935.9999999995</v>
      </c>
      <c r="R84" s="6">
        <f t="shared" si="20"/>
        <v>71873.399999999994</v>
      </c>
      <c r="T84" s="12" t="s">
        <v>358</v>
      </c>
      <c r="U84" s="12" t="s">
        <v>359</v>
      </c>
      <c r="V84" s="20">
        <v>141228.77599999998</v>
      </c>
    </row>
    <row r="85" spans="2:22" s="5" customFormat="1" ht="15.6" x14ac:dyDescent="0.3">
      <c r="B85" s="5" t="s">
        <v>16</v>
      </c>
      <c r="C85" s="5" t="s">
        <v>360</v>
      </c>
      <c r="D85" s="5" t="s">
        <v>18</v>
      </c>
      <c r="E85" s="5" t="s">
        <v>361</v>
      </c>
      <c r="F85" s="5" t="s">
        <v>62</v>
      </c>
      <c r="G85" s="5" t="s">
        <v>69</v>
      </c>
      <c r="H85" s="6">
        <f t="shared" si="22"/>
        <v>115.07368421088904</v>
      </c>
      <c r="I85" s="6">
        <f t="shared" si="16"/>
        <v>2897860.5263157892</v>
      </c>
      <c r="J85" s="6">
        <v>550593.5</v>
      </c>
      <c r="K85" s="6">
        <v>0</v>
      </c>
      <c r="L85" s="6">
        <v>0</v>
      </c>
      <c r="M85" s="6">
        <f t="shared" si="23"/>
        <v>2897975.6</v>
      </c>
      <c r="N85" s="6">
        <f t="shared" si="17"/>
        <v>550593.5</v>
      </c>
      <c r="O85" s="6">
        <f t="shared" si="18"/>
        <v>3448569.1</v>
      </c>
      <c r="P85" s="6">
        <v>3448569.1</v>
      </c>
      <c r="Q85" s="6">
        <f t="shared" si="24"/>
        <v>2897975.6</v>
      </c>
      <c r="R85" s="6">
        <f t="shared" si="20"/>
        <v>72449.39</v>
      </c>
      <c r="T85" s="22" t="s">
        <v>362</v>
      </c>
      <c r="U85" s="12" t="s">
        <v>363</v>
      </c>
      <c r="V85" s="20">
        <v>152701.076</v>
      </c>
    </row>
    <row r="86" spans="2:22" s="5" customFormat="1" ht="15.6" x14ac:dyDescent="0.3">
      <c r="B86" s="5" t="s">
        <v>16</v>
      </c>
      <c r="C86" s="5" t="s">
        <v>364</v>
      </c>
      <c r="D86" s="5" t="s">
        <v>110</v>
      </c>
      <c r="E86" s="5" t="s">
        <v>102</v>
      </c>
      <c r="F86" s="5" t="s">
        <v>112</v>
      </c>
      <c r="G86" s="5" t="s">
        <v>113</v>
      </c>
      <c r="H86" s="6">
        <v>0</v>
      </c>
      <c r="I86" s="6">
        <f t="shared" si="16"/>
        <v>2900828</v>
      </c>
      <c r="J86" s="6">
        <v>551157.31999999995</v>
      </c>
      <c r="K86" s="6">
        <v>0</v>
      </c>
      <c r="L86" s="6">
        <v>0</v>
      </c>
      <c r="M86" s="6">
        <f t="shared" si="23"/>
        <v>2900828</v>
      </c>
      <c r="N86" s="6">
        <f t="shared" si="17"/>
        <v>551157.31999999995</v>
      </c>
      <c r="O86" s="6">
        <f t="shared" si="18"/>
        <v>3451985.32</v>
      </c>
      <c r="P86" s="6">
        <v>3451985.32</v>
      </c>
      <c r="Q86" s="6">
        <f t="shared" si="24"/>
        <v>2900828</v>
      </c>
      <c r="R86" s="6">
        <f t="shared" si="20"/>
        <v>72520.7</v>
      </c>
      <c r="T86" s="12" t="s">
        <v>365</v>
      </c>
      <c r="U86" s="12" t="s">
        <v>366</v>
      </c>
      <c r="V86" s="20">
        <v>716597.40499999991</v>
      </c>
    </row>
    <row r="87" spans="2:22" s="5" customFormat="1" ht="15.6" x14ac:dyDescent="0.3">
      <c r="B87" s="5" t="s">
        <v>16</v>
      </c>
      <c r="C87" s="5" t="s">
        <v>367</v>
      </c>
      <c r="D87" s="5" t="s">
        <v>29</v>
      </c>
      <c r="E87" s="5" t="s">
        <v>368</v>
      </c>
      <c r="F87" s="5" t="s">
        <v>31</v>
      </c>
      <c r="G87" s="5" t="s">
        <v>32</v>
      </c>
      <c r="H87" s="6">
        <f>+P87-I87-J87</f>
        <v>1.0526314144954085E-3</v>
      </c>
      <c r="I87" s="6">
        <f t="shared" si="16"/>
        <v>2923949.5789473685</v>
      </c>
      <c r="J87" s="6">
        <v>555550.42000000004</v>
      </c>
      <c r="K87" s="6">
        <v>0</v>
      </c>
      <c r="L87" s="6">
        <v>0</v>
      </c>
      <c r="M87" s="6">
        <f t="shared" si="23"/>
        <v>2923949.58</v>
      </c>
      <c r="N87" s="6">
        <f t="shared" si="17"/>
        <v>555550.42000000004</v>
      </c>
      <c r="O87" s="6">
        <f t="shared" si="18"/>
        <v>3479500</v>
      </c>
      <c r="P87" s="6">
        <v>3479500</v>
      </c>
      <c r="Q87" s="6">
        <f t="shared" si="24"/>
        <v>2923949.58</v>
      </c>
      <c r="R87" s="6">
        <f t="shared" si="20"/>
        <v>73098.739499999996</v>
      </c>
      <c r="T87" s="12" t="s">
        <v>369</v>
      </c>
      <c r="U87" s="12" t="s">
        <v>370</v>
      </c>
      <c r="V87" s="20">
        <v>272395</v>
      </c>
    </row>
    <row r="88" spans="2:22" s="5" customFormat="1" ht="15.6" x14ac:dyDescent="0.3">
      <c r="B88" s="5" t="s">
        <v>16</v>
      </c>
      <c r="C88" s="5" t="s">
        <v>371</v>
      </c>
      <c r="D88" s="5" t="s">
        <v>47</v>
      </c>
      <c r="E88" s="5" t="s">
        <v>372</v>
      </c>
      <c r="F88" s="5" t="s">
        <v>49</v>
      </c>
      <c r="G88" s="5" t="s">
        <v>50</v>
      </c>
      <c r="H88" s="6">
        <f>+P88-I88-J88</f>
        <v>-9.7894736914895475E-2</v>
      </c>
      <c r="I88" s="6">
        <f t="shared" si="16"/>
        <v>2931835.1578947371</v>
      </c>
      <c r="J88" s="6">
        <v>557048.68000000005</v>
      </c>
      <c r="K88" s="6">
        <v>0</v>
      </c>
      <c r="L88" s="6">
        <v>0</v>
      </c>
      <c r="M88" s="6">
        <f t="shared" si="23"/>
        <v>2931835.06</v>
      </c>
      <c r="N88" s="6">
        <f t="shared" si="17"/>
        <v>557048.68000000005</v>
      </c>
      <c r="O88" s="6">
        <f t="shared" si="18"/>
        <v>3488883.74</v>
      </c>
      <c r="P88" s="6">
        <v>3488883.74</v>
      </c>
      <c r="Q88" s="6">
        <f t="shared" si="24"/>
        <v>2931835.06</v>
      </c>
      <c r="R88" s="6">
        <f t="shared" si="20"/>
        <v>73295.876499999998</v>
      </c>
      <c r="T88" s="12" t="s">
        <v>373</v>
      </c>
      <c r="U88" s="12" t="s">
        <v>374</v>
      </c>
      <c r="V88" s="20">
        <v>696264.65724999993</v>
      </c>
    </row>
    <row r="89" spans="2:22" s="5" customFormat="1" ht="15.6" x14ac:dyDescent="0.3">
      <c r="B89" s="5" t="s">
        <v>16</v>
      </c>
      <c r="C89" s="5" t="s">
        <v>375</v>
      </c>
      <c r="D89" s="5" t="s">
        <v>18</v>
      </c>
      <c r="E89" s="5" t="s">
        <v>72</v>
      </c>
      <c r="F89" s="5" t="s">
        <v>20</v>
      </c>
      <c r="G89" s="5" t="s">
        <v>21</v>
      </c>
      <c r="H89" s="6">
        <f>+P89-I89-J89</f>
        <v>0.35368421021848917</v>
      </c>
      <c r="I89" s="6">
        <f t="shared" si="16"/>
        <v>2989109.5263157897</v>
      </c>
      <c r="J89" s="6">
        <v>567930.81000000006</v>
      </c>
      <c r="K89" s="6">
        <v>0</v>
      </c>
      <c r="L89" s="6">
        <v>0</v>
      </c>
      <c r="M89" s="6">
        <f t="shared" si="23"/>
        <v>2989109.88</v>
      </c>
      <c r="N89" s="6">
        <f t="shared" si="17"/>
        <v>567930.81000000006</v>
      </c>
      <c r="O89" s="6">
        <f t="shared" si="18"/>
        <v>3557040.69</v>
      </c>
      <c r="P89" s="6">
        <v>3557040.69</v>
      </c>
      <c r="Q89" s="6">
        <f t="shared" si="24"/>
        <v>2989109.88</v>
      </c>
      <c r="R89" s="6">
        <f t="shared" si="20"/>
        <v>74727.746999999988</v>
      </c>
      <c r="T89" s="12" t="s">
        <v>376</v>
      </c>
      <c r="U89" s="12" t="s">
        <v>377</v>
      </c>
      <c r="V89" s="20">
        <v>504603.33600000001</v>
      </c>
    </row>
    <row r="90" spans="2:22" s="5" customFormat="1" ht="15.6" x14ac:dyDescent="0.3">
      <c r="B90" s="5" t="s">
        <v>16</v>
      </c>
      <c r="C90" s="5" t="s">
        <v>378</v>
      </c>
      <c r="D90" s="5" t="s">
        <v>35</v>
      </c>
      <c r="E90" s="5" t="s">
        <v>379</v>
      </c>
      <c r="F90" s="5" t="s">
        <v>112</v>
      </c>
      <c r="G90" s="5" t="s">
        <v>113</v>
      </c>
      <c r="H90" s="6">
        <f>+P90-I90-J90</f>
        <v>0</v>
      </c>
      <c r="I90" s="6">
        <f t="shared" si="16"/>
        <v>3008360</v>
      </c>
      <c r="J90" s="6">
        <v>571588.4</v>
      </c>
      <c r="K90" s="6">
        <v>0</v>
      </c>
      <c r="L90" s="6">
        <v>0</v>
      </c>
      <c r="M90" s="6">
        <f t="shared" si="23"/>
        <v>3008360</v>
      </c>
      <c r="N90" s="6">
        <f t="shared" si="17"/>
        <v>571588.4</v>
      </c>
      <c r="O90" s="6">
        <f t="shared" si="18"/>
        <v>3579948.4</v>
      </c>
      <c r="P90" s="6">
        <v>3579948.4</v>
      </c>
      <c r="Q90" s="6">
        <f t="shared" si="24"/>
        <v>3008360</v>
      </c>
      <c r="R90" s="6">
        <f t="shared" si="20"/>
        <v>75209</v>
      </c>
      <c r="T90" s="12" t="s">
        <v>380</v>
      </c>
      <c r="U90" s="12" t="s">
        <v>381</v>
      </c>
      <c r="V90" s="20">
        <v>376943.25000000006</v>
      </c>
    </row>
    <row r="91" spans="2:22" s="5" customFormat="1" ht="15.6" x14ac:dyDescent="0.3">
      <c r="B91" s="5" t="s">
        <v>16</v>
      </c>
      <c r="C91" s="5" t="s">
        <v>382</v>
      </c>
      <c r="D91" s="5" t="s">
        <v>18</v>
      </c>
      <c r="E91" s="5" t="s">
        <v>230</v>
      </c>
      <c r="F91" s="5" t="s">
        <v>20</v>
      </c>
      <c r="G91" s="5" t="s">
        <v>21</v>
      </c>
      <c r="H91" s="6">
        <v>0.12421052623540163</v>
      </c>
      <c r="I91" s="6">
        <f t="shared" si="16"/>
        <v>3055755.3157894737</v>
      </c>
      <c r="J91" s="6">
        <v>580593.51</v>
      </c>
      <c r="K91" s="6">
        <v>0</v>
      </c>
      <c r="L91" s="6">
        <v>0</v>
      </c>
      <c r="M91" s="6">
        <f t="shared" si="23"/>
        <v>3055755.44</v>
      </c>
      <c r="N91" s="6">
        <f t="shared" si="17"/>
        <v>580593.51</v>
      </c>
      <c r="O91" s="6">
        <f t="shared" si="18"/>
        <v>3636348.95</v>
      </c>
      <c r="P91" s="6">
        <v>3636348.95</v>
      </c>
      <c r="Q91" s="6">
        <f t="shared" si="24"/>
        <v>3055755.44</v>
      </c>
      <c r="R91" s="6">
        <f t="shared" si="20"/>
        <v>76393.885999999999</v>
      </c>
      <c r="T91" s="12" t="s">
        <v>383</v>
      </c>
      <c r="U91" s="12" t="s">
        <v>384</v>
      </c>
      <c r="V91" s="20">
        <v>6424258.8859999999</v>
      </c>
    </row>
    <row r="92" spans="2:22" s="5" customFormat="1" ht="15.6" x14ac:dyDescent="0.3">
      <c r="B92" s="5" t="s">
        <v>16</v>
      </c>
      <c r="C92" s="5" t="s">
        <v>385</v>
      </c>
      <c r="D92" s="5" t="s">
        <v>18</v>
      </c>
      <c r="E92" s="5" t="s">
        <v>52</v>
      </c>
      <c r="F92" s="5" t="s">
        <v>20</v>
      </c>
      <c r="G92" s="5" t="s">
        <v>21</v>
      </c>
      <c r="H92" s="6">
        <f>+P92-I92-J92</f>
        <v>1328213.903157895</v>
      </c>
      <c r="I92" s="6">
        <f t="shared" si="16"/>
        <v>1736588.7368421052</v>
      </c>
      <c r="J92" s="6">
        <v>329951.86</v>
      </c>
      <c r="K92" s="6">
        <v>0</v>
      </c>
      <c r="L92" s="6">
        <v>0</v>
      </c>
      <c r="M92" s="6">
        <f t="shared" si="23"/>
        <v>3064802.64</v>
      </c>
      <c r="N92" s="6">
        <f t="shared" si="17"/>
        <v>329951.86</v>
      </c>
      <c r="O92" s="6">
        <f t="shared" si="18"/>
        <v>3394754.5</v>
      </c>
      <c r="P92" s="6">
        <v>3394754.5</v>
      </c>
      <c r="Q92" s="6">
        <f t="shared" si="24"/>
        <v>3064802.64</v>
      </c>
      <c r="R92" s="6">
        <f t="shared" si="20"/>
        <v>76620.066000000006</v>
      </c>
      <c r="T92" s="12" t="s">
        <v>386</v>
      </c>
      <c r="U92" s="12" t="s">
        <v>387</v>
      </c>
      <c r="V92" s="20">
        <v>333529.33499999996</v>
      </c>
    </row>
    <row r="93" spans="2:22" s="5" customFormat="1" ht="15.6" x14ac:dyDescent="0.3">
      <c r="B93" s="5" t="s">
        <v>16</v>
      </c>
      <c r="C93" s="5" t="s">
        <v>388</v>
      </c>
      <c r="D93" s="5" t="s">
        <v>18</v>
      </c>
      <c r="E93" s="5" t="s">
        <v>389</v>
      </c>
      <c r="F93" s="5" t="s">
        <v>62</v>
      </c>
      <c r="G93" s="5" t="s">
        <v>69</v>
      </c>
      <c r="H93" s="6">
        <f>+P93-I93-J93</f>
        <v>497699.6</v>
      </c>
      <c r="I93" s="6">
        <f t="shared" si="16"/>
        <v>2969627</v>
      </c>
      <c r="J93" s="6">
        <v>564229.13</v>
      </c>
      <c r="K93" s="6">
        <v>0</v>
      </c>
      <c r="L93" s="6">
        <v>0</v>
      </c>
      <c r="M93" s="6">
        <f t="shared" si="23"/>
        <v>3467326.6</v>
      </c>
      <c r="N93" s="6">
        <f t="shared" si="17"/>
        <v>564229.13</v>
      </c>
      <c r="O93" s="6">
        <f t="shared" si="18"/>
        <v>4031555.73</v>
      </c>
      <c r="P93" s="6">
        <v>4031555.73</v>
      </c>
      <c r="Q93" s="6">
        <f>+M93-305367</f>
        <v>3161959.6</v>
      </c>
      <c r="R93" s="6">
        <f t="shared" si="20"/>
        <v>79048.990000000005</v>
      </c>
      <c r="T93" s="12" t="s">
        <v>390</v>
      </c>
      <c r="U93" s="12" t="s">
        <v>391</v>
      </c>
      <c r="V93" s="20">
        <v>344571.42850000004</v>
      </c>
    </row>
    <row r="94" spans="2:22" s="5" customFormat="1" ht="15.6" x14ac:dyDescent="0.3">
      <c r="B94" s="7" t="s">
        <v>16</v>
      </c>
      <c r="C94" s="7" t="s">
        <v>392</v>
      </c>
      <c r="D94" s="7" t="s">
        <v>18</v>
      </c>
      <c r="E94" s="7" t="s">
        <v>393</v>
      </c>
      <c r="F94" s="7" t="s">
        <v>62</v>
      </c>
      <c r="G94" s="7" t="s">
        <v>69</v>
      </c>
      <c r="H94" s="8">
        <f>+P94-I94-J94</f>
        <v>78537.800000000163</v>
      </c>
      <c r="I94" s="8">
        <f t="shared" si="16"/>
        <v>3120085</v>
      </c>
      <c r="J94" s="8">
        <v>592816.15</v>
      </c>
      <c r="K94" s="8">
        <v>0</v>
      </c>
      <c r="L94" s="8">
        <v>0</v>
      </c>
      <c r="M94" s="8">
        <f>+I94+H94</f>
        <v>3198622.8000000003</v>
      </c>
      <c r="N94" s="8">
        <f t="shared" si="17"/>
        <v>592816.15</v>
      </c>
      <c r="O94" s="8">
        <f t="shared" si="18"/>
        <v>3791438.95</v>
      </c>
      <c r="P94" s="8">
        <v>3791438.95</v>
      </c>
      <c r="Q94" s="8">
        <f t="shared" ref="Q94:Q111" si="25">+M94</f>
        <v>3198622.8000000003</v>
      </c>
      <c r="R94" s="8">
        <f t="shared" si="20"/>
        <v>79965.570000000007</v>
      </c>
      <c r="T94" s="12" t="s">
        <v>394</v>
      </c>
      <c r="U94" s="12" t="s">
        <v>395</v>
      </c>
      <c r="V94" s="20">
        <v>466591.82500000001</v>
      </c>
    </row>
    <row r="95" spans="2:22" s="5" customFormat="1" ht="15.6" x14ac:dyDescent="0.3">
      <c r="B95" s="5" t="s">
        <v>16</v>
      </c>
      <c r="C95" s="5" t="s">
        <v>396</v>
      </c>
      <c r="D95" s="5" t="s">
        <v>35</v>
      </c>
      <c r="E95" s="5" t="s">
        <v>397</v>
      </c>
      <c r="F95" s="5" t="s">
        <v>112</v>
      </c>
      <c r="G95" s="5" t="s">
        <v>113</v>
      </c>
      <c r="H95" s="6">
        <f>+P95-I95-J95</f>
        <v>0</v>
      </c>
      <c r="I95" s="6">
        <f t="shared" si="16"/>
        <v>3249076</v>
      </c>
      <c r="J95" s="6">
        <v>617324.43999999994</v>
      </c>
      <c r="K95" s="6">
        <v>0</v>
      </c>
      <c r="L95" s="6">
        <v>0</v>
      </c>
      <c r="M95" s="6">
        <f t="shared" ref="M95:M102" si="26">+H95+I95+K95</f>
        <v>3249076</v>
      </c>
      <c r="N95" s="6">
        <f t="shared" si="17"/>
        <v>617324.43999999994</v>
      </c>
      <c r="O95" s="6">
        <f t="shared" si="18"/>
        <v>3866400.44</v>
      </c>
      <c r="P95" s="6">
        <v>3866400.44</v>
      </c>
      <c r="Q95" s="6">
        <f t="shared" si="25"/>
        <v>3249076</v>
      </c>
      <c r="R95" s="6">
        <f t="shared" si="20"/>
        <v>81226.899999999994</v>
      </c>
      <c r="T95" s="12" t="s">
        <v>398</v>
      </c>
      <c r="U95" s="12" t="s">
        <v>399</v>
      </c>
      <c r="V95" s="20">
        <v>242456.08899999998</v>
      </c>
    </row>
    <row r="96" spans="2:22" s="5" customFormat="1" ht="15.6" x14ac:dyDescent="0.3">
      <c r="B96" s="5" t="s">
        <v>16</v>
      </c>
      <c r="C96" s="5" t="s">
        <v>400</v>
      </c>
      <c r="D96" s="5" t="s">
        <v>110</v>
      </c>
      <c r="E96" s="5" t="s">
        <v>42</v>
      </c>
      <c r="F96" s="5" t="s">
        <v>112</v>
      </c>
      <c r="G96" s="5" t="s">
        <v>113</v>
      </c>
      <c r="H96" s="6">
        <v>0</v>
      </c>
      <c r="I96" s="6">
        <f t="shared" si="16"/>
        <v>3266400</v>
      </c>
      <c r="J96" s="6">
        <v>620616</v>
      </c>
      <c r="K96" s="6">
        <v>0</v>
      </c>
      <c r="L96" s="6">
        <v>0</v>
      </c>
      <c r="M96" s="6">
        <f t="shared" si="26"/>
        <v>3266400</v>
      </c>
      <c r="N96" s="6">
        <f t="shared" si="17"/>
        <v>620616</v>
      </c>
      <c r="O96" s="6">
        <f t="shared" si="18"/>
        <v>3887016</v>
      </c>
      <c r="P96" s="6">
        <v>3887016</v>
      </c>
      <c r="Q96" s="6">
        <f t="shared" si="25"/>
        <v>3266400</v>
      </c>
      <c r="R96" s="6">
        <f t="shared" si="20"/>
        <v>81660</v>
      </c>
      <c r="S96"/>
      <c r="T96" s="12" t="s">
        <v>401</v>
      </c>
      <c r="U96" s="12" t="s">
        <v>402</v>
      </c>
      <c r="V96" s="20">
        <v>722565.35509999993</v>
      </c>
    </row>
    <row r="97" spans="2:22" s="5" customFormat="1" ht="15.6" x14ac:dyDescent="0.3">
      <c r="B97" s="5" t="s">
        <v>16</v>
      </c>
      <c r="C97" s="5" t="s">
        <v>403</v>
      </c>
      <c r="D97" s="5" t="s">
        <v>47</v>
      </c>
      <c r="E97" s="5" t="s">
        <v>404</v>
      </c>
      <c r="F97" s="5" t="s">
        <v>73</v>
      </c>
      <c r="G97" s="5" t="s">
        <v>405</v>
      </c>
      <c r="H97" s="6">
        <f>+P97-I97-J97</f>
        <v>2.105263143312186E-2</v>
      </c>
      <c r="I97" s="6">
        <f t="shared" si="16"/>
        <v>3287391.5789473685</v>
      </c>
      <c r="J97" s="6">
        <v>624604.4</v>
      </c>
      <c r="K97" s="6">
        <v>0</v>
      </c>
      <c r="L97" s="6">
        <v>0</v>
      </c>
      <c r="M97" s="6">
        <f t="shared" si="26"/>
        <v>3287391.6</v>
      </c>
      <c r="N97" s="6">
        <f t="shared" si="17"/>
        <v>624604.4</v>
      </c>
      <c r="O97" s="6">
        <f t="shared" si="18"/>
        <v>3911996</v>
      </c>
      <c r="P97" s="6">
        <v>3911996</v>
      </c>
      <c r="Q97" s="6">
        <f t="shared" si="25"/>
        <v>3287391.6</v>
      </c>
      <c r="R97" s="6">
        <f t="shared" si="20"/>
        <v>82184.789999999994</v>
      </c>
      <c r="S97"/>
      <c r="T97" s="12" t="s">
        <v>406</v>
      </c>
      <c r="U97" s="12" t="s">
        <v>407</v>
      </c>
      <c r="V97" s="20">
        <v>277058.81400000001</v>
      </c>
    </row>
    <row r="98" spans="2:22" s="5" customFormat="1" ht="15.6" x14ac:dyDescent="0.3">
      <c r="B98" s="5" t="s">
        <v>16</v>
      </c>
      <c r="C98" s="5" t="s">
        <v>408</v>
      </c>
      <c r="D98" s="5" t="s">
        <v>18</v>
      </c>
      <c r="E98" s="5" t="s">
        <v>409</v>
      </c>
      <c r="F98" s="5" t="s">
        <v>20</v>
      </c>
      <c r="G98" s="5" t="s">
        <v>21</v>
      </c>
      <c r="H98" s="6">
        <f>+P98-I98-J98</f>
        <v>1167537.6084210528</v>
      </c>
      <c r="I98" s="6">
        <f t="shared" si="16"/>
        <v>2318552.6315789474</v>
      </c>
      <c r="J98" s="6">
        <v>440525</v>
      </c>
      <c r="K98" s="6">
        <v>0</v>
      </c>
      <c r="L98" s="6">
        <v>0</v>
      </c>
      <c r="M98" s="6">
        <f t="shared" si="26"/>
        <v>3486090.24</v>
      </c>
      <c r="N98" s="6">
        <f t="shared" si="17"/>
        <v>440525</v>
      </c>
      <c r="O98" s="6">
        <f t="shared" si="18"/>
        <v>3926615.24</v>
      </c>
      <c r="P98" s="6">
        <v>3926615.24</v>
      </c>
      <c r="Q98" s="6">
        <f t="shared" si="25"/>
        <v>3486090.24</v>
      </c>
      <c r="R98" s="6">
        <f t="shared" si="20"/>
        <v>87152.256000000008</v>
      </c>
      <c r="S98"/>
      <c r="T98" s="12" t="s">
        <v>410</v>
      </c>
      <c r="U98" s="12" t="s">
        <v>411</v>
      </c>
      <c r="V98" s="20">
        <v>51820.200000000012</v>
      </c>
    </row>
    <row r="99" spans="2:22" s="5" customFormat="1" ht="15.6" x14ac:dyDescent="0.3">
      <c r="B99" s="5" t="s">
        <v>16</v>
      </c>
      <c r="C99" s="5" t="s">
        <v>412</v>
      </c>
      <c r="D99" s="5" t="s">
        <v>18</v>
      </c>
      <c r="E99" s="5" t="s">
        <v>413</v>
      </c>
      <c r="F99" s="5" t="s">
        <v>20</v>
      </c>
      <c r="G99" s="5" t="s">
        <v>21</v>
      </c>
      <c r="H99" s="6">
        <f>+P99-I99-J99</f>
        <v>0.3205263155978173</v>
      </c>
      <c r="I99" s="6">
        <f t="shared" si="16"/>
        <v>3503235.7894736845</v>
      </c>
      <c r="J99" s="6">
        <v>665614.80000000005</v>
      </c>
      <c r="K99" s="6">
        <v>0</v>
      </c>
      <c r="L99" s="6">
        <v>0</v>
      </c>
      <c r="M99" s="6">
        <f t="shared" si="26"/>
        <v>3503236.1100000003</v>
      </c>
      <c r="N99" s="6">
        <f t="shared" si="17"/>
        <v>665614.80000000005</v>
      </c>
      <c r="O99" s="6">
        <f t="shared" si="18"/>
        <v>4168850.91</v>
      </c>
      <c r="P99" s="6">
        <v>4168850.91</v>
      </c>
      <c r="Q99" s="6">
        <f t="shared" si="25"/>
        <v>3503236.1100000003</v>
      </c>
      <c r="R99" s="6">
        <f t="shared" si="20"/>
        <v>87580.902750000008</v>
      </c>
      <c r="T99" s="12" t="s">
        <v>414</v>
      </c>
      <c r="U99" s="12" t="s">
        <v>415</v>
      </c>
      <c r="V99" s="20">
        <v>150186.97500000001</v>
      </c>
    </row>
    <row r="100" spans="2:22" s="5" customFormat="1" ht="15.6" x14ac:dyDescent="0.3">
      <c r="B100" s="5" t="s">
        <v>16</v>
      </c>
      <c r="C100" s="5" t="s">
        <v>416</v>
      </c>
      <c r="D100" s="5" t="s">
        <v>417</v>
      </c>
      <c r="E100" s="5" t="s">
        <v>418</v>
      </c>
      <c r="F100" s="5" t="s">
        <v>76</v>
      </c>
      <c r="G100" s="5" t="s">
        <v>419</v>
      </c>
      <c r="H100" s="6">
        <f>+P100-I100-J100-K100-L100</f>
        <v>1.2631578836590052E-2</v>
      </c>
      <c r="I100" s="6">
        <f t="shared" si="16"/>
        <v>3599394.9473684211</v>
      </c>
      <c r="J100" s="6">
        <v>683885.04</v>
      </c>
      <c r="K100" s="6">
        <v>0</v>
      </c>
      <c r="L100" s="6">
        <v>0</v>
      </c>
      <c r="M100" s="6">
        <f t="shared" si="26"/>
        <v>3599394.96</v>
      </c>
      <c r="N100" s="6">
        <f t="shared" si="17"/>
        <v>683885.04</v>
      </c>
      <c r="O100" s="6">
        <f t="shared" si="18"/>
        <v>4283280</v>
      </c>
      <c r="P100" s="6">
        <v>4283280</v>
      </c>
      <c r="Q100" s="6">
        <f t="shared" si="25"/>
        <v>3599394.96</v>
      </c>
      <c r="R100" s="6">
        <f t="shared" si="20"/>
        <v>89984.874000000011</v>
      </c>
      <c r="T100" s="12" t="s">
        <v>420</v>
      </c>
      <c r="U100" s="12" t="s">
        <v>421</v>
      </c>
      <c r="V100" s="20">
        <v>489406.51400000002</v>
      </c>
    </row>
    <row r="101" spans="2:22" s="5" customFormat="1" ht="15.6" x14ac:dyDescent="0.3">
      <c r="B101" s="5" t="s">
        <v>16</v>
      </c>
      <c r="C101" s="5" t="s">
        <v>422</v>
      </c>
      <c r="D101" s="5" t="s">
        <v>35</v>
      </c>
      <c r="E101" s="5" t="s">
        <v>423</v>
      </c>
      <c r="F101" s="5" t="s">
        <v>112</v>
      </c>
      <c r="G101" s="5" t="s">
        <v>113</v>
      </c>
      <c r="H101" s="6">
        <f>+P101-I101-J101-K101-L101</f>
        <v>0</v>
      </c>
      <c r="I101" s="6">
        <f t="shared" si="16"/>
        <v>3604675</v>
      </c>
      <c r="J101" s="6">
        <v>684888.25</v>
      </c>
      <c r="K101" s="6">
        <v>0</v>
      </c>
      <c r="L101" s="6">
        <v>0</v>
      </c>
      <c r="M101" s="6">
        <f t="shared" si="26"/>
        <v>3604675</v>
      </c>
      <c r="N101" s="6">
        <f t="shared" si="17"/>
        <v>684888.25</v>
      </c>
      <c r="O101" s="6">
        <f t="shared" si="18"/>
        <v>4289563.25</v>
      </c>
      <c r="P101" s="6">
        <v>4289563.25</v>
      </c>
      <c r="Q101" s="6">
        <f t="shared" si="25"/>
        <v>3604675</v>
      </c>
      <c r="R101" s="6">
        <f t="shared" si="20"/>
        <v>90116.875</v>
      </c>
      <c r="T101" s="12" t="s">
        <v>424</v>
      </c>
      <c r="U101" s="12" t="s">
        <v>425</v>
      </c>
      <c r="V101" s="20">
        <v>134220.29999999999</v>
      </c>
    </row>
    <row r="102" spans="2:22" s="5" customFormat="1" ht="15.6" x14ac:dyDescent="0.3">
      <c r="B102" s="5" t="s">
        <v>16</v>
      </c>
      <c r="C102" s="5" t="s">
        <v>426</v>
      </c>
      <c r="D102" s="5" t="s">
        <v>156</v>
      </c>
      <c r="E102" s="5" t="s">
        <v>427</v>
      </c>
      <c r="F102" s="5" t="s">
        <v>82</v>
      </c>
      <c r="G102" s="5" t="s">
        <v>294</v>
      </c>
      <c r="H102" s="6">
        <f t="shared" ref="H102:H107" si="27">+P102-I102-J102</f>
        <v>-2.1052632131613791E-2</v>
      </c>
      <c r="I102" s="6">
        <f t="shared" si="16"/>
        <v>3660503.4210526319</v>
      </c>
      <c r="J102" s="6">
        <v>695495.65</v>
      </c>
      <c r="K102" s="6">
        <v>0</v>
      </c>
      <c r="L102" s="6">
        <v>0</v>
      </c>
      <c r="M102" s="6">
        <f t="shared" si="26"/>
        <v>3660503.4</v>
      </c>
      <c r="N102" s="6">
        <f t="shared" si="17"/>
        <v>695495.65</v>
      </c>
      <c r="O102" s="6">
        <f t="shared" si="18"/>
        <v>4355999.05</v>
      </c>
      <c r="P102" s="6">
        <v>4355999.05</v>
      </c>
      <c r="Q102" s="6">
        <f t="shared" si="25"/>
        <v>3660503.4</v>
      </c>
      <c r="R102" s="6">
        <f t="shared" si="20"/>
        <v>91512.585000000006</v>
      </c>
      <c r="T102" s="12" t="s">
        <v>428</v>
      </c>
      <c r="U102" s="12" t="s">
        <v>429</v>
      </c>
      <c r="V102" s="20">
        <v>720882.35275000008</v>
      </c>
    </row>
    <row r="103" spans="2:22" s="5" customFormat="1" ht="15.6" x14ac:dyDescent="0.3">
      <c r="B103" s="7" t="s">
        <v>16</v>
      </c>
      <c r="C103" s="7" t="s">
        <v>430</v>
      </c>
      <c r="D103" s="7" t="s">
        <v>18</v>
      </c>
      <c r="E103" s="7" t="s">
        <v>431</v>
      </c>
      <c r="F103" s="7" t="s">
        <v>62</v>
      </c>
      <c r="G103" s="7" t="s">
        <v>69</v>
      </c>
      <c r="H103" s="8">
        <f t="shared" si="27"/>
        <v>1379314.1915789475</v>
      </c>
      <c r="I103" s="8">
        <f t="shared" si="16"/>
        <v>2295871.3684210526</v>
      </c>
      <c r="J103" s="8">
        <v>436215.56</v>
      </c>
      <c r="K103" s="8">
        <v>0</v>
      </c>
      <c r="L103" s="8">
        <v>0</v>
      </c>
      <c r="M103" s="8">
        <f>+I103+H103</f>
        <v>3675185.56</v>
      </c>
      <c r="N103" s="8">
        <f t="shared" si="17"/>
        <v>436215.56</v>
      </c>
      <c r="O103" s="8">
        <f t="shared" si="18"/>
        <v>4111401.12</v>
      </c>
      <c r="P103" s="8">
        <v>4111401.12</v>
      </c>
      <c r="Q103" s="8">
        <f t="shared" si="25"/>
        <v>3675185.56</v>
      </c>
      <c r="R103" s="8">
        <f t="shared" si="20"/>
        <v>91879.63900000001</v>
      </c>
      <c r="T103" s="12" t="s">
        <v>432</v>
      </c>
      <c r="U103" s="12" t="s">
        <v>433</v>
      </c>
      <c r="V103" s="20">
        <v>48214.124999999993</v>
      </c>
    </row>
    <row r="104" spans="2:22" s="5" customFormat="1" ht="15.6" x14ac:dyDescent="0.3">
      <c r="B104" s="5" t="s">
        <v>16</v>
      </c>
      <c r="C104" s="5" t="s">
        <v>434</v>
      </c>
      <c r="D104" s="5" t="s">
        <v>35</v>
      </c>
      <c r="E104" s="5" t="s">
        <v>435</v>
      </c>
      <c r="F104" s="5" t="s">
        <v>112</v>
      </c>
      <c r="G104" s="5" t="s">
        <v>113</v>
      </c>
      <c r="H104" s="6">
        <f t="shared" si="27"/>
        <v>0</v>
      </c>
      <c r="I104" s="6">
        <f t="shared" si="16"/>
        <v>3682451.9999999995</v>
      </c>
      <c r="J104" s="6">
        <v>699665.88</v>
      </c>
      <c r="K104" s="6">
        <v>0</v>
      </c>
      <c r="L104" s="6">
        <v>0</v>
      </c>
      <c r="M104" s="6">
        <f t="shared" ref="M104:M110" si="28">+H104+I104+K104</f>
        <v>3682451.9999999995</v>
      </c>
      <c r="N104" s="6">
        <f t="shared" si="17"/>
        <v>699665.88</v>
      </c>
      <c r="O104" s="6">
        <f t="shared" si="18"/>
        <v>4382117.88</v>
      </c>
      <c r="P104" s="6">
        <v>4382117.88</v>
      </c>
      <c r="Q104" s="6">
        <f t="shared" si="25"/>
        <v>3682451.9999999995</v>
      </c>
      <c r="R104" s="6">
        <f t="shared" si="20"/>
        <v>92061.299999999988</v>
      </c>
      <c r="T104" s="12" t="s">
        <v>436</v>
      </c>
      <c r="U104" s="12" t="s">
        <v>437</v>
      </c>
      <c r="V104" s="20">
        <v>256439.07150000002</v>
      </c>
    </row>
    <row r="105" spans="2:22" s="5" customFormat="1" ht="15.6" x14ac:dyDescent="0.3">
      <c r="B105" s="5" t="s">
        <v>16</v>
      </c>
      <c r="C105" s="5" t="s">
        <v>438</v>
      </c>
      <c r="D105" s="5" t="s">
        <v>35</v>
      </c>
      <c r="E105" s="5" t="s">
        <v>439</v>
      </c>
      <c r="F105" s="5" t="s">
        <v>53</v>
      </c>
      <c r="G105" s="5" t="s">
        <v>440</v>
      </c>
      <c r="H105" s="6">
        <f t="shared" si="27"/>
        <v>-0.90473684226162732</v>
      </c>
      <c r="I105" s="6">
        <f t="shared" si="16"/>
        <v>3780336.8947368423</v>
      </c>
      <c r="J105" s="6">
        <v>718264.01</v>
      </c>
      <c r="K105" s="6">
        <v>0</v>
      </c>
      <c r="L105" s="6">
        <v>0</v>
      </c>
      <c r="M105" s="6">
        <f t="shared" si="28"/>
        <v>3780335.99</v>
      </c>
      <c r="N105" s="6">
        <f t="shared" si="17"/>
        <v>718264.01</v>
      </c>
      <c r="O105" s="6">
        <f t="shared" si="18"/>
        <v>4498600</v>
      </c>
      <c r="P105" s="6">
        <v>4498600</v>
      </c>
      <c r="Q105" s="6">
        <f t="shared" si="25"/>
        <v>3780335.99</v>
      </c>
      <c r="R105" s="6">
        <f t="shared" si="20"/>
        <v>94508.399750000011</v>
      </c>
      <c r="T105" s="12" t="s">
        <v>441</v>
      </c>
      <c r="U105" s="12" t="s">
        <v>442</v>
      </c>
      <c r="V105" s="20">
        <v>662279.83224999998</v>
      </c>
    </row>
    <row r="106" spans="2:22" s="5" customFormat="1" ht="15.6" x14ac:dyDescent="0.3">
      <c r="B106" s="5" t="s">
        <v>16</v>
      </c>
      <c r="C106" s="5" t="s">
        <v>443</v>
      </c>
      <c r="D106" s="5" t="s">
        <v>35</v>
      </c>
      <c r="E106" s="5" t="s">
        <v>30</v>
      </c>
      <c r="F106" s="5" t="s">
        <v>112</v>
      </c>
      <c r="G106" s="5" t="s">
        <v>113</v>
      </c>
      <c r="H106" s="6">
        <f t="shared" si="27"/>
        <v>0</v>
      </c>
      <c r="I106" s="6">
        <f t="shared" si="16"/>
        <v>3954582</v>
      </c>
      <c r="J106" s="6">
        <v>751370.58</v>
      </c>
      <c r="K106" s="6">
        <v>0</v>
      </c>
      <c r="L106" s="6">
        <v>0</v>
      </c>
      <c r="M106" s="6">
        <f t="shared" si="28"/>
        <v>3954582</v>
      </c>
      <c r="N106" s="6">
        <f t="shared" si="17"/>
        <v>751370.58</v>
      </c>
      <c r="O106" s="6">
        <f t="shared" si="18"/>
        <v>4705952.58</v>
      </c>
      <c r="P106" s="6">
        <v>4705952.58</v>
      </c>
      <c r="Q106" s="6">
        <f t="shared" si="25"/>
        <v>3954582</v>
      </c>
      <c r="R106" s="6">
        <f t="shared" si="20"/>
        <v>98864.55</v>
      </c>
      <c r="T106" s="12" t="s">
        <v>444</v>
      </c>
      <c r="U106" s="12" t="s">
        <v>445</v>
      </c>
      <c r="V106" s="20">
        <v>57857.142750000006</v>
      </c>
    </row>
    <row r="107" spans="2:22" s="5" customFormat="1" ht="15.6" x14ac:dyDescent="0.3">
      <c r="B107" s="5" t="s">
        <v>16</v>
      </c>
      <c r="C107" s="5" t="s">
        <v>446</v>
      </c>
      <c r="D107" s="5" t="s">
        <v>447</v>
      </c>
      <c r="E107" s="5" t="s">
        <v>448</v>
      </c>
      <c r="F107" s="5" t="s">
        <v>88</v>
      </c>
      <c r="G107" s="5" t="s">
        <v>449</v>
      </c>
      <c r="H107" s="6">
        <f t="shared" si="27"/>
        <v>-0.12999999953899533</v>
      </c>
      <c r="I107" s="6">
        <f t="shared" si="16"/>
        <v>3977226.9999999995</v>
      </c>
      <c r="J107" s="6">
        <v>755673.13</v>
      </c>
      <c r="K107" s="6">
        <v>0</v>
      </c>
      <c r="L107" s="6">
        <v>0</v>
      </c>
      <c r="M107" s="6">
        <f t="shared" si="28"/>
        <v>3977226.87</v>
      </c>
      <c r="N107" s="6">
        <f t="shared" si="17"/>
        <v>755673.13</v>
      </c>
      <c r="O107" s="6">
        <f t="shared" si="18"/>
        <v>4732900</v>
      </c>
      <c r="P107" s="6">
        <v>4732900</v>
      </c>
      <c r="Q107" s="6">
        <f t="shared" si="25"/>
        <v>3977226.87</v>
      </c>
      <c r="R107" s="6">
        <f t="shared" si="20"/>
        <v>99430.671750000009</v>
      </c>
      <c r="T107" s="22" t="s">
        <v>450</v>
      </c>
      <c r="U107" s="12" t="s">
        <v>451</v>
      </c>
      <c r="V107" s="20">
        <v>767605.0419999999</v>
      </c>
    </row>
    <row r="108" spans="2:22" s="5" customFormat="1" ht="15.6" x14ac:dyDescent="0.3">
      <c r="B108" s="5" t="s">
        <v>16</v>
      </c>
      <c r="C108" s="5" t="s">
        <v>452</v>
      </c>
      <c r="D108" s="5" t="s">
        <v>18</v>
      </c>
      <c r="E108" s="5" t="s">
        <v>87</v>
      </c>
      <c r="F108" s="5" t="s">
        <v>20</v>
      </c>
      <c r="G108" s="5" t="s">
        <v>21</v>
      </c>
      <c r="H108" s="6">
        <f>+P108-I108-J108-K108-L108</f>
        <v>0.28947368497028947</v>
      </c>
      <c r="I108" s="6">
        <f t="shared" si="16"/>
        <v>4056535.2105263155</v>
      </c>
      <c r="J108" s="6">
        <v>770741.69</v>
      </c>
      <c r="K108" s="6">
        <v>0</v>
      </c>
      <c r="L108" s="6">
        <v>0</v>
      </c>
      <c r="M108" s="6">
        <f t="shared" si="28"/>
        <v>4056535.5000000005</v>
      </c>
      <c r="N108" s="6">
        <f t="shared" si="17"/>
        <v>770741.69</v>
      </c>
      <c r="O108" s="6">
        <f t="shared" si="18"/>
        <v>4827277.1900000004</v>
      </c>
      <c r="P108" s="6">
        <v>4827277.1900000004</v>
      </c>
      <c r="Q108" s="6">
        <f t="shared" si="25"/>
        <v>4056535.5000000005</v>
      </c>
      <c r="R108" s="6">
        <f t="shared" si="20"/>
        <v>101413.38750000001</v>
      </c>
      <c r="T108" s="12" t="s">
        <v>453</v>
      </c>
      <c r="U108" s="12" t="s">
        <v>454</v>
      </c>
      <c r="V108" s="20">
        <v>1646344.5377499999</v>
      </c>
    </row>
    <row r="109" spans="2:22" s="5" customFormat="1" ht="15.6" x14ac:dyDescent="0.3">
      <c r="B109" s="5" t="s">
        <v>16</v>
      </c>
      <c r="C109" s="5" t="s">
        <v>455</v>
      </c>
      <c r="D109" s="5" t="s">
        <v>18</v>
      </c>
      <c r="E109" s="5" t="s">
        <v>456</v>
      </c>
      <c r="F109" s="5" t="s">
        <v>62</v>
      </c>
      <c r="G109" s="5" t="s">
        <v>69</v>
      </c>
      <c r="H109" s="6">
        <f>+P109-I109-J109</f>
        <v>1394546.0263157892</v>
      </c>
      <c r="I109" s="6">
        <f t="shared" si="16"/>
        <v>2664323.4736842108</v>
      </c>
      <c r="J109" s="6">
        <v>506221.46</v>
      </c>
      <c r="K109" s="6">
        <v>0</v>
      </c>
      <c r="L109" s="6">
        <v>0</v>
      </c>
      <c r="M109" s="6">
        <f t="shared" si="28"/>
        <v>4058869.5</v>
      </c>
      <c r="N109" s="6">
        <f t="shared" si="17"/>
        <v>506221.46</v>
      </c>
      <c r="O109" s="6">
        <f t="shared" si="18"/>
        <v>4565090.96</v>
      </c>
      <c r="P109" s="6">
        <v>4565090.96</v>
      </c>
      <c r="Q109" s="6">
        <f t="shared" si="25"/>
        <v>4058869.5</v>
      </c>
      <c r="R109" s="6">
        <f t="shared" si="20"/>
        <v>101471.7375</v>
      </c>
      <c r="S109"/>
      <c r="T109" s="12" t="s">
        <v>457</v>
      </c>
      <c r="U109" s="12" t="s">
        <v>458</v>
      </c>
      <c r="V109" s="20">
        <v>64779.05</v>
      </c>
    </row>
    <row r="110" spans="2:22" s="5" customFormat="1" ht="15.6" x14ac:dyDescent="0.3">
      <c r="B110" s="5" t="s">
        <v>16</v>
      </c>
      <c r="C110" s="5" t="s">
        <v>459</v>
      </c>
      <c r="D110" s="5" t="s">
        <v>18</v>
      </c>
      <c r="E110" s="5" t="s">
        <v>460</v>
      </c>
      <c r="F110" s="5" t="s">
        <v>62</v>
      </c>
      <c r="G110" s="5" t="s">
        <v>69</v>
      </c>
      <c r="H110" s="6">
        <v>1851007.1052631577</v>
      </c>
      <c r="I110" s="6">
        <f t="shared" si="16"/>
        <v>2393725.8947368423</v>
      </c>
      <c r="J110" s="6">
        <v>454807.92</v>
      </c>
      <c r="K110" s="6">
        <v>0</v>
      </c>
      <c r="L110" s="6">
        <v>0</v>
      </c>
      <c r="M110" s="6">
        <f t="shared" si="28"/>
        <v>4244733</v>
      </c>
      <c r="N110" s="6">
        <f t="shared" si="17"/>
        <v>454807.92</v>
      </c>
      <c r="O110" s="6">
        <f t="shared" si="18"/>
        <v>4699540.92</v>
      </c>
      <c r="P110" s="6">
        <v>4699540.92</v>
      </c>
      <c r="Q110" s="6">
        <f t="shared" si="25"/>
        <v>4244733</v>
      </c>
      <c r="R110" s="6">
        <f t="shared" si="20"/>
        <v>106118.325</v>
      </c>
      <c r="T110" s="12" t="s">
        <v>461</v>
      </c>
      <c r="U110" s="12" t="s">
        <v>462</v>
      </c>
      <c r="V110" s="20">
        <v>481801.21850000002</v>
      </c>
    </row>
    <row r="111" spans="2:22" s="5" customFormat="1" ht="15.6" x14ac:dyDescent="0.3">
      <c r="B111" s="7" t="s">
        <v>16</v>
      </c>
      <c r="C111" s="7" t="s">
        <v>463</v>
      </c>
      <c r="D111" s="7" t="s">
        <v>35</v>
      </c>
      <c r="E111" s="7" t="s">
        <v>464</v>
      </c>
      <c r="F111" s="7" t="s">
        <v>37</v>
      </c>
      <c r="G111" s="7" t="s">
        <v>465</v>
      </c>
      <c r="H111" s="8">
        <f>+P111-I111-J111</f>
        <v>-3.4210526500828564E-2</v>
      </c>
      <c r="I111" s="8">
        <f t="shared" si="16"/>
        <v>4268075.6842105268</v>
      </c>
      <c r="J111" s="8">
        <v>810934.38</v>
      </c>
      <c r="K111" s="8">
        <v>0</v>
      </c>
      <c r="L111" s="8">
        <v>0</v>
      </c>
      <c r="M111" s="8">
        <f>+I111+H111</f>
        <v>4268075.6500000004</v>
      </c>
      <c r="N111" s="8">
        <f t="shared" si="17"/>
        <v>810934.38</v>
      </c>
      <c r="O111" s="8">
        <f t="shared" si="18"/>
        <v>5079010.03</v>
      </c>
      <c r="P111" s="8">
        <v>5079010.03</v>
      </c>
      <c r="Q111" s="8">
        <f t="shared" si="25"/>
        <v>4268075.6500000004</v>
      </c>
      <c r="R111" s="8">
        <f t="shared" si="20"/>
        <v>106701.89125</v>
      </c>
      <c r="S111"/>
      <c r="T111" s="12" t="s">
        <v>466</v>
      </c>
      <c r="U111" s="12" t="s">
        <v>467</v>
      </c>
      <c r="V111" s="20">
        <v>266670.16985526314</v>
      </c>
    </row>
    <row r="112" spans="2:22" s="5" customFormat="1" ht="15.6" x14ac:dyDescent="0.3">
      <c r="B112" s="5" t="s">
        <v>16</v>
      </c>
      <c r="C112" s="5" t="s">
        <v>468</v>
      </c>
      <c r="D112" s="5" t="s">
        <v>18</v>
      </c>
      <c r="E112" s="5" t="s">
        <v>469</v>
      </c>
      <c r="F112" s="5" t="s">
        <v>20</v>
      </c>
      <c r="G112" s="5" t="s">
        <v>21</v>
      </c>
      <c r="H112" s="6">
        <f>+P112-I112-J112</f>
        <v>0.2657894731964916</v>
      </c>
      <c r="I112" s="6">
        <f t="shared" si="16"/>
        <v>4685068.6842105268</v>
      </c>
      <c r="J112" s="6">
        <v>890163.05</v>
      </c>
      <c r="K112" s="6">
        <v>0</v>
      </c>
      <c r="L112" s="6">
        <v>0</v>
      </c>
      <c r="M112" s="6">
        <f t="shared" ref="M112:M118" si="29">+H112+I112+K112</f>
        <v>4685068.95</v>
      </c>
      <c r="N112" s="6">
        <f t="shared" si="17"/>
        <v>890163.05</v>
      </c>
      <c r="O112" s="6">
        <f t="shared" si="18"/>
        <v>5575232</v>
      </c>
      <c r="P112" s="6">
        <v>5575232</v>
      </c>
      <c r="Q112" s="6">
        <f>+M112-275297</f>
        <v>4409771.95</v>
      </c>
      <c r="R112" s="6">
        <f t="shared" si="20"/>
        <v>110244.29875</v>
      </c>
      <c r="S112"/>
      <c r="T112" s="12" t="s">
        <v>470</v>
      </c>
      <c r="U112" s="12" t="s">
        <v>471</v>
      </c>
      <c r="V112" s="20">
        <v>850525.22499999998</v>
      </c>
    </row>
    <row r="113" spans="2:22" s="5" customFormat="1" ht="15.6" x14ac:dyDescent="0.3">
      <c r="B113" s="5" t="s">
        <v>16</v>
      </c>
      <c r="C113" s="5" t="s">
        <v>472</v>
      </c>
      <c r="D113" s="5" t="s">
        <v>110</v>
      </c>
      <c r="E113" s="5" t="s">
        <v>81</v>
      </c>
      <c r="F113" s="5" t="s">
        <v>112</v>
      </c>
      <c r="G113" s="5" t="s">
        <v>113</v>
      </c>
      <c r="H113" s="6">
        <f>+P113-I113-J113</f>
        <v>0</v>
      </c>
      <c r="I113" s="6">
        <f t="shared" si="16"/>
        <v>4476640</v>
      </c>
      <c r="J113" s="6">
        <v>850561.6</v>
      </c>
      <c r="K113" s="6">
        <v>0</v>
      </c>
      <c r="L113" s="6">
        <v>0</v>
      </c>
      <c r="M113" s="6">
        <f t="shared" si="29"/>
        <v>4476640</v>
      </c>
      <c r="N113" s="6">
        <f t="shared" si="17"/>
        <v>850561.6</v>
      </c>
      <c r="O113" s="6">
        <f t="shared" si="18"/>
        <v>5327201.5999999996</v>
      </c>
      <c r="P113" s="6">
        <v>5327201.5999999996</v>
      </c>
      <c r="Q113" s="6">
        <f t="shared" ref="Q113:Q138" si="30">+M113</f>
        <v>4476640</v>
      </c>
      <c r="R113" s="6">
        <f t="shared" si="20"/>
        <v>111916</v>
      </c>
      <c r="T113" s="12" t="s">
        <v>473</v>
      </c>
      <c r="U113" s="12" t="s">
        <v>474</v>
      </c>
      <c r="V113" s="20">
        <v>34327.731</v>
      </c>
    </row>
    <row r="114" spans="2:22" s="5" customFormat="1" ht="15.6" x14ac:dyDescent="0.3">
      <c r="B114" s="5" t="s">
        <v>16</v>
      </c>
      <c r="C114" s="5" t="s">
        <v>475</v>
      </c>
      <c r="D114" s="5" t="s">
        <v>35</v>
      </c>
      <c r="E114" s="5" t="s">
        <v>36</v>
      </c>
      <c r="F114" s="5" t="s">
        <v>476</v>
      </c>
      <c r="G114" s="5" t="s">
        <v>477</v>
      </c>
      <c r="H114" s="6">
        <f>+P114-I114-J114</f>
        <v>-4.7368422383442521E-3</v>
      </c>
      <c r="I114" s="6">
        <f t="shared" si="16"/>
        <v>4517226.8947368423</v>
      </c>
      <c r="J114" s="6">
        <v>858273.11</v>
      </c>
      <c r="K114" s="6">
        <v>0</v>
      </c>
      <c r="L114" s="6">
        <v>0</v>
      </c>
      <c r="M114" s="6">
        <f t="shared" si="29"/>
        <v>4517226.8899999997</v>
      </c>
      <c r="N114" s="6">
        <f t="shared" si="17"/>
        <v>858273.11</v>
      </c>
      <c r="O114" s="6">
        <f t="shared" si="18"/>
        <v>5375500</v>
      </c>
      <c r="P114" s="6">
        <v>5375500</v>
      </c>
      <c r="Q114" s="6">
        <f t="shared" si="30"/>
        <v>4517226.8899999997</v>
      </c>
      <c r="R114" s="6">
        <f t="shared" si="20"/>
        <v>112930.67225</v>
      </c>
      <c r="T114" s="12" t="s">
        <v>478</v>
      </c>
      <c r="U114" s="12" t="s">
        <v>479</v>
      </c>
      <c r="V114" s="20">
        <v>191357.14199999999</v>
      </c>
    </row>
    <row r="115" spans="2:22" s="5" customFormat="1" ht="15.6" x14ac:dyDescent="0.3">
      <c r="B115" s="5" t="s">
        <v>16</v>
      </c>
      <c r="C115" s="5" t="s">
        <v>480</v>
      </c>
      <c r="D115" s="5" t="s">
        <v>18</v>
      </c>
      <c r="E115" s="5" t="s">
        <v>481</v>
      </c>
      <c r="F115" s="5" t="s">
        <v>62</v>
      </c>
      <c r="G115" s="5" t="s">
        <v>69</v>
      </c>
      <c r="H115" s="6">
        <v>0</v>
      </c>
      <c r="I115" s="6">
        <f t="shared" si="16"/>
        <v>4539423.3157894742</v>
      </c>
      <c r="J115" s="6">
        <v>862490.43</v>
      </c>
      <c r="K115" s="6">
        <v>0</v>
      </c>
      <c r="L115" s="6">
        <v>0</v>
      </c>
      <c r="M115" s="6">
        <f t="shared" si="29"/>
        <v>4539423.3157894742</v>
      </c>
      <c r="N115" s="6">
        <f t="shared" si="17"/>
        <v>862490.43</v>
      </c>
      <c r="O115" s="6">
        <f t="shared" si="18"/>
        <v>5401913.7457894739</v>
      </c>
      <c r="P115" s="6">
        <v>7669609.1600000001</v>
      </c>
      <c r="Q115" s="6">
        <f t="shared" si="30"/>
        <v>4539423.3157894742</v>
      </c>
      <c r="R115" s="6">
        <f t="shared" si="20"/>
        <v>113485.58289473686</v>
      </c>
      <c r="T115" s="12" t="s">
        <v>482</v>
      </c>
      <c r="U115" s="12" t="s">
        <v>483</v>
      </c>
      <c r="V115" s="20">
        <v>68096.638500000001</v>
      </c>
    </row>
    <row r="116" spans="2:22" s="5" customFormat="1" ht="15.6" x14ac:dyDescent="0.3">
      <c r="B116" s="5" t="s">
        <v>16</v>
      </c>
      <c r="C116" s="5" t="s">
        <v>484</v>
      </c>
      <c r="D116" s="5" t="s">
        <v>485</v>
      </c>
      <c r="E116" s="5" t="s">
        <v>486</v>
      </c>
      <c r="F116" s="5" t="s">
        <v>27</v>
      </c>
      <c r="G116" s="5" t="s">
        <v>487</v>
      </c>
      <c r="H116" s="6">
        <v>0</v>
      </c>
      <c r="I116" s="6">
        <f t="shared" si="16"/>
        <v>4598319.2105263155</v>
      </c>
      <c r="J116" s="6">
        <v>873680.65</v>
      </c>
      <c r="K116" s="6">
        <v>0</v>
      </c>
      <c r="L116" s="6">
        <v>0</v>
      </c>
      <c r="M116" s="6">
        <f t="shared" si="29"/>
        <v>4598319.2105263155</v>
      </c>
      <c r="N116" s="6">
        <f t="shared" si="17"/>
        <v>873680.65</v>
      </c>
      <c r="O116" s="6">
        <f t="shared" si="18"/>
        <v>5471999.8605263159</v>
      </c>
      <c r="P116" s="6">
        <v>5472000</v>
      </c>
      <c r="Q116" s="6">
        <f t="shared" si="30"/>
        <v>4598319.2105263155</v>
      </c>
      <c r="R116" s="6">
        <f t="shared" si="20"/>
        <v>114957.98026315789</v>
      </c>
      <c r="T116" s="12" t="s">
        <v>488</v>
      </c>
      <c r="U116" s="12" t="s">
        <v>489</v>
      </c>
      <c r="V116" s="20">
        <v>56764.993421052626</v>
      </c>
    </row>
    <row r="117" spans="2:22" s="5" customFormat="1" ht="15.6" x14ac:dyDescent="0.3">
      <c r="B117" s="5" t="s">
        <v>16</v>
      </c>
      <c r="C117" s="5" t="s">
        <v>490</v>
      </c>
      <c r="D117" s="5" t="s">
        <v>18</v>
      </c>
      <c r="E117" s="5" t="s">
        <v>491</v>
      </c>
      <c r="F117" s="5" t="s">
        <v>62</v>
      </c>
      <c r="G117" s="5" t="s">
        <v>69</v>
      </c>
      <c r="H117" s="6">
        <f>+P117-I117-J117</f>
        <v>137.12421052576974</v>
      </c>
      <c r="I117" s="6">
        <f t="shared" si="16"/>
        <v>4599043.3157894742</v>
      </c>
      <c r="J117" s="6">
        <v>873818.23</v>
      </c>
      <c r="K117" s="6">
        <v>0</v>
      </c>
      <c r="L117" s="6">
        <v>0</v>
      </c>
      <c r="M117" s="6">
        <f t="shared" si="29"/>
        <v>4599180.4399999995</v>
      </c>
      <c r="N117" s="6">
        <f t="shared" si="17"/>
        <v>873818.23</v>
      </c>
      <c r="O117" s="6">
        <f t="shared" si="18"/>
        <v>5472998.6699999999</v>
      </c>
      <c r="P117" s="6">
        <v>5472998.6699999999</v>
      </c>
      <c r="Q117" s="6">
        <f t="shared" si="30"/>
        <v>4599180.4399999995</v>
      </c>
      <c r="R117" s="6">
        <f t="shared" si="20"/>
        <v>114979.51099999998</v>
      </c>
      <c r="S117" s="9"/>
      <c r="T117" s="12" t="s">
        <v>492</v>
      </c>
      <c r="U117" s="12" t="s">
        <v>493</v>
      </c>
      <c r="V117" s="20">
        <v>19663.865789473686</v>
      </c>
    </row>
    <row r="118" spans="2:22" s="5" customFormat="1" ht="15.6" x14ac:dyDescent="0.3">
      <c r="B118" s="5" t="s">
        <v>16</v>
      </c>
      <c r="C118" s="5" t="s">
        <v>494</v>
      </c>
      <c r="D118" s="5" t="s">
        <v>18</v>
      </c>
      <c r="E118" s="5" t="s">
        <v>495</v>
      </c>
      <c r="F118" s="5" t="s">
        <v>62</v>
      </c>
      <c r="G118" s="5" t="s">
        <v>69</v>
      </c>
      <c r="H118" s="6">
        <v>1200875.7736842111</v>
      </c>
      <c r="I118" s="6">
        <f t="shared" si="16"/>
        <v>3421702.5263157892</v>
      </c>
      <c r="J118" s="6">
        <v>650123.48</v>
      </c>
      <c r="K118" s="6">
        <v>0</v>
      </c>
      <c r="L118" s="6">
        <v>0</v>
      </c>
      <c r="M118" s="6">
        <f t="shared" si="29"/>
        <v>4622578.3000000007</v>
      </c>
      <c r="N118" s="6">
        <f t="shared" si="17"/>
        <v>650123.48</v>
      </c>
      <c r="O118" s="6">
        <f t="shared" si="18"/>
        <v>5272701.7800000012</v>
      </c>
      <c r="P118" s="6">
        <v>5272701.78</v>
      </c>
      <c r="Q118" s="6">
        <f t="shared" si="30"/>
        <v>4622578.3000000007</v>
      </c>
      <c r="R118" s="6">
        <f t="shared" si="20"/>
        <v>115564.45750000002</v>
      </c>
      <c r="T118" s="22" t="s">
        <v>496</v>
      </c>
      <c r="U118" s="12" t="s">
        <v>497</v>
      </c>
      <c r="V118" s="20">
        <v>35601.024999999994</v>
      </c>
    </row>
    <row r="119" spans="2:22" s="5" customFormat="1" ht="15.6" x14ac:dyDescent="0.3">
      <c r="B119" s="7" t="s">
        <v>16</v>
      </c>
      <c r="C119" s="7" t="s">
        <v>498</v>
      </c>
      <c r="D119" s="7" t="s">
        <v>35</v>
      </c>
      <c r="E119" s="7" t="s">
        <v>464</v>
      </c>
      <c r="F119" s="7" t="s">
        <v>53</v>
      </c>
      <c r="G119" s="7" t="s">
        <v>440</v>
      </c>
      <c r="H119" s="8">
        <f>+P119-I119-J119</f>
        <v>-0.43105263100005686</v>
      </c>
      <c r="I119" s="8">
        <f t="shared" si="16"/>
        <v>4632947.421052631</v>
      </c>
      <c r="J119" s="8">
        <v>880260.01</v>
      </c>
      <c r="K119" s="8">
        <v>0</v>
      </c>
      <c r="L119" s="8">
        <v>0</v>
      </c>
      <c r="M119" s="8">
        <f>+I119+H119</f>
        <v>4632946.99</v>
      </c>
      <c r="N119" s="8">
        <f t="shared" si="17"/>
        <v>880260.01</v>
      </c>
      <c r="O119" s="8">
        <f t="shared" si="18"/>
        <v>5513207</v>
      </c>
      <c r="P119" s="8">
        <v>5513207</v>
      </c>
      <c r="Q119" s="8">
        <f t="shared" si="30"/>
        <v>4632946.99</v>
      </c>
      <c r="R119" s="8">
        <f t="shared" si="20"/>
        <v>115823.67475000002</v>
      </c>
      <c r="T119" s="12" t="s">
        <v>499</v>
      </c>
      <c r="U119" s="12" t="s">
        <v>500</v>
      </c>
      <c r="V119" s="20">
        <v>865236.125</v>
      </c>
    </row>
    <row r="120" spans="2:22" s="5" customFormat="1" ht="15.6" x14ac:dyDescent="0.3">
      <c r="B120" s="5" t="s">
        <v>16</v>
      </c>
      <c r="C120" s="5" t="s">
        <v>501</v>
      </c>
      <c r="D120" s="5" t="s">
        <v>18</v>
      </c>
      <c r="E120" s="5" t="s">
        <v>126</v>
      </c>
      <c r="F120" s="5" t="s">
        <v>62</v>
      </c>
      <c r="G120" s="5" t="s">
        <v>69</v>
      </c>
      <c r="H120" s="6">
        <f>+P120-I120-J120-K120-L120</f>
        <v>2888504.6273684222</v>
      </c>
      <c r="I120" s="6">
        <f t="shared" si="16"/>
        <v>1767866.0526315786</v>
      </c>
      <c r="J120" s="6">
        <v>335894.55</v>
      </c>
      <c r="K120" s="6">
        <v>0</v>
      </c>
      <c r="L120" s="6">
        <v>0</v>
      </c>
      <c r="M120" s="6">
        <f t="shared" ref="M120:M138" si="31">+H120+I120+K120</f>
        <v>4656370.6800000006</v>
      </c>
      <c r="N120" s="6">
        <f t="shared" si="17"/>
        <v>335894.55</v>
      </c>
      <c r="O120" s="6">
        <f t="shared" si="18"/>
        <v>4992265.2300000004</v>
      </c>
      <c r="P120" s="6">
        <v>4992265.2300000004</v>
      </c>
      <c r="Q120" s="6">
        <f t="shared" si="30"/>
        <v>4656370.6800000006</v>
      </c>
      <c r="R120" s="6">
        <f t="shared" si="20"/>
        <v>116409.26700000001</v>
      </c>
      <c r="T120" s="12" t="s">
        <v>502</v>
      </c>
      <c r="U120" s="12" t="s">
        <v>503</v>
      </c>
      <c r="V120" s="20">
        <v>194815.96649999998</v>
      </c>
    </row>
    <row r="121" spans="2:22" s="5" customFormat="1" ht="15.6" x14ac:dyDescent="0.3">
      <c r="B121" s="5" t="s">
        <v>16</v>
      </c>
      <c r="C121" s="5" t="s">
        <v>504</v>
      </c>
      <c r="D121" s="5" t="s">
        <v>18</v>
      </c>
      <c r="E121" s="5" t="s">
        <v>117</v>
      </c>
      <c r="F121" s="5" t="s">
        <v>20</v>
      </c>
      <c r="G121" s="5" t="s">
        <v>21</v>
      </c>
      <c r="H121" s="6">
        <f t="shared" ref="H121:H129" si="32">+P121-I121-J121</f>
        <v>600200.86631578859</v>
      </c>
      <c r="I121" s="6">
        <f t="shared" si="16"/>
        <v>4080880.4736842113</v>
      </c>
      <c r="J121" s="6">
        <v>775367.29</v>
      </c>
      <c r="K121" s="6">
        <v>0</v>
      </c>
      <c r="L121" s="6">
        <v>0</v>
      </c>
      <c r="M121" s="6">
        <f t="shared" si="31"/>
        <v>4681081.34</v>
      </c>
      <c r="N121" s="6">
        <f t="shared" si="17"/>
        <v>775367.29</v>
      </c>
      <c r="O121" s="6">
        <f t="shared" si="18"/>
        <v>5456448.6299999999</v>
      </c>
      <c r="P121" s="6">
        <v>5456448.6299999999</v>
      </c>
      <c r="Q121" s="6">
        <f t="shared" si="30"/>
        <v>4681081.34</v>
      </c>
      <c r="R121" s="6">
        <f t="shared" si="20"/>
        <v>117027.03349999999</v>
      </c>
      <c r="T121" s="12" t="s">
        <v>505</v>
      </c>
      <c r="U121" s="12" t="s">
        <v>506</v>
      </c>
      <c r="V121" s="20">
        <v>91969.537749999989</v>
      </c>
    </row>
    <row r="122" spans="2:22" s="5" customFormat="1" ht="15.6" x14ac:dyDescent="0.3">
      <c r="B122" s="5" t="s">
        <v>16</v>
      </c>
      <c r="C122" s="5" t="s">
        <v>507</v>
      </c>
      <c r="D122" s="5" t="s">
        <v>18</v>
      </c>
      <c r="E122" s="5" t="s">
        <v>508</v>
      </c>
      <c r="F122" s="5" t="s">
        <v>62</v>
      </c>
      <c r="G122" s="5" t="s">
        <v>69</v>
      </c>
      <c r="H122" s="6">
        <f t="shared" si="32"/>
        <v>4037180.52</v>
      </c>
      <c r="I122" s="6">
        <f t="shared" si="16"/>
        <v>768774</v>
      </c>
      <c r="J122" s="6">
        <v>146067.06</v>
      </c>
      <c r="K122" s="6">
        <v>0</v>
      </c>
      <c r="L122" s="6">
        <v>0</v>
      </c>
      <c r="M122" s="6">
        <f t="shared" si="31"/>
        <v>4805954.5199999996</v>
      </c>
      <c r="N122" s="6">
        <f t="shared" si="17"/>
        <v>146067.06</v>
      </c>
      <c r="O122" s="6">
        <f t="shared" si="18"/>
        <v>4952021.5799999991</v>
      </c>
      <c r="P122" s="6">
        <v>4952021.58</v>
      </c>
      <c r="Q122" s="6">
        <f t="shared" si="30"/>
        <v>4805954.5199999996</v>
      </c>
      <c r="R122" s="6">
        <f t="shared" si="20"/>
        <v>120148.86299999998</v>
      </c>
      <c r="T122" s="12" t="s">
        <v>509</v>
      </c>
      <c r="U122" s="12" t="s">
        <v>510</v>
      </c>
      <c r="V122" s="20">
        <v>52394.957894736843</v>
      </c>
    </row>
    <row r="123" spans="2:22" s="5" customFormat="1" ht="15.6" x14ac:dyDescent="0.3">
      <c r="B123" s="5" t="s">
        <v>16</v>
      </c>
      <c r="C123" s="5" t="s">
        <v>511</v>
      </c>
      <c r="D123" s="5" t="s">
        <v>18</v>
      </c>
      <c r="E123" s="5" t="s">
        <v>98</v>
      </c>
      <c r="F123" s="5" t="s">
        <v>62</v>
      </c>
      <c r="G123" s="5" t="s">
        <v>69</v>
      </c>
      <c r="H123" s="6">
        <f t="shared" si="32"/>
        <v>632964.01368421118</v>
      </c>
      <c r="I123" s="6">
        <f t="shared" si="16"/>
        <v>4187163.5263157892</v>
      </c>
      <c r="J123" s="6">
        <v>795561.07</v>
      </c>
      <c r="K123" s="6">
        <v>0</v>
      </c>
      <c r="L123" s="6">
        <v>0</v>
      </c>
      <c r="M123" s="6">
        <f t="shared" si="31"/>
        <v>4820127.54</v>
      </c>
      <c r="N123" s="6">
        <f t="shared" si="17"/>
        <v>795561.07</v>
      </c>
      <c r="O123" s="6">
        <f t="shared" si="18"/>
        <v>5615688.6100000003</v>
      </c>
      <c r="P123" s="6">
        <v>5615688.6100000003</v>
      </c>
      <c r="Q123" s="6">
        <f t="shared" si="30"/>
        <v>4820127.54</v>
      </c>
      <c r="R123" s="6">
        <f t="shared" si="20"/>
        <v>120503.18849999999</v>
      </c>
      <c r="T123" s="12" t="s">
        <v>512</v>
      </c>
      <c r="U123" s="12" t="s">
        <v>513</v>
      </c>
      <c r="V123" s="20">
        <v>547402.60525000002</v>
      </c>
    </row>
    <row r="124" spans="2:22" s="5" customFormat="1" ht="15.6" x14ac:dyDescent="0.3">
      <c r="B124" s="5" t="s">
        <v>16</v>
      </c>
      <c r="C124" s="5" t="s">
        <v>514</v>
      </c>
      <c r="D124" s="5" t="s">
        <v>29</v>
      </c>
      <c r="E124" s="5" t="s">
        <v>515</v>
      </c>
      <c r="F124" s="5" t="s">
        <v>31</v>
      </c>
      <c r="G124" s="5" t="s">
        <v>32</v>
      </c>
      <c r="H124" s="6">
        <f t="shared" si="32"/>
        <v>-0.10947368352208287</v>
      </c>
      <c r="I124" s="6">
        <f t="shared" si="16"/>
        <v>4859243.7894736836</v>
      </c>
      <c r="J124" s="6">
        <v>923256.31999999995</v>
      </c>
      <c r="K124" s="6">
        <v>0</v>
      </c>
      <c r="L124" s="6">
        <v>0</v>
      </c>
      <c r="M124" s="6">
        <f t="shared" si="31"/>
        <v>4859243.68</v>
      </c>
      <c r="N124" s="6">
        <f t="shared" si="17"/>
        <v>923256.31999999995</v>
      </c>
      <c r="O124" s="6">
        <f t="shared" si="18"/>
        <v>5782500</v>
      </c>
      <c r="P124" s="6">
        <v>5782500</v>
      </c>
      <c r="Q124" s="6">
        <f t="shared" si="30"/>
        <v>4859243.68</v>
      </c>
      <c r="R124" s="6">
        <f t="shared" si="20"/>
        <v>121481.09199999999</v>
      </c>
      <c r="S124"/>
      <c r="T124" s="12" t="s">
        <v>516</v>
      </c>
      <c r="U124" s="12" t="s">
        <v>517</v>
      </c>
      <c r="V124" s="20">
        <v>34916.85</v>
      </c>
    </row>
    <row r="125" spans="2:22" s="5" customFormat="1" ht="15.6" x14ac:dyDescent="0.3">
      <c r="B125" s="5" t="s">
        <v>16</v>
      </c>
      <c r="C125" s="5" t="s">
        <v>518</v>
      </c>
      <c r="D125" s="5" t="s">
        <v>18</v>
      </c>
      <c r="E125" s="5" t="s">
        <v>177</v>
      </c>
      <c r="F125" s="5" t="s">
        <v>20</v>
      </c>
      <c r="G125" s="5" t="s">
        <v>21</v>
      </c>
      <c r="H125" s="6">
        <f t="shared" si="32"/>
        <v>274636.96210526431</v>
      </c>
      <c r="I125" s="6">
        <f t="shared" si="16"/>
        <v>4587666.1578947362</v>
      </c>
      <c r="J125" s="6">
        <v>871656.57</v>
      </c>
      <c r="K125" s="6">
        <v>0</v>
      </c>
      <c r="L125" s="6">
        <v>0</v>
      </c>
      <c r="M125" s="6">
        <f t="shared" si="31"/>
        <v>4862303.12</v>
      </c>
      <c r="N125" s="6">
        <f t="shared" si="17"/>
        <v>871656.57</v>
      </c>
      <c r="O125" s="6">
        <f t="shared" si="18"/>
        <v>5733959.6900000004</v>
      </c>
      <c r="P125" s="6">
        <v>5733959.6900000004</v>
      </c>
      <c r="Q125" s="6">
        <f t="shared" si="30"/>
        <v>4862303.12</v>
      </c>
      <c r="R125" s="6">
        <f t="shared" si="20"/>
        <v>121557.57800000001</v>
      </c>
      <c r="S125"/>
      <c r="T125" s="12" t="s">
        <v>182</v>
      </c>
      <c r="U125" s="12" t="s">
        <v>183</v>
      </c>
      <c r="V125" s="20">
        <v>46782.522000000004</v>
      </c>
    </row>
    <row r="126" spans="2:22" s="5" customFormat="1" ht="15.6" x14ac:dyDescent="0.3">
      <c r="B126" s="5" t="s">
        <v>16</v>
      </c>
      <c r="C126" s="5" t="s">
        <v>519</v>
      </c>
      <c r="D126" s="5" t="s">
        <v>18</v>
      </c>
      <c r="E126" s="5" t="s">
        <v>520</v>
      </c>
      <c r="F126" s="5" t="s">
        <v>62</v>
      </c>
      <c r="G126" s="5" t="s">
        <v>69</v>
      </c>
      <c r="H126" s="6">
        <f t="shared" si="32"/>
        <v>1492091.0789473683</v>
      </c>
      <c r="I126" s="6">
        <f t="shared" si="16"/>
        <v>3641297.4210526315</v>
      </c>
      <c r="J126" s="6">
        <v>691846.51</v>
      </c>
      <c r="K126" s="6">
        <v>0</v>
      </c>
      <c r="L126" s="6">
        <v>0</v>
      </c>
      <c r="M126" s="6">
        <f t="shared" si="31"/>
        <v>5133388.5</v>
      </c>
      <c r="N126" s="6">
        <f t="shared" si="17"/>
        <v>691846.51</v>
      </c>
      <c r="O126" s="6">
        <f t="shared" si="18"/>
        <v>5825235.0099999998</v>
      </c>
      <c r="P126" s="6">
        <v>5825235.0099999998</v>
      </c>
      <c r="Q126" s="6">
        <f t="shared" si="30"/>
        <v>5133388.5</v>
      </c>
      <c r="R126" s="6">
        <f t="shared" si="20"/>
        <v>128334.71249999999</v>
      </c>
      <c r="T126" s="12" t="s">
        <v>57</v>
      </c>
      <c r="U126" s="12" t="s">
        <v>58</v>
      </c>
      <c r="V126" s="20">
        <v>24087.476999999999</v>
      </c>
    </row>
    <row r="127" spans="2:22" s="5" customFormat="1" ht="15.6" x14ac:dyDescent="0.3">
      <c r="B127" s="5" t="s">
        <v>16</v>
      </c>
      <c r="C127" s="5" t="s">
        <v>521</v>
      </c>
      <c r="D127" s="5" t="s">
        <v>47</v>
      </c>
      <c r="E127" s="5" t="s">
        <v>81</v>
      </c>
      <c r="F127" s="5" t="s">
        <v>73</v>
      </c>
      <c r="G127" s="5" t="s">
        <v>405</v>
      </c>
      <c r="H127" s="6">
        <f t="shared" si="32"/>
        <v>0.16842105297837406</v>
      </c>
      <c r="I127" s="6">
        <f t="shared" si="16"/>
        <v>5243692.6315789474</v>
      </c>
      <c r="J127" s="6">
        <v>996301.6</v>
      </c>
      <c r="K127" s="6">
        <v>0</v>
      </c>
      <c r="L127" s="6">
        <v>0</v>
      </c>
      <c r="M127" s="6">
        <f t="shared" si="31"/>
        <v>5243692.8000000007</v>
      </c>
      <c r="N127" s="6">
        <f t="shared" si="17"/>
        <v>996301.6</v>
      </c>
      <c r="O127" s="6">
        <f t="shared" si="18"/>
        <v>6239994.4000000004</v>
      </c>
      <c r="P127" s="6">
        <v>6239994.4000000004</v>
      </c>
      <c r="Q127" s="6">
        <f t="shared" si="30"/>
        <v>5243692.8000000007</v>
      </c>
      <c r="R127" s="6">
        <f t="shared" si="20"/>
        <v>131092.32</v>
      </c>
      <c r="T127" s="12" t="s">
        <v>217</v>
      </c>
      <c r="U127" s="12" t="s">
        <v>218</v>
      </c>
      <c r="V127" s="20">
        <v>50000</v>
      </c>
    </row>
    <row r="128" spans="2:22" s="5" customFormat="1" ht="15.6" x14ac:dyDescent="0.3">
      <c r="B128" s="5" t="s">
        <v>16</v>
      </c>
      <c r="C128" s="5" t="s">
        <v>522</v>
      </c>
      <c r="D128" s="5" t="s">
        <v>35</v>
      </c>
      <c r="E128" s="5" t="s">
        <v>523</v>
      </c>
      <c r="F128" s="5" t="s">
        <v>112</v>
      </c>
      <c r="G128" s="5" t="s">
        <v>113</v>
      </c>
      <c r="H128" s="6">
        <f t="shared" si="32"/>
        <v>0</v>
      </c>
      <c r="I128" s="6">
        <f t="shared" si="16"/>
        <v>5307430</v>
      </c>
      <c r="J128" s="6">
        <v>1008411.7</v>
      </c>
      <c r="K128" s="6">
        <v>0</v>
      </c>
      <c r="L128" s="6">
        <v>0</v>
      </c>
      <c r="M128" s="6">
        <f t="shared" si="31"/>
        <v>5307430</v>
      </c>
      <c r="N128" s="6">
        <f t="shared" si="17"/>
        <v>1008411.7</v>
      </c>
      <c r="O128" s="6">
        <f t="shared" si="18"/>
        <v>6315841.7000000002</v>
      </c>
      <c r="P128" s="6">
        <v>6315841.7000000002</v>
      </c>
      <c r="Q128" s="6">
        <f t="shared" si="30"/>
        <v>5307430</v>
      </c>
      <c r="R128" s="6">
        <f t="shared" si="20"/>
        <v>132685.75</v>
      </c>
      <c r="S128"/>
      <c r="T128" s="12" t="s">
        <v>143</v>
      </c>
      <c r="U128" s="12" t="s">
        <v>144</v>
      </c>
      <c r="V128" s="20">
        <v>42457.45</v>
      </c>
    </row>
    <row r="129" spans="2:22" s="5" customFormat="1" ht="15.6" x14ac:dyDescent="0.3">
      <c r="B129" s="5" t="s">
        <v>16</v>
      </c>
      <c r="C129" s="5" t="s">
        <v>524</v>
      </c>
      <c r="D129" s="5" t="s">
        <v>23</v>
      </c>
      <c r="E129" s="5" t="s">
        <v>81</v>
      </c>
      <c r="F129" s="5" t="s">
        <v>25</v>
      </c>
      <c r="G129" s="5" t="s">
        <v>26</v>
      </c>
      <c r="H129" s="6">
        <f t="shared" si="32"/>
        <v>0</v>
      </c>
      <c r="I129" s="6">
        <f t="shared" si="16"/>
        <v>5313132</v>
      </c>
      <c r="J129" s="6">
        <v>1009495.08</v>
      </c>
      <c r="K129" s="6">
        <v>0</v>
      </c>
      <c r="L129" s="6">
        <v>0</v>
      </c>
      <c r="M129" s="6">
        <f t="shared" si="31"/>
        <v>5313132</v>
      </c>
      <c r="N129" s="6">
        <f t="shared" si="17"/>
        <v>1009495.08</v>
      </c>
      <c r="O129" s="6">
        <f t="shared" si="18"/>
        <v>6322627.0800000001</v>
      </c>
      <c r="P129" s="6">
        <v>6322627.0800000001</v>
      </c>
      <c r="Q129" s="6">
        <f t="shared" si="30"/>
        <v>5313132</v>
      </c>
      <c r="R129" s="6">
        <f t="shared" si="20"/>
        <v>132828.29999999999</v>
      </c>
      <c r="S129"/>
      <c r="T129" s="12" t="s">
        <v>157</v>
      </c>
      <c r="U129" s="12" t="s">
        <v>158</v>
      </c>
      <c r="V129" s="20">
        <v>43487.394999999997</v>
      </c>
    </row>
    <row r="130" spans="2:22" s="5" customFormat="1" ht="15.6" x14ac:dyDescent="0.3">
      <c r="B130" s="5" t="s">
        <v>16</v>
      </c>
      <c r="C130" s="5" t="s">
        <v>525</v>
      </c>
      <c r="D130" s="5" t="s">
        <v>35</v>
      </c>
      <c r="E130" s="5" t="s">
        <v>526</v>
      </c>
      <c r="F130" s="5" t="s">
        <v>37</v>
      </c>
      <c r="G130" s="5" t="s">
        <v>527</v>
      </c>
      <c r="H130" s="6">
        <v>2.1052630618214607E-3</v>
      </c>
      <c r="I130" s="6">
        <f t="shared" si="16"/>
        <v>5353899.1578947371</v>
      </c>
      <c r="J130" s="6">
        <v>1017240.84</v>
      </c>
      <c r="K130" s="6">
        <v>0</v>
      </c>
      <c r="L130" s="6">
        <v>0</v>
      </c>
      <c r="M130" s="6">
        <f t="shared" si="31"/>
        <v>5353899.16</v>
      </c>
      <c r="N130" s="6">
        <f t="shared" si="17"/>
        <v>1017240.84</v>
      </c>
      <c r="O130" s="6">
        <f t="shared" si="18"/>
        <v>6371140</v>
      </c>
      <c r="P130" s="6">
        <v>6371140</v>
      </c>
      <c r="Q130" s="6">
        <f t="shared" si="30"/>
        <v>5353899.16</v>
      </c>
      <c r="R130" s="6">
        <f t="shared" si="20"/>
        <v>133847.47899999999</v>
      </c>
      <c r="S130"/>
      <c r="T130" s="12" t="s">
        <v>127</v>
      </c>
      <c r="U130" s="12" t="s">
        <v>128</v>
      </c>
      <c r="V130" s="20">
        <v>276617.647</v>
      </c>
    </row>
    <row r="131" spans="2:22" s="5" customFormat="1" ht="15.6" x14ac:dyDescent="0.3">
      <c r="B131" s="5" t="s">
        <v>16</v>
      </c>
      <c r="C131" s="5" t="s">
        <v>528</v>
      </c>
      <c r="E131" s="5" t="s">
        <v>52</v>
      </c>
      <c r="F131" s="5" t="s">
        <v>103</v>
      </c>
      <c r="G131" s="5" t="s">
        <v>529</v>
      </c>
      <c r="H131" s="6">
        <f>+P131-I131-J131</f>
        <v>0</v>
      </c>
      <c r="I131" s="6">
        <f t="shared" ref="I131:I157" si="33">+J131/19*100</f>
        <v>5527662</v>
      </c>
      <c r="J131" s="6">
        <v>1050255.78</v>
      </c>
      <c r="K131" s="6">
        <v>0</v>
      </c>
      <c r="L131" s="6">
        <v>0</v>
      </c>
      <c r="M131" s="6">
        <f t="shared" si="31"/>
        <v>5527662</v>
      </c>
      <c r="N131" s="6">
        <f t="shared" ref="N131:N138" si="34">+J131+L131</f>
        <v>1050255.78</v>
      </c>
      <c r="O131" s="6">
        <f t="shared" ref="O131:O157" si="35">+M131+N131</f>
        <v>6577917.7800000003</v>
      </c>
      <c r="P131" s="6">
        <v>6577917.7800000003</v>
      </c>
      <c r="Q131" s="6">
        <f t="shared" si="30"/>
        <v>5527662</v>
      </c>
      <c r="R131" s="6">
        <f t="shared" ref="R131:R138" si="36">+Q131*2.5/100</f>
        <v>138191.54999999999</v>
      </c>
      <c r="S131"/>
      <c r="T131" s="12" t="s">
        <v>112</v>
      </c>
      <c r="U131" s="12" t="s">
        <v>113</v>
      </c>
      <c r="V131" s="20">
        <v>1911738.6849999998</v>
      </c>
    </row>
    <row r="132" spans="2:22" s="5" customFormat="1" ht="15.6" x14ac:dyDescent="0.3">
      <c r="B132" s="5" t="s">
        <v>16</v>
      </c>
      <c r="C132" s="5" t="s">
        <v>530</v>
      </c>
      <c r="D132" s="5" t="s">
        <v>125</v>
      </c>
      <c r="E132" s="5" t="s">
        <v>142</v>
      </c>
      <c r="F132" s="5" t="s">
        <v>127</v>
      </c>
      <c r="G132" s="5" t="s">
        <v>128</v>
      </c>
      <c r="H132" s="6">
        <f>+P132-I132-J132</f>
        <v>2.1052632015198469E-2</v>
      </c>
      <c r="I132" s="6">
        <f t="shared" si="33"/>
        <v>5578991.5789473681</v>
      </c>
      <c r="J132" s="6">
        <v>1060008.3999999999</v>
      </c>
      <c r="K132" s="6">
        <v>0</v>
      </c>
      <c r="L132" s="6">
        <v>0</v>
      </c>
      <c r="M132" s="6">
        <f t="shared" si="31"/>
        <v>5578991.5999999996</v>
      </c>
      <c r="N132" s="6">
        <f t="shared" si="34"/>
        <v>1060008.3999999999</v>
      </c>
      <c r="O132" s="6">
        <f t="shared" si="35"/>
        <v>6639000</v>
      </c>
      <c r="P132" s="6">
        <v>6639000</v>
      </c>
      <c r="Q132" s="6">
        <f t="shared" si="30"/>
        <v>5578991.5999999996</v>
      </c>
      <c r="R132" s="6">
        <f t="shared" si="36"/>
        <v>139474.79</v>
      </c>
      <c r="T132" s="12" t="s">
        <v>476</v>
      </c>
      <c r="U132" s="12" t="s">
        <v>477</v>
      </c>
      <c r="V132" s="20">
        <v>112930.67225</v>
      </c>
    </row>
    <row r="133" spans="2:22" s="5" customFormat="1" ht="15.6" x14ac:dyDescent="0.3">
      <c r="B133" s="5" t="s">
        <v>16</v>
      </c>
      <c r="C133" s="5" t="s">
        <v>531</v>
      </c>
      <c r="D133" s="5" t="s">
        <v>35</v>
      </c>
      <c r="E133" s="5" t="s">
        <v>404</v>
      </c>
      <c r="F133" s="5" t="s">
        <v>37</v>
      </c>
      <c r="G133" s="5" t="s">
        <v>317</v>
      </c>
      <c r="H133" s="6">
        <f>+P133-I133-J133</f>
        <v>8.6842106422409415E-2</v>
      </c>
      <c r="I133" s="6">
        <f t="shared" si="33"/>
        <v>5699127.2631578939</v>
      </c>
      <c r="J133" s="6">
        <v>1082834.18</v>
      </c>
      <c r="K133" s="6">
        <v>0</v>
      </c>
      <c r="L133" s="6">
        <v>0</v>
      </c>
      <c r="M133" s="6">
        <f t="shared" si="31"/>
        <v>5699127.3500000006</v>
      </c>
      <c r="N133" s="6">
        <f t="shared" si="34"/>
        <v>1082834.18</v>
      </c>
      <c r="O133" s="6">
        <f t="shared" si="35"/>
        <v>6781961.5300000003</v>
      </c>
      <c r="P133" s="6">
        <v>6781961.5300000003</v>
      </c>
      <c r="Q133" s="6">
        <f t="shared" si="30"/>
        <v>5699127.3500000006</v>
      </c>
      <c r="R133" s="6">
        <f t="shared" si="36"/>
        <v>142478.18375000003</v>
      </c>
      <c r="T133" s="12" t="s">
        <v>37</v>
      </c>
      <c r="U133" s="12" t="s">
        <v>38</v>
      </c>
      <c r="V133" s="20">
        <v>936839.5022499999</v>
      </c>
    </row>
    <row r="134" spans="2:22" s="5" customFormat="1" ht="15.6" x14ac:dyDescent="0.3">
      <c r="B134" s="5" t="s">
        <v>16</v>
      </c>
      <c r="C134" s="5" t="s">
        <v>532</v>
      </c>
      <c r="D134" s="5" t="s">
        <v>18</v>
      </c>
      <c r="E134" s="5" t="s">
        <v>533</v>
      </c>
      <c r="F134" s="5" t="s">
        <v>20</v>
      </c>
      <c r="G134" s="5" t="s">
        <v>21</v>
      </c>
      <c r="H134" s="6">
        <v>727907.30842105299</v>
      </c>
      <c r="I134" s="6">
        <f t="shared" si="33"/>
        <v>4976301.6315789474</v>
      </c>
      <c r="J134" s="6">
        <v>945497.31</v>
      </c>
      <c r="K134" s="6">
        <v>0</v>
      </c>
      <c r="L134" s="6">
        <v>0</v>
      </c>
      <c r="M134" s="6">
        <f t="shared" si="31"/>
        <v>5704208.9400000004</v>
      </c>
      <c r="N134" s="6">
        <f t="shared" si="34"/>
        <v>945497.31</v>
      </c>
      <c r="O134" s="6">
        <f t="shared" si="35"/>
        <v>6649706.25</v>
      </c>
      <c r="P134" s="6">
        <v>6649706.25</v>
      </c>
      <c r="Q134" s="6">
        <f t="shared" si="30"/>
        <v>5704208.9400000004</v>
      </c>
      <c r="R134" s="6">
        <f t="shared" si="36"/>
        <v>142605.22350000002</v>
      </c>
      <c r="T134" s="12" t="s">
        <v>271</v>
      </c>
      <c r="U134" s="12" t="s">
        <v>272</v>
      </c>
      <c r="V134" s="20">
        <v>526000</v>
      </c>
    </row>
    <row r="135" spans="2:22" s="5" customFormat="1" ht="15.6" x14ac:dyDescent="0.3"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T135" s="27">
        <v>72126771</v>
      </c>
      <c r="U135" s="12" t="s">
        <v>2576</v>
      </c>
      <c r="V135" s="20">
        <f>140000*12</f>
        <v>1680000</v>
      </c>
    </row>
    <row r="136" spans="2:22" s="5" customFormat="1" ht="15.6" x14ac:dyDescent="0.3"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T136" s="25"/>
      <c r="U136" s="25"/>
      <c r="V136" s="26"/>
    </row>
    <row r="137" spans="2:22" s="5" customFormat="1" ht="15.6" x14ac:dyDescent="0.3"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T137" s="25"/>
      <c r="U137" s="25"/>
      <c r="V137" s="26"/>
    </row>
    <row r="138" spans="2:22" s="5" customFormat="1" ht="18" x14ac:dyDescent="0.35">
      <c r="B138" s="5" t="s">
        <v>16</v>
      </c>
      <c r="C138" s="5" t="s">
        <v>534</v>
      </c>
      <c r="D138" s="5" t="s">
        <v>23</v>
      </c>
      <c r="E138" s="5" t="s">
        <v>24</v>
      </c>
      <c r="F138" s="5" t="s">
        <v>25</v>
      </c>
      <c r="G138" s="5" t="s">
        <v>26</v>
      </c>
      <c r="H138" s="6">
        <f t="shared" ref="H138" si="37">+P138-I138-J138</f>
        <v>0</v>
      </c>
      <c r="I138" s="6">
        <f t="shared" si="33"/>
        <v>5965770</v>
      </c>
      <c r="J138" s="6">
        <v>1133496.3</v>
      </c>
      <c r="K138" s="6">
        <v>0</v>
      </c>
      <c r="L138" s="6">
        <v>0</v>
      </c>
      <c r="M138" s="6">
        <f t="shared" si="31"/>
        <v>5965770</v>
      </c>
      <c r="N138" s="6">
        <f t="shared" si="34"/>
        <v>1133496.3</v>
      </c>
      <c r="O138" s="6">
        <f t="shared" si="35"/>
        <v>7099266.2999999998</v>
      </c>
      <c r="P138" s="6">
        <v>7099266.2999999998</v>
      </c>
      <c r="Q138" s="6">
        <f t="shared" si="30"/>
        <v>5965770</v>
      </c>
      <c r="R138" s="6">
        <f t="shared" si="36"/>
        <v>149144.25</v>
      </c>
      <c r="T138"/>
      <c r="V138" s="10">
        <f>SUM(V3:V135)</f>
        <v>105135599.90054734</v>
      </c>
    </row>
    <row r="139" spans="2:22" s="5" customFormat="1" x14ac:dyDescent="0.3">
      <c r="B139" s="7" t="s">
        <v>16</v>
      </c>
      <c r="C139" s="7" t="s">
        <v>552</v>
      </c>
      <c r="D139" s="7" t="s">
        <v>547</v>
      </c>
      <c r="E139" s="7" t="s">
        <v>539</v>
      </c>
      <c r="F139" s="7" t="s">
        <v>283</v>
      </c>
      <c r="G139" s="7" t="s">
        <v>284</v>
      </c>
      <c r="H139" s="8">
        <f t="shared" ref="H139:H189" si="38">+P139-I139-J139</f>
        <v>0</v>
      </c>
      <c r="I139" s="8">
        <f t="shared" si="33"/>
        <v>6156936.0000000009</v>
      </c>
      <c r="J139" s="8">
        <v>1169817.8400000001</v>
      </c>
      <c r="K139" s="8">
        <v>0</v>
      </c>
      <c r="L139" s="8">
        <v>0</v>
      </c>
      <c r="M139" s="8">
        <f t="shared" ref="M139" si="39">+I139+H139</f>
        <v>6156936.0000000009</v>
      </c>
      <c r="N139" s="8">
        <f t="shared" ref="N139:N143" si="40">+J139+L139</f>
        <v>1169817.8400000001</v>
      </c>
      <c r="O139" s="8">
        <f t="shared" si="35"/>
        <v>7326753.8400000008</v>
      </c>
      <c r="P139" s="8">
        <v>7326753.8399999999</v>
      </c>
      <c r="Q139" s="8">
        <f>+M139</f>
        <v>6156936.0000000009</v>
      </c>
      <c r="R139" s="8">
        <f t="shared" ref="R139:R179" si="41">+Q139*2.5/100</f>
        <v>153923.40000000002</v>
      </c>
      <c r="T139"/>
      <c r="V139" s="24">
        <v>101427000</v>
      </c>
    </row>
    <row r="140" spans="2:22" s="5" customFormat="1" x14ac:dyDescent="0.3">
      <c r="B140" s="5" t="s">
        <v>16</v>
      </c>
      <c r="C140" s="5" t="s">
        <v>553</v>
      </c>
      <c r="D140" s="5" t="s">
        <v>547</v>
      </c>
      <c r="E140" s="5" t="s">
        <v>554</v>
      </c>
      <c r="F140" s="5" t="s">
        <v>283</v>
      </c>
      <c r="G140" s="5" t="s">
        <v>284</v>
      </c>
      <c r="H140" s="6">
        <f t="shared" si="38"/>
        <v>0</v>
      </c>
      <c r="I140" s="6">
        <f t="shared" si="33"/>
        <v>1668793</v>
      </c>
      <c r="J140" s="6">
        <v>317070.67</v>
      </c>
      <c r="K140" s="6">
        <v>0</v>
      </c>
      <c r="L140" s="6">
        <v>0</v>
      </c>
      <c r="M140" s="6">
        <f t="shared" ref="M140:M203" si="42">+H140+I140+K140</f>
        <v>1668793</v>
      </c>
      <c r="N140" s="6">
        <f t="shared" si="40"/>
        <v>317070.67</v>
      </c>
      <c r="O140" s="6">
        <f t="shared" si="35"/>
        <v>1985863.67</v>
      </c>
      <c r="P140" s="6">
        <v>1985863.67</v>
      </c>
      <c r="Q140" s="6">
        <f>+M140-139284</f>
        <v>1529509</v>
      </c>
      <c r="R140" s="6">
        <f t="shared" si="41"/>
        <v>38237.724999999999</v>
      </c>
      <c r="T140"/>
      <c r="V140" s="28">
        <f>+V138-V139</f>
        <v>3708599.9005473405</v>
      </c>
    </row>
    <row r="141" spans="2:22" s="5" customFormat="1" x14ac:dyDescent="0.3">
      <c r="B141" s="5" t="s">
        <v>16</v>
      </c>
      <c r="C141" s="5" t="s">
        <v>555</v>
      </c>
      <c r="D141" s="5" t="s">
        <v>547</v>
      </c>
      <c r="E141" s="5" t="s">
        <v>316</v>
      </c>
      <c r="F141" s="5" t="s">
        <v>283</v>
      </c>
      <c r="G141" s="5" t="s">
        <v>284</v>
      </c>
      <c r="H141" s="6">
        <f t="shared" si="38"/>
        <v>0</v>
      </c>
      <c r="I141" s="6">
        <f t="shared" si="33"/>
        <v>3042105</v>
      </c>
      <c r="J141" s="6">
        <v>577999.94999999995</v>
      </c>
      <c r="K141" s="6">
        <v>0</v>
      </c>
      <c r="L141" s="6">
        <v>0</v>
      </c>
      <c r="M141" s="6">
        <f t="shared" si="42"/>
        <v>3042105</v>
      </c>
      <c r="N141" s="6">
        <f t="shared" si="40"/>
        <v>577999.94999999995</v>
      </c>
      <c r="O141" s="6">
        <f t="shared" si="35"/>
        <v>3620104.95</v>
      </c>
      <c r="P141" s="6">
        <v>3620104.95</v>
      </c>
      <c r="Q141" s="6">
        <f>+M141-20728</f>
        <v>3021377</v>
      </c>
      <c r="R141" s="6">
        <f t="shared" si="41"/>
        <v>75534.425000000003</v>
      </c>
      <c r="T141"/>
    </row>
    <row r="142" spans="2:22" x14ac:dyDescent="0.3">
      <c r="B142" s="5" t="s">
        <v>16</v>
      </c>
      <c r="C142" s="5" t="s">
        <v>556</v>
      </c>
      <c r="D142" s="5" t="s">
        <v>547</v>
      </c>
      <c r="E142" s="5" t="s">
        <v>554</v>
      </c>
      <c r="F142" s="5" t="s">
        <v>283</v>
      </c>
      <c r="G142" s="5" t="s">
        <v>284</v>
      </c>
      <c r="H142" s="6">
        <f t="shared" si="38"/>
        <v>0</v>
      </c>
      <c r="I142" s="6">
        <f t="shared" si="33"/>
        <v>3327429.9999999995</v>
      </c>
      <c r="J142" s="6">
        <v>632211.69999999995</v>
      </c>
      <c r="K142" s="6">
        <v>0</v>
      </c>
      <c r="L142" s="6">
        <v>0</v>
      </c>
      <c r="M142" s="6">
        <f t="shared" si="42"/>
        <v>3327429.9999999995</v>
      </c>
      <c r="N142" s="6">
        <f t="shared" si="40"/>
        <v>632211.69999999995</v>
      </c>
      <c r="O142" s="6">
        <f t="shared" si="35"/>
        <v>3959641.6999999993</v>
      </c>
      <c r="P142" s="6">
        <v>3959641.7</v>
      </c>
      <c r="Q142" s="6">
        <f>+M142</f>
        <v>3327429.9999999995</v>
      </c>
      <c r="R142" s="6">
        <f t="shared" si="41"/>
        <v>83185.749999999985</v>
      </c>
      <c r="S142" s="5"/>
      <c r="U142" s="5"/>
      <c r="V142" s="5"/>
    </row>
    <row r="143" spans="2:22" x14ac:dyDescent="0.3">
      <c r="B143" s="5" t="s">
        <v>16</v>
      </c>
      <c r="C143" s="5" t="s">
        <v>557</v>
      </c>
      <c r="D143" s="5" t="s">
        <v>547</v>
      </c>
      <c r="E143" s="5" t="s">
        <v>554</v>
      </c>
      <c r="F143" s="5" t="s">
        <v>283</v>
      </c>
      <c r="G143" s="5" t="s">
        <v>284</v>
      </c>
      <c r="H143" s="6">
        <f t="shared" si="38"/>
        <v>0</v>
      </c>
      <c r="I143" s="6">
        <f t="shared" si="33"/>
        <v>3603062.0000000005</v>
      </c>
      <c r="J143" s="6">
        <v>684581.78</v>
      </c>
      <c r="K143" s="6">
        <v>0</v>
      </c>
      <c r="L143" s="6">
        <v>0</v>
      </c>
      <c r="M143" s="6">
        <f t="shared" si="42"/>
        <v>3603062.0000000005</v>
      </c>
      <c r="N143" s="6">
        <f t="shared" si="40"/>
        <v>684581.78</v>
      </c>
      <c r="O143" s="6">
        <f t="shared" si="35"/>
        <v>4287643.78</v>
      </c>
      <c r="P143" s="6">
        <v>4287643.78</v>
      </c>
      <c r="Q143" s="6">
        <f>+M143</f>
        <v>3603062.0000000005</v>
      </c>
      <c r="R143" s="6">
        <f t="shared" si="41"/>
        <v>90076.550000000017</v>
      </c>
      <c r="S143" s="7"/>
    </row>
    <row r="144" spans="2:22" s="5" customFormat="1" x14ac:dyDescent="0.3">
      <c r="B144" s="5" t="s">
        <v>16</v>
      </c>
      <c r="C144" s="5" t="s">
        <v>558</v>
      </c>
      <c r="D144" s="5" t="s">
        <v>547</v>
      </c>
      <c r="E144" s="5" t="s">
        <v>559</v>
      </c>
      <c r="F144" s="5" t="s">
        <v>283</v>
      </c>
      <c r="G144" s="5" t="s">
        <v>284</v>
      </c>
      <c r="H144" s="6">
        <f t="shared" si="38"/>
        <v>0</v>
      </c>
      <c r="I144" s="6">
        <f t="shared" si="33"/>
        <v>480240.00000000006</v>
      </c>
      <c r="J144" s="6">
        <v>91245.6</v>
      </c>
      <c r="K144" s="6">
        <v>0</v>
      </c>
      <c r="L144" s="6">
        <v>0</v>
      </c>
      <c r="M144" s="6">
        <f t="shared" si="42"/>
        <v>480240.00000000006</v>
      </c>
      <c r="N144" s="6">
        <f>J144+L144</f>
        <v>91245.6</v>
      </c>
      <c r="O144" s="6">
        <f t="shared" si="35"/>
        <v>571485.60000000009</v>
      </c>
      <c r="P144" s="6">
        <v>571485.6</v>
      </c>
      <c r="Q144" s="6">
        <v>0</v>
      </c>
      <c r="R144" s="6">
        <f t="shared" si="41"/>
        <v>0</v>
      </c>
      <c r="T144"/>
    </row>
    <row r="145" spans="2:22" s="5" customFormat="1" x14ac:dyDescent="0.3">
      <c r="B145" s="5" t="s">
        <v>16</v>
      </c>
      <c r="C145" s="5" t="s">
        <v>560</v>
      </c>
      <c r="D145" s="5" t="s">
        <v>547</v>
      </c>
      <c r="E145" s="5" t="s">
        <v>561</v>
      </c>
      <c r="F145" s="5" t="s">
        <v>283</v>
      </c>
      <c r="G145" s="5" t="s">
        <v>284</v>
      </c>
      <c r="H145" s="6">
        <f t="shared" si="38"/>
        <v>0</v>
      </c>
      <c r="I145" s="6">
        <f t="shared" si="33"/>
        <v>1372116</v>
      </c>
      <c r="J145" s="6">
        <v>260702.04</v>
      </c>
      <c r="K145" s="6">
        <v>0</v>
      </c>
      <c r="L145" s="6">
        <v>0</v>
      </c>
      <c r="M145" s="6">
        <f t="shared" si="42"/>
        <v>1372116</v>
      </c>
      <c r="N145" s="6">
        <f>+J145+L145</f>
        <v>260702.04</v>
      </c>
      <c r="O145" s="6">
        <f t="shared" si="35"/>
        <v>1632818.04</v>
      </c>
      <c r="P145" s="6">
        <v>1632818.04</v>
      </c>
      <c r="Q145" s="6">
        <f>+M145</f>
        <v>1372116</v>
      </c>
      <c r="R145" s="6">
        <f t="shared" si="41"/>
        <v>34302.9</v>
      </c>
      <c r="T145"/>
    </row>
    <row r="146" spans="2:22" s="5" customFormat="1" x14ac:dyDescent="0.3">
      <c r="B146" s="5" t="s">
        <v>16</v>
      </c>
      <c r="C146" s="5" t="s">
        <v>562</v>
      </c>
      <c r="D146" s="5" t="s">
        <v>547</v>
      </c>
      <c r="E146" s="5" t="s">
        <v>563</v>
      </c>
      <c r="F146" s="5" t="s">
        <v>283</v>
      </c>
      <c r="G146" s="5" t="s">
        <v>284</v>
      </c>
      <c r="H146" s="6">
        <f t="shared" si="38"/>
        <v>0</v>
      </c>
      <c r="I146" s="6">
        <f t="shared" si="33"/>
        <v>1399486</v>
      </c>
      <c r="J146" s="6">
        <v>265902.34000000003</v>
      </c>
      <c r="K146" s="6">
        <v>0</v>
      </c>
      <c r="L146" s="6">
        <v>0</v>
      </c>
      <c r="M146" s="6">
        <f t="shared" si="42"/>
        <v>1399486</v>
      </c>
      <c r="N146" s="6">
        <f>J146+L146</f>
        <v>265902.34000000003</v>
      </c>
      <c r="O146" s="6">
        <f t="shared" si="35"/>
        <v>1665388.34</v>
      </c>
      <c r="P146" s="6">
        <v>1665388.34</v>
      </c>
      <c r="Q146" s="6">
        <f>+M146</f>
        <v>1399486</v>
      </c>
      <c r="R146" s="6">
        <f t="shared" si="41"/>
        <v>34987.15</v>
      </c>
      <c r="T146"/>
    </row>
    <row r="147" spans="2:22" s="5" customFormat="1" x14ac:dyDescent="0.3">
      <c r="B147" s="5" t="s">
        <v>16</v>
      </c>
      <c r="C147" s="5" t="s">
        <v>564</v>
      </c>
      <c r="D147" s="5" t="s">
        <v>547</v>
      </c>
      <c r="E147" s="5" t="s">
        <v>561</v>
      </c>
      <c r="F147" s="5" t="s">
        <v>283</v>
      </c>
      <c r="G147" s="5" t="s">
        <v>284</v>
      </c>
      <c r="H147" s="6">
        <f t="shared" si="38"/>
        <v>0</v>
      </c>
      <c r="I147" s="6">
        <f t="shared" si="33"/>
        <v>1419078</v>
      </c>
      <c r="J147" s="6">
        <v>269624.82</v>
      </c>
      <c r="K147" s="6">
        <v>0</v>
      </c>
      <c r="L147" s="6">
        <v>0</v>
      </c>
      <c r="M147" s="6">
        <f t="shared" si="42"/>
        <v>1419078</v>
      </c>
      <c r="N147" s="6">
        <f>+J147+L147</f>
        <v>269624.82</v>
      </c>
      <c r="O147" s="6">
        <f t="shared" si="35"/>
        <v>1688702.82</v>
      </c>
      <c r="P147" s="6">
        <v>1688702.82</v>
      </c>
      <c r="Q147" s="6">
        <f>+M147</f>
        <v>1419078</v>
      </c>
      <c r="R147" s="6">
        <f t="shared" si="41"/>
        <v>35476.949999999997</v>
      </c>
      <c r="T147"/>
    </row>
    <row r="148" spans="2:22" s="5" customFormat="1" x14ac:dyDescent="0.3">
      <c r="B148" s="5" t="s">
        <v>16</v>
      </c>
      <c r="C148" s="5" t="s">
        <v>565</v>
      </c>
      <c r="D148" s="5" t="s">
        <v>547</v>
      </c>
      <c r="E148" s="5" t="s">
        <v>561</v>
      </c>
      <c r="F148" s="5" t="s">
        <v>283</v>
      </c>
      <c r="G148" s="5" t="s">
        <v>284</v>
      </c>
      <c r="H148" s="6">
        <f t="shared" si="38"/>
        <v>0</v>
      </c>
      <c r="I148" s="6">
        <f t="shared" si="33"/>
        <v>1602803</v>
      </c>
      <c r="J148" s="6">
        <v>304532.57</v>
      </c>
      <c r="K148" s="6">
        <v>0</v>
      </c>
      <c r="L148" s="6">
        <v>0</v>
      </c>
      <c r="M148" s="6">
        <f t="shared" si="42"/>
        <v>1602803</v>
      </c>
      <c r="N148" s="6">
        <f>+J148+L148</f>
        <v>304532.57</v>
      </c>
      <c r="O148" s="6">
        <f t="shared" si="35"/>
        <v>1907335.57</v>
      </c>
      <c r="P148" s="6">
        <v>1907335.57</v>
      </c>
      <c r="Q148" s="6">
        <f>+M148</f>
        <v>1602803</v>
      </c>
      <c r="R148" s="6">
        <f t="shared" si="41"/>
        <v>40070.074999999997</v>
      </c>
      <c r="T148"/>
    </row>
    <row r="149" spans="2:22" s="5" customFormat="1" x14ac:dyDescent="0.3">
      <c r="B149" s="5" t="s">
        <v>16</v>
      </c>
      <c r="C149" s="5" t="s">
        <v>566</v>
      </c>
      <c r="D149" s="5" t="s">
        <v>547</v>
      </c>
      <c r="E149" s="5" t="s">
        <v>559</v>
      </c>
      <c r="F149" s="5" t="s">
        <v>283</v>
      </c>
      <c r="G149" s="5" t="s">
        <v>284</v>
      </c>
      <c r="H149" s="6">
        <f t="shared" si="38"/>
        <v>-2.1052632015198469E-2</v>
      </c>
      <c r="I149" s="6">
        <f t="shared" si="33"/>
        <v>2940726.4210526319</v>
      </c>
      <c r="J149" s="6">
        <v>558738.02</v>
      </c>
      <c r="K149" s="6">
        <v>0</v>
      </c>
      <c r="L149" s="6">
        <v>0</v>
      </c>
      <c r="M149" s="6">
        <f t="shared" si="42"/>
        <v>2940726.4</v>
      </c>
      <c r="N149" s="6">
        <f>J149+L149</f>
        <v>558738.02</v>
      </c>
      <c r="O149" s="6">
        <f t="shared" si="35"/>
        <v>3499464.42</v>
      </c>
      <c r="P149" s="6">
        <v>3499464.42</v>
      </c>
      <c r="Q149" s="6">
        <f>+M149-960480</f>
        <v>1980246.4</v>
      </c>
      <c r="R149" s="6">
        <f t="shared" si="41"/>
        <v>49506.16</v>
      </c>
      <c r="T149"/>
    </row>
    <row r="150" spans="2:22" s="5" customFormat="1" x14ac:dyDescent="0.3">
      <c r="B150" s="5" t="s">
        <v>16</v>
      </c>
      <c r="C150" s="5" t="s">
        <v>567</v>
      </c>
      <c r="D150" s="5" t="s">
        <v>547</v>
      </c>
      <c r="E150" s="5" t="s">
        <v>563</v>
      </c>
      <c r="F150" s="5" t="s">
        <v>283</v>
      </c>
      <c r="G150" s="5" t="s">
        <v>284</v>
      </c>
      <c r="H150" s="6">
        <f t="shared" si="38"/>
        <v>0</v>
      </c>
      <c r="I150" s="6">
        <f t="shared" si="33"/>
        <v>2278328</v>
      </c>
      <c r="J150" s="6">
        <v>432882.32</v>
      </c>
      <c r="K150" s="6">
        <v>0</v>
      </c>
      <c r="L150" s="6">
        <v>0</v>
      </c>
      <c r="M150" s="6">
        <f t="shared" si="42"/>
        <v>2278328</v>
      </c>
      <c r="N150" s="6">
        <f>J150+L150</f>
        <v>432882.32</v>
      </c>
      <c r="O150" s="6">
        <f t="shared" si="35"/>
        <v>2711210.32</v>
      </c>
      <c r="P150" s="6">
        <v>2711210.32</v>
      </c>
      <c r="Q150" s="6">
        <f t="shared" ref="Q150:Q172" si="43">+M150</f>
        <v>2278328</v>
      </c>
      <c r="R150" s="6">
        <f t="shared" si="41"/>
        <v>56958.2</v>
      </c>
      <c r="T150"/>
    </row>
    <row r="151" spans="2:22" s="5" customFormat="1" x14ac:dyDescent="0.3">
      <c r="B151" s="5" t="s">
        <v>16</v>
      </c>
      <c r="C151" s="5" t="s">
        <v>568</v>
      </c>
      <c r="D151" s="5" t="s">
        <v>547</v>
      </c>
      <c r="E151" s="5" t="s">
        <v>563</v>
      </c>
      <c r="F151" s="5" t="s">
        <v>283</v>
      </c>
      <c r="G151" s="5" t="s">
        <v>284</v>
      </c>
      <c r="H151" s="6">
        <f t="shared" si="38"/>
        <v>0</v>
      </c>
      <c r="I151" s="6">
        <f t="shared" si="33"/>
        <v>2887844</v>
      </c>
      <c r="J151" s="6">
        <v>548690.36</v>
      </c>
      <c r="K151" s="6">
        <v>0</v>
      </c>
      <c r="L151" s="6">
        <v>0</v>
      </c>
      <c r="M151" s="6">
        <f t="shared" si="42"/>
        <v>2887844</v>
      </c>
      <c r="N151" s="6">
        <f>J151+L151</f>
        <v>548690.36</v>
      </c>
      <c r="O151" s="6">
        <f t="shared" si="35"/>
        <v>3436534.36</v>
      </c>
      <c r="P151" s="6">
        <v>3436534.36</v>
      </c>
      <c r="Q151" s="6">
        <f t="shared" si="43"/>
        <v>2887844</v>
      </c>
      <c r="R151" s="6">
        <f t="shared" si="41"/>
        <v>72196.100000000006</v>
      </c>
      <c r="T151"/>
    </row>
    <row r="152" spans="2:22" s="5" customFormat="1" x14ac:dyDescent="0.3">
      <c r="B152" s="5" t="s">
        <v>16</v>
      </c>
      <c r="C152" s="5" t="s">
        <v>569</v>
      </c>
      <c r="D152" s="5" t="s">
        <v>547</v>
      </c>
      <c r="E152" s="5" t="s">
        <v>561</v>
      </c>
      <c r="F152" s="5" t="s">
        <v>283</v>
      </c>
      <c r="G152" s="5" t="s">
        <v>284</v>
      </c>
      <c r="H152" s="6">
        <f t="shared" si="38"/>
        <v>-2.1052631200291216E-2</v>
      </c>
      <c r="I152" s="6">
        <f t="shared" si="33"/>
        <v>3222079.4210526315</v>
      </c>
      <c r="J152" s="6">
        <v>612195.09</v>
      </c>
      <c r="K152" s="6">
        <v>0</v>
      </c>
      <c r="L152" s="6">
        <v>0</v>
      </c>
      <c r="M152" s="6">
        <f t="shared" si="42"/>
        <v>3222079.4000000004</v>
      </c>
      <c r="N152" s="6">
        <f>+J152+L152</f>
        <v>612195.09</v>
      </c>
      <c r="O152" s="6">
        <f t="shared" si="35"/>
        <v>3834274.49</v>
      </c>
      <c r="P152" s="6">
        <v>3834274.49</v>
      </c>
      <c r="Q152" s="6">
        <f t="shared" si="43"/>
        <v>3222079.4000000004</v>
      </c>
      <c r="R152" s="6">
        <f t="shared" si="41"/>
        <v>80551.985000000015</v>
      </c>
      <c r="T152"/>
    </row>
    <row r="153" spans="2:22" s="5" customFormat="1" x14ac:dyDescent="0.3">
      <c r="B153" s="5" t="s">
        <v>16</v>
      </c>
      <c r="C153" s="5" t="s">
        <v>570</v>
      </c>
      <c r="D153" s="5" t="s">
        <v>547</v>
      </c>
      <c r="E153" s="5" t="s">
        <v>561</v>
      </c>
      <c r="F153" s="5" t="s">
        <v>283</v>
      </c>
      <c r="G153" s="5" t="s">
        <v>284</v>
      </c>
      <c r="H153" s="6">
        <f t="shared" si="38"/>
        <v>0</v>
      </c>
      <c r="I153" s="6">
        <f t="shared" si="33"/>
        <v>3510596</v>
      </c>
      <c r="J153" s="6">
        <v>667013.24</v>
      </c>
      <c r="K153" s="6">
        <v>0</v>
      </c>
      <c r="L153" s="6">
        <v>0</v>
      </c>
      <c r="M153" s="6">
        <f t="shared" si="42"/>
        <v>3510596</v>
      </c>
      <c r="N153" s="6">
        <f>+J153+L153</f>
        <v>667013.24</v>
      </c>
      <c r="O153" s="6">
        <f t="shared" si="35"/>
        <v>4177609.24</v>
      </c>
      <c r="P153" s="6">
        <v>4177609.24</v>
      </c>
      <c r="Q153" s="6">
        <f t="shared" si="43"/>
        <v>3510596</v>
      </c>
      <c r="R153" s="6">
        <f t="shared" si="41"/>
        <v>87764.9</v>
      </c>
      <c r="T153"/>
    </row>
    <row r="154" spans="2:22" s="5" customFormat="1" x14ac:dyDescent="0.3">
      <c r="B154" s="5" t="s">
        <v>16</v>
      </c>
      <c r="C154" s="5" t="s">
        <v>571</v>
      </c>
      <c r="D154" s="5" t="s">
        <v>547</v>
      </c>
      <c r="E154" s="5" t="s">
        <v>563</v>
      </c>
      <c r="F154" s="5" t="s">
        <v>283</v>
      </c>
      <c r="G154" s="5" t="s">
        <v>284</v>
      </c>
      <c r="H154" s="6">
        <f t="shared" si="38"/>
        <v>0</v>
      </c>
      <c r="I154" s="6">
        <f t="shared" si="33"/>
        <v>3850401.9999999995</v>
      </c>
      <c r="J154" s="6">
        <v>731576.38</v>
      </c>
      <c r="K154" s="6">
        <v>0</v>
      </c>
      <c r="L154" s="6">
        <v>0</v>
      </c>
      <c r="M154" s="6">
        <f t="shared" si="42"/>
        <v>3850401.9999999995</v>
      </c>
      <c r="N154" s="6">
        <f>J154+L154</f>
        <v>731576.38</v>
      </c>
      <c r="O154" s="6">
        <f t="shared" si="35"/>
        <v>4581978.38</v>
      </c>
      <c r="P154" s="6">
        <v>4581978.38</v>
      </c>
      <c r="Q154" s="6">
        <f t="shared" si="43"/>
        <v>3850401.9999999995</v>
      </c>
      <c r="R154" s="6">
        <f t="shared" si="41"/>
        <v>96260.049999999988</v>
      </c>
      <c r="S154"/>
      <c r="T154"/>
    </row>
    <row r="155" spans="2:22" s="5" customFormat="1" x14ac:dyDescent="0.3">
      <c r="B155" s="5" t="s">
        <v>16</v>
      </c>
      <c r="C155" s="5" t="s">
        <v>572</v>
      </c>
      <c r="D155" s="5" t="s">
        <v>547</v>
      </c>
      <c r="E155" s="5" t="s">
        <v>561</v>
      </c>
      <c r="F155" s="5" t="s">
        <v>283</v>
      </c>
      <c r="G155" s="5" t="s">
        <v>284</v>
      </c>
      <c r="H155" s="6">
        <f t="shared" si="38"/>
        <v>0</v>
      </c>
      <c r="I155" s="6">
        <f t="shared" si="33"/>
        <v>4097808.9999999995</v>
      </c>
      <c r="J155" s="6">
        <v>778583.71</v>
      </c>
      <c r="K155" s="6">
        <v>0</v>
      </c>
      <c r="L155" s="6">
        <v>0</v>
      </c>
      <c r="M155" s="6">
        <f t="shared" si="42"/>
        <v>4097808.9999999995</v>
      </c>
      <c r="N155" s="6">
        <f>+J155+L155</f>
        <v>778583.71</v>
      </c>
      <c r="O155" s="6">
        <f t="shared" si="35"/>
        <v>4876392.709999999</v>
      </c>
      <c r="P155" s="6">
        <v>4876392.71</v>
      </c>
      <c r="Q155" s="6">
        <f t="shared" si="43"/>
        <v>4097808.9999999995</v>
      </c>
      <c r="R155" s="6">
        <f t="shared" si="41"/>
        <v>102445.22499999998</v>
      </c>
      <c r="T155"/>
    </row>
    <row r="156" spans="2:22" s="5" customFormat="1" x14ac:dyDescent="0.3">
      <c r="B156" s="5" t="s">
        <v>16</v>
      </c>
      <c r="C156" s="5" t="s">
        <v>573</v>
      </c>
      <c r="D156" s="5" t="s">
        <v>547</v>
      </c>
      <c r="E156" s="5" t="s">
        <v>563</v>
      </c>
      <c r="F156" s="5" t="s">
        <v>283</v>
      </c>
      <c r="G156" s="5" t="s">
        <v>284</v>
      </c>
      <c r="H156" s="6">
        <f t="shared" si="38"/>
        <v>0</v>
      </c>
      <c r="I156" s="6">
        <f t="shared" si="33"/>
        <v>4803312</v>
      </c>
      <c r="J156" s="6">
        <v>912629.28</v>
      </c>
      <c r="K156" s="6">
        <v>0</v>
      </c>
      <c r="L156" s="6">
        <v>0</v>
      </c>
      <c r="M156" s="6">
        <f t="shared" si="42"/>
        <v>4803312</v>
      </c>
      <c r="N156" s="6">
        <f>J156+L156</f>
        <v>912629.28</v>
      </c>
      <c r="O156" s="6">
        <f t="shared" si="35"/>
        <v>5715941.2800000003</v>
      </c>
      <c r="P156" s="6">
        <v>5715941.2800000003</v>
      </c>
      <c r="Q156" s="6">
        <f t="shared" si="43"/>
        <v>4803312</v>
      </c>
      <c r="R156" s="6">
        <f t="shared" si="41"/>
        <v>120082.8</v>
      </c>
      <c r="T156"/>
    </row>
    <row r="157" spans="2:22" s="5" customFormat="1" x14ac:dyDescent="0.3">
      <c r="B157" s="5" t="s">
        <v>16</v>
      </c>
      <c r="C157" s="5" t="s">
        <v>574</v>
      </c>
      <c r="D157" s="5" t="s">
        <v>547</v>
      </c>
      <c r="E157" s="5" t="s">
        <v>575</v>
      </c>
      <c r="F157" s="5" t="s">
        <v>283</v>
      </c>
      <c r="G157" s="5" t="s">
        <v>284</v>
      </c>
      <c r="H157" s="6">
        <f t="shared" si="38"/>
        <v>0</v>
      </c>
      <c r="I157" s="6">
        <f t="shared" si="33"/>
        <v>937364</v>
      </c>
      <c r="J157" s="6">
        <v>178099.16</v>
      </c>
      <c r="K157" s="6">
        <v>0</v>
      </c>
      <c r="L157" s="6">
        <v>0</v>
      </c>
      <c r="M157" s="6">
        <f t="shared" si="42"/>
        <v>937364</v>
      </c>
      <c r="N157" s="6">
        <f t="shared" ref="N157:N203" si="44">+J157+L157</f>
        <v>178099.16</v>
      </c>
      <c r="O157" s="6">
        <f t="shared" si="35"/>
        <v>1115463.1599999999</v>
      </c>
      <c r="P157" s="6">
        <v>1115463.1599999999</v>
      </c>
      <c r="Q157" s="6">
        <f t="shared" si="43"/>
        <v>937364</v>
      </c>
      <c r="R157" s="6">
        <f t="shared" si="41"/>
        <v>23434.1</v>
      </c>
      <c r="S157"/>
      <c r="T157"/>
    </row>
    <row r="158" spans="2:22" x14ac:dyDescent="0.3">
      <c r="B158" s="5" t="s">
        <v>16</v>
      </c>
      <c r="C158" s="5" t="s">
        <v>576</v>
      </c>
      <c r="D158" s="5" t="s">
        <v>547</v>
      </c>
      <c r="E158" s="5" t="s">
        <v>577</v>
      </c>
      <c r="F158" s="5" t="s">
        <v>283</v>
      </c>
      <c r="G158" s="5" t="s">
        <v>284</v>
      </c>
      <c r="H158" s="6">
        <f t="shared" si="38"/>
        <v>0</v>
      </c>
      <c r="I158" s="6">
        <f t="shared" ref="I158:I221" si="45">+J158/19*100</f>
        <v>2187108</v>
      </c>
      <c r="J158" s="6">
        <v>415550.52</v>
      </c>
      <c r="K158" s="6">
        <v>0</v>
      </c>
      <c r="L158" s="6">
        <v>0</v>
      </c>
      <c r="M158" s="6">
        <f t="shared" si="42"/>
        <v>2187108</v>
      </c>
      <c r="N158" s="6">
        <f t="shared" si="44"/>
        <v>415550.52</v>
      </c>
      <c r="O158" s="6">
        <f t="shared" ref="O158:O221" si="46">+M158+N158</f>
        <v>2602658.52</v>
      </c>
      <c r="P158" s="6">
        <v>2602658.52</v>
      </c>
      <c r="Q158" s="6">
        <f t="shared" si="43"/>
        <v>2187108</v>
      </c>
      <c r="R158" s="6">
        <f t="shared" si="41"/>
        <v>54677.7</v>
      </c>
      <c r="U158" s="5"/>
      <c r="V158" s="5"/>
    </row>
    <row r="159" spans="2:22" x14ac:dyDescent="0.3">
      <c r="B159" s="5" t="s">
        <v>16</v>
      </c>
      <c r="C159" s="5" t="s">
        <v>578</v>
      </c>
      <c r="D159" s="5" t="s">
        <v>547</v>
      </c>
      <c r="E159" s="5" t="s">
        <v>577</v>
      </c>
      <c r="F159" s="5" t="s">
        <v>283</v>
      </c>
      <c r="G159" s="5" t="s">
        <v>284</v>
      </c>
      <c r="H159" s="6">
        <f t="shared" si="38"/>
        <v>0</v>
      </c>
      <c r="I159" s="6">
        <f t="shared" si="45"/>
        <v>4363254</v>
      </c>
      <c r="J159" s="6">
        <v>829018.26</v>
      </c>
      <c r="K159" s="6">
        <v>0</v>
      </c>
      <c r="L159" s="6">
        <v>0</v>
      </c>
      <c r="M159" s="6">
        <f t="shared" si="42"/>
        <v>4363254</v>
      </c>
      <c r="N159" s="6">
        <f t="shared" si="44"/>
        <v>829018.26</v>
      </c>
      <c r="O159" s="6">
        <f t="shared" si="46"/>
        <v>5192272.26</v>
      </c>
      <c r="P159" s="6">
        <v>5192272.26</v>
      </c>
      <c r="Q159" s="6">
        <f t="shared" si="43"/>
        <v>4363254</v>
      </c>
      <c r="R159" s="6">
        <f t="shared" si="41"/>
        <v>109081.35</v>
      </c>
      <c r="S159" s="5"/>
      <c r="U159" s="5"/>
      <c r="V159" s="5"/>
    </row>
    <row r="160" spans="2:22" x14ac:dyDescent="0.3">
      <c r="B160" s="5" t="s">
        <v>16</v>
      </c>
      <c r="C160" s="5" t="s">
        <v>579</v>
      </c>
      <c r="D160" s="5" t="s">
        <v>547</v>
      </c>
      <c r="E160" s="5" t="s">
        <v>577</v>
      </c>
      <c r="F160" s="5" t="s">
        <v>283</v>
      </c>
      <c r="G160" s="5" t="s">
        <v>284</v>
      </c>
      <c r="H160" s="6">
        <f t="shared" si="38"/>
        <v>0</v>
      </c>
      <c r="I160" s="6">
        <f t="shared" si="45"/>
        <v>4447120</v>
      </c>
      <c r="J160" s="6">
        <v>844952.8</v>
      </c>
      <c r="K160" s="6">
        <v>0</v>
      </c>
      <c r="L160" s="6">
        <v>0</v>
      </c>
      <c r="M160" s="6">
        <f t="shared" si="42"/>
        <v>4447120</v>
      </c>
      <c r="N160" s="6">
        <f t="shared" si="44"/>
        <v>844952.8</v>
      </c>
      <c r="O160" s="6">
        <f t="shared" si="46"/>
        <v>5292072.8</v>
      </c>
      <c r="P160" s="6">
        <v>5292072.8</v>
      </c>
      <c r="Q160" s="6">
        <f t="shared" si="43"/>
        <v>4447120</v>
      </c>
      <c r="R160" s="6">
        <f t="shared" si="41"/>
        <v>111178</v>
      </c>
      <c r="S160" s="5"/>
      <c r="U160" s="5"/>
      <c r="V160" s="5"/>
    </row>
    <row r="161" spans="2:22" x14ac:dyDescent="0.3">
      <c r="B161" s="5" t="s">
        <v>16</v>
      </c>
      <c r="C161" s="5" t="s">
        <v>580</v>
      </c>
      <c r="D161" s="5" t="s">
        <v>547</v>
      </c>
      <c r="E161" s="5" t="s">
        <v>581</v>
      </c>
      <c r="F161" s="5" t="s">
        <v>283</v>
      </c>
      <c r="G161" s="5" t="s">
        <v>284</v>
      </c>
      <c r="H161" s="6">
        <f t="shared" si="38"/>
        <v>0</v>
      </c>
      <c r="I161" s="6">
        <f t="shared" si="45"/>
        <v>4638230</v>
      </c>
      <c r="J161" s="6">
        <v>881263.7</v>
      </c>
      <c r="K161" s="6">
        <v>0</v>
      </c>
      <c r="L161" s="6">
        <v>0</v>
      </c>
      <c r="M161" s="6">
        <f t="shared" si="42"/>
        <v>4638230</v>
      </c>
      <c r="N161" s="6">
        <f t="shared" si="44"/>
        <v>881263.7</v>
      </c>
      <c r="O161" s="6">
        <f t="shared" si="46"/>
        <v>5519493.7000000002</v>
      </c>
      <c r="P161" s="6">
        <v>5519493.7000000002</v>
      </c>
      <c r="Q161" s="6">
        <f t="shared" si="43"/>
        <v>4638230</v>
      </c>
      <c r="R161" s="6">
        <f t="shared" si="41"/>
        <v>115955.75</v>
      </c>
      <c r="S161" s="5"/>
      <c r="U161" s="5"/>
      <c r="V161" s="5"/>
    </row>
    <row r="162" spans="2:22" s="5" customFormat="1" x14ac:dyDescent="0.3">
      <c r="B162" s="5" t="s">
        <v>16</v>
      </c>
      <c r="C162" s="5" t="s">
        <v>582</v>
      </c>
      <c r="D162" s="5" t="s">
        <v>547</v>
      </c>
      <c r="E162" s="5" t="s">
        <v>117</v>
      </c>
      <c r="F162" s="5" t="s">
        <v>283</v>
      </c>
      <c r="G162" s="5" t="s">
        <v>284</v>
      </c>
      <c r="H162" s="6">
        <f t="shared" si="38"/>
        <v>0</v>
      </c>
      <c r="I162" s="6">
        <f t="shared" si="45"/>
        <v>606624</v>
      </c>
      <c r="J162" s="6">
        <v>115258.56</v>
      </c>
      <c r="K162" s="6">
        <v>0</v>
      </c>
      <c r="L162" s="6">
        <v>0</v>
      </c>
      <c r="M162" s="6">
        <f t="shared" si="42"/>
        <v>606624</v>
      </c>
      <c r="N162" s="6">
        <f t="shared" si="44"/>
        <v>115258.56</v>
      </c>
      <c r="O162" s="6">
        <f t="shared" si="46"/>
        <v>721882.56</v>
      </c>
      <c r="P162" s="6">
        <v>721882.56</v>
      </c>
      <c r="Q162" s="6">
        <f t="shared" si="43"/>
        <v>606624</v>
      </c>
      <c r="R162" s="6">
        <f t="shared" si="41"/>
        <v>15165.6</v>
      </c>
      <c r="T162"/>
    </row>
    <row r="163" spans="2:22" s="5" customFormat="1" x14ac:dyDescent="0.3">
      <c r="B163" s="5" t="s">
        <v>16</v>
      </c>
      <c r="C163" s="5" t="s">
        <v>583</v>
      </c>
      <c r="D163" s="5" t="s">
        <v>547</v>
      </c>
      <c r="E163" s="5" t="s">
        <v>117</v>
      </c>
      <c r="F163" s="5" t="s">
        <v>283</v>
      </c>
      <c r="G163" s="5" t="s">
        <v>284</v>
      </c>
      <c r="H163" s="6">
        <f t="shared" si="38"/>
        <v>0</v>
      </c>
      <c r="I163" s="6">
        <f t="shared" si="45"/>
        <v>1284138</v>
      </c>
      <c r="J163" s="6">
        <v>243986.22</v>
      </c>
      <c r="K163" s="6">
        <v>0</v>
      </c>
      <c r="L163" s="6">
        <v>0</v>
      </c>
      <c r="M163" s="6">
        <f t="shared" si="42"/>
        <v>1284138</v>
      </c>
      <c r="N163" s="6">
        <f t="shared" si="44"/>
        <v>243986.22</v>
      </c>
      <c r="O163" s="6">
        <f t="shared" si="46"/>
        <v>1528124.22</v>
      </c>
      <c r="P163" s="6">
        <v>1528124.22</v>
      </c>
      <c r="Q163" s="6">
        <f t="shared" si="43"/>
        <v>1284138</v>
      </c>
      <c r="R163" s="6">
        <f t="shared" si="41"/>
        <v>32103.45</v>
      </c>
      <c r="T163"/>
    </row>
    <row r="164" spans="2:22" s="5" customFormat="1" x14ac:dyDescent="0.3">
      <c r="B164" s="5" t="s">
        <v>16</v>
      </c>
      <c r="C164" s="5" t="s">
        <v>584</v>
      </c>
      <c r="D164" s="5" t="s">
        <v>547</v>
      </c>
      <c r="E164" s="5" t="s">
        <v>585</v>
      </c>
      <c r="F164" s="5" t="s">
        <v>283</v>
      </c>
      <c r="G164" s="5" t="s">
        <v>284</v>
      </c>
      <c r="H164" s="6">
        <f t="shared" si="38"/>
        <v>0</v>
      </c>
      <c r="I164" s="6">
        <f t="shared" si="45"/>
        <v>1879652</v>
      </c>
      <c r="J164" s="6">
        <v>357133.88</v>
      </c>
      <c r="K164" s="6">
        <v>0</v>
      </c>
      <c r="L164" s="6">
        <v>0</v>
      </c>
      <c r="M164" s="6">
        <f t="shared" si="42"/>
        <v>1879652</v>
      </c>
      <c r="N164" s="6">
        <f t="shared" si="44"/>
        <v>357133.88</v>
      </c>
      <c r="O164" s="6">
        <f t="shared" si="46"/>
        <v>2236785.88</v>
      </c>
      <c r="P164" s="6">
        <v>2236785.88</v>
      </c>
      <c r="Q164" s="6">
        <f t="shared" si="43"/>
        <v>1879652</v>
      </c>
      <c r="R164" s="6">
        <f t="shared" si="41"/>
        <v>46991.3</v>
      </c>
      <c r="T164"/>
    </row>
    <row r="165" spans="2:22" s="5" customFormat="1" x14ac:dyDescent="0.3">
      <c r="B165" s="5" t="s">
        <v>16</v>
      </c>
      <c r="C165" s="5" t="s">
        <v>586</v>
      </c>
      <c r="D165" s="5" t="s">
        <v>547</v>
      </c>
      <c r="E165" s="5" t="s">
        <v>523</v>
      </c>
      <c r="F165" s="5" t="s">
        <v>283</v>
      </c>
      <c r="G165" s="5" t="s">
        <v>284</v>
      </c>
      <c r="H165" s="6">
        <f t="shared" si="38"/>
        <v>0</v>
      </c>
      <c r="I165" s="6">
        <f t="shared" si="45"/>
        <v>2220318</v>
      </c>
      <c r="J165" s="6">
        <v>421860.42</v>
      </c>
      <c r="K165" s="6">
        <v>0</v>
      </c>
      <c r="L165" s="6">
        <v>0</v>
      </c>
      <c r="M165" s="6">
        <f t="shared" si="42"/>
        <v>2220318</v>
      </c>
      <c r="N165" s="6">
        <f t="shared" si="44"/>
        <v>421860.42</v>
      </c>
      <c r="O165" s="6">
        <f t="shared" si="46"/>
        <v>2642178.42</v>
      </c>
      <c r="P165" s="6">
        <v>2642178.42</v>
      </c>
      <c r="Q165" s="6">
        <f t="shared" si="43"/>
        <v>2220318</v>
      </c>
      <c r="R165" s="6">
        <f t="shared" si="41"/>
        <v>55507.95</v>
      </c>
      <c r="S165"/>
      <c r="T165"/>
    </row>
    <row r="166" spans="2:22" s="5" customFormat="1" x14ac:dyDescent="0.3">
      <c r="B166" s="5" t="s">
        <v>16</v>
      </c>
      <c r="C166" s="5" t="s">
        <v>587</v>
      </c>
      <c r="D166" s="5" t="s">
        <v>547</v>
      </c>
      <c r="E166" s="5" t="s">
        <v>523</v>
      </c>
      <c r="F166" s="5" t="s">
        <v>283</v>
      </c>
      <c r="G166" s="5" t="s">
        <v>284</v>
      </c>
      <c r="H166" s="6">
        <f t="shared" si="38"/>
        <v>0</v>
      </c>
      <c r="I166" s="6">
        <f t="shared" si="45"/>
        <v>2241308</v>
      </c>
      <c r="J166" s="6">
        <v>425848.52</v>
      </c>
      <c r="K166" s="6">
        <v>0</v>
      </c>
      <c r="L166" s="6">
        <v>0</v>
      </c>
      <c r="M166" s="6">
        <f t="shared" si="42"/>
        <v>2241308</v>
      </c>
      <c r="N166" s="6">
        <f t="shared" si="44"/>
        <v>425848.52</v>
      </c>
      <c r="O166" s="6">
        <f t="shared" si="46"/>
        <v>2667156.52</v>
      </c>
      <c r="P166" s="6">
        <v>2667156.52</v>
      </c>
      <c r="Q166" s="6">
        <f t="shared" si="43"/>
        <v>2241308</v>
      </c>
      <c r="R166" s="6">
        <f t="shared" si="41"/>
        <v>56032.7</v>
      </c>
      <c r="S166"/>
      <c r="T166"/>
    </row>
    <row r="167" spans="2:22" s="5" customFormat="1" x14ac:dyDescent="0.3">
      <c r="B167" s="5" t="s">
        <v>16</v>
      </c>
      <c r="C167" s="5" t="s">
        <v>588</v>
      </c>
      <c r="D167" s="5" t="s">
        <v>547</v>
      </c>
      <c r="E167" s="5" t="s">
        <v>585</v>
      </c>
      <c r="F167" s="5" t="s">
        <v>283</v>
      </c>
      <c r="G167" s="5" t="s">
        <v>284</v>
      </c>
      <c r="H167" s="6">
        <f t="shared" si="38"/>
        <v>0</v>
      </c>
      <c r="I167" s="6">
        <f t="shared" si="45"/>
        <v>2491884</v>
      </c>
      <c r="J167" s="6">
        <v>473457.96</v>
      </c>
      <c r="K167" s="6">
        <v>0</v>
      </c>
      <c r="L167" s="6">
        <v>0</v>
      </c>
      <c r="M167" s="6">
        <f t="shared" si="42"/>
        <v>2491884</v>
      </c>
      <c r="N167" s="6">
        <f t="shared" si="44"/>
        <v>473457.96</v>
      </c>
      <c r="O167" s="6">
        <f t="shared" si="46"/>
        <v>2965341.96</v>
      </c>
      <c r="P167" s="6">
        <v>2965341.96</v>
      </c>
      <c r="Q167" s="6">
        <f t="shared" si="43"/>
        <v>2491884</v>
      </c>
      <c r="R167" s="6">
        <f t="shared" si="41"/>
        <v>62297.1</v>
      </c>
      <c r="S167"/>
      <c r="T167"/>
    </row>
    <row r="168" spans="2:22" s="5" customFormat="1" x14ac:dyDescent="0.3">
      <c r="B168" s="5" t="s">
        <v>16</v>
      </c>
      <c r="C168" s="5" t="s">
        <v>589</v>
      </c>
      <c r="D168" s="5" t="s">
        <v>547</v>
      </c>
      <c r="E168" s="5" t="s">
        <v>585</v>
      </c>
      <c r="F168" s="5" t="s">
        <v>283</v>
      </c>
      <c r="G168" s="5" t="s">
        <v>284</v>
      </c>
      <c r="H168" s="6">
        <f t="shared" si="38"/>
        <v>0</v>
      </c>
      <c r="I168" s="6">
        <f t="shared" si="45"/>
        <v>2501052</v>
      </c>
      <c r="J168" s="6">
        <v>475199.88</v>
      </c>
      <c r="K168" s="6">
        <v>0</v>
      </c>
      <c r="L168" s="6">
        <v>0</v>
      </c>
      <c r="M168" s="6">
        <f t="shared" si="42"/>
        <v>2501052</v>
      </c>
      <c r="N168" s="6">
        <f t="shared" si="44"/>
        <v>475199.88</v>
      </c>
      <c r="O168" s="6">
        <f t="shared" si="46"/>
        <v>2976251.88</v>
      </c>
      <c r="P168" s="6">
        <v>2976251.88</v>
      </c>
      <c r="Q168" s="6">
        <f t="shared" si="43"/>
        <v>2501052</v>
      </c>
      <c r="R168" s="6">
        <f t="shared" si="41"/>
        <v>62526.3</v>
      </c>
      <c r="S168" s="7"/>
      <c r="T168"/>
    </row>
    <row r="169" spans="2:22" s="5" customFormat="1" x14ac:dyDescent="0.3">
      <c r="B169" s="5" t="s">
        <v>16</v>
      </c>
      <c r="C169" s="5" t="s">
        <v>590</v>
      </c>
      <c r="D169" s="5" t="s">
        <v>547</v>
      </c>
      <c r="E169" s="5" t="s">
        <v>585</v>
      </c>
      <c r="F169" s="5" t="s">
        <v>283</v>
      </c>
      <c r="G169" s="5" t="s">
        <v>284</v>
      </c>
      <c r="H169" s="6">
        <f t="shared" si="38"/>
        <v>0</v>
      </c>
      <c r="I169" s="6">
        <f t="shared" si="45"/>
        <v>2598360</v>
      </c>
      <c r="J169" s="6">
        <v>493688.4</v>
      </c>
      <c r="K169" s="6">
        <v>0</v>
      </c>
      <c r="L169" s="6">
        <v>0</v>
      </c>
      <c r="M169" s="6">
        <f t="shared" si="42"/>
        <v>2598360</v>
      </c>
      <c r="N169" s="6">
        <f t="shared" si="44"/>
        <v>493688.4</v>
      </c>
      <c r="O169" s="6">
        <f t="shared" si="46"/>
        <v>3092048.4</v>
      </c>
      <c r="P169" s="6">
        <v>3092048.4</v>
      </c>
      <c r="Q169" s="6">
        <f t="shared" si="43"/>
        <v>2598360</v>
      </c>
      <c r="R169" s="6">
        <f t="shared" si="41"/>
        <v>64959</v>
      </c>
      <c r="S169" s="7"/>
      <c r="T169"/>
    </row>
    <row r="170" spans="2:22" s="5" customFormat="1" x14ac:dyDescent="0.3">
      <c r="B170" s="5" t="s">
        <v>16</v>
      </c>
      <c r="C170" s="5" t="s">
        <v>591</v>
      </c>
      <c r="D170" s="5" t="s">
        <v>547</v>
      </c>
      <c r="E170" s="5" t="s">
        <v>585</v>
      </c>
      <c r="F170" s="5" t="s">
        <v>283</v>
      </c>
      <c r="G170" s="5" t="s">
        <v>284</v>
      </c>
      <c r="H170" s="6">
        <f t="shared" si="38"/>
        <v>0</v>
      </c>
      <c r="I170" s="6">
        <f t="shared" si="45"/>
        <v>2865656</v>
      </c>
      <c r="J170" s="6">
        <v>544474.64</v>
      </c>
      <c r="K170" s="6">
        <v>0</v>
      </c>
      <c r="L170" s="6">
        <v>0</v>
      </c>
      <c r="M170" s="6">
        <f t="shared" si="42"/>
        <v>2865656</v>
      </c>
      <c r="N170" s="6">
        <f t="shared" si="44"/>
        <v>544474.64</v>
      </c>
      <c r="O170" s="6">
        <f t="shared" si="46"/>
        <v>3410130.64</v>
      </c>
      <c r="P170" s="6">
        <v>3410130.64</v>
      </c>
      <c r="Q170" s="6">
        <f t="shared" si="43"/>
        <v>2865656</v>
      </c>
      <c r="R170" s="6">
        <f t="shared" si="41"/>
        <v>71641.399999999994</v>
      </c>
      <c r="S170" s="7"/>
      <c r="T170"/>
    </row>
    <row r="171" spans="2:22" s="5" customFormat="1" x14ac:dyDescent="0.3">
      <c r="B171" s="5" t="s">
        <v>16</v>
      </c>
      <c r="C171" s="5" t="s">
        <v>592</v>
      </c>
      <c r="D171" s="5" t="s">
        <v>547</v>
      </c>
      <c r="E171" s="5" t="s">
        <v>523</v>
      </c>
      <c r="F171" s="5" t="s">
        <v>283</v>
      </c>
      <c r="G171" s="5" t="s">
        <v>284</v>
      </c>
      <c r="H171" s="6">
        <f t="shared" si="38"/>
        <v>0</v>
      </c>
      <c r="I171" s="6">
        <f t="shared" si="45"/>
        <v>2890860</v>
      </c>
      <c r="J171" s="6">
        <v>549263.4</v>
      </c>
      <c r="K171" s="6">
        <v>0</v>
      </c>
      <c r="L171" s="6">
        <v>0</v>
      </c>
      <c r="M171" s="6">
        <f t="shared" si="42"/>
        <v>2890860</v>
      </c>
      <c r="N171" s="6">
        <f t="shared" si="44"/>
        <v>549263.4</v>
      </c>
      <c r="O171" s="6">
        <f t="shared" si="46"/>
        <v>3440123.4</v>
      </c>
      <c r="P171" s="6">
        <v>3440123.4</v>
      </c>
      <c r="Q171" s="6">
        <f t="shared" si="43"/>
        <v>2890860</v>
      </c>
      <c r="R171" s="6">
        <f t="shared" si="41"/>
        <v>72271.5</v>
      </c>
      <c r="S171" s="7"/>
      <c r="T171"/>
    </row>
    <row r="172" spans="2:22" s="5" customFormat="1" x14ac:dyDescent="0.3">
      <c r="B172" s="5" t="s">
        <v>16</v>
      </c>
      <c r="C172" s="5" t="s">
        <v>593</v>
      </c>
      <c r="D172" s="5" t="s">
        <v>547</v>
      </c>
      <c r="E172" s="5" t="s">
        <v>523</v>
      </c>
      <c r="F172" s="5" t="s">
        <v>283</v>
      </c>
      <c r="G172" s="5" t="s">
        <v>284</v>
      </c>
      <c r="H172" s="6">
        <f t="shared" si="38"/>
        <v>0</v>
      </c>
      <c r="I172" s="6">
        <f t="shared" si="45"/>
        <v>3230916.0000000005</v>
      </c>
      <c r="J172" s="6">
        <v>613874.04</v>
      </c>
      <c r="K172" s="6">
        <v>0</v>
      </c>
      <c r="L172" s="6">
        <v>0</v>
      </c>
      <c r="M172" s="6">
        <f t="shared" si="42"/>
        <v>3230916.0000000005</v>
      </c>
      <c r="N172" s="6">
        <f t="shared" si="44"/>
        <v>613874.04</v>
      </c>
      <c r="O172" s="6">
        <f t="shared" si="46"/>
        <v>3844790.0400000005</v>
      </c>
      <c r="P172" s="6">
        <v>3844790.04</v>
      </c>
      <c r="Q172" s="6">
        <f t="shared" si="43"/>
        <v>3230916.0000000005</v>
      </c>
      <c r="R172" s="6">
        <f t="shared" si="41"/>
        <v>80772.900000000009</v>
      </c>
      <c r="S172" s="7"/>
      <c r="T172"/>
    </row>
    <row r="173" spans="2:22" s="5" customFormat="1" x14ac:dyDescent="0.3">
      <c r="B173" s="5" t="s">
        <v>16</v>
      </c>
      <c r="C173" s="5" t="s">
        <v>594</v>
      </c>
      <c r="D173" s="5" t="s">
        <v>547</v>
      </c>
      <c r="E173" s="5" t="s">
        <v>389</v>
      </c>
      <c r="F173" s="5" t="s">
        <v>283</v>
      </c>
      <c r="G173" s="5" t="s">
        <v>284</v>
      </c>
      <c r="H173" s="6">
        <f t="shared" si="38"/>
        <v>0</v>
      </c>
      <c r="I173" s="6">
        <f t="shared" si="45"/>
        <v>3910678</v>
      </c>
      <c r="J173" s="6">
        <v>743028.82</v>
      </c>
      <c r="K173" s="6">
        <v>0</v>
      </c>
      <c r="L173" s="6">
        <v>0</v>
      </c>
      <c r="M173" s="6">
        <f t="shared" si="42"/>
        <v>3910678</v>
      </c>
      <c r="N173" s="6">
        <f t="shared" si="44"/>
        <v>743028.82</v>
      </c>
      <c r="O173" s="6">
        <f t="shared" si="46"/>
        <v>4653706.82</v>
      </c>
      <c r="P173" s="6">
        <v>4653706.82</v>
      </c>
      <c r="Q173" s="6">
        <f>+M173-137448</f>
        <v>3773230</v>
      </c>
      <c r="R173" s="6">
        <f t="shared" si="41"/>
        <v>94330.75</v>
      </c>
      <c r="S173" s="7"/>
      <c r="T173"/>
    </row>
    <row r="174" spans="2:22" s="5" customFormat="1" x14ac:dyDescent="0.3">
      <c r="B174" s="5" t="s">
        <v>16</v>
      </c>
      <c r="C174" s="5" t="s">
        <v>595</v>
      </c>
      <c r="D174" s="5" t="s">
        <v>547</v>
      </c>
      <c r="E174" s="5" t="s">
        <v>523</v>
      </c>
      <c r="F174" s="5" t="s">
        <v>283</v>
      </c>
      <c r="G174" s="5" t="s">
        <v>284</v>
      </c>
      <c r="H174" s="6">
        <f t="shared" si="38"/>
        <v>0</v>
      </c>
      <c r="I174" s="6">
        <f t="shared" si="45"/>
        <v>4577544</v>
      </c>
      <c r="J174" s="6">
        <v>869733.36</v>
      </c>
      <c r="K174" s="6">
        <v>0</v>
      </c>
      <c r="L174" s="6">
        <v>0</v>
      </c>
      <c r="M174" s="6">
        <f t="shared" si="42"/>
        <v>4577544</v>
      </c>
      <c r="N174" s="6">
        <f t="shared" si="44"/>
        <v>869733.36</v>
      </c>
      <c r="O174" s="6">
        <f t="shared" si="46"/>
        <v>5447277.3600000003</v>
      </c>
      <c r="P174" s="6">
        <v>5447277.3600000003</v>
      </c>
      <c r="Q174" s="6">
        <f t="shared" ref="Q174:Q200" si="47">+M174</f>
        <v>4577544</v>
      </c>
      <c r="R174" s="6">
        <f t="shared" si="41"/>
        <v>114438.6</v>
      </c>
      <c r="S174" s="7"/>
      <c r="T174"/>
    </row>
    <row r="175" spans="2:22" s="5" customFormat="1" x14ac:dyDescent="0.3">
      <c r="B175" s="5" t="s">
        <v>16</v>
      </c>
      <c r="C175" s="5" t="s">
        <v>596</v>
      </c>
      <c r="D175" s="5" t="s">
        <v>547</v>
      </c>
      <c r="E175" s="5" t="s">
        <v>597</v>
      </c>
      <c r="F175" s="5" t="s">
        <v>283</v>
      </c>
      <c r="G175" s="5" t="s">
        <v>284</v>
      </c>
      <c r="H175" s="6">
        <f t="shared" si="38"/>
        <v>0</v>
      </c>
      <c r="I175" s="6">
        <f t="shared" si="45"/>
        <v>1099488</v>
      </c>
      <c r="J175" s="6">
        <v>208902.72</v>
      </c>
      <c r="K175" s="6">
        <v>0</v>
      </c>
      <c r="L175" s="6">
        <v>0</v>
      </c>
      <c r="M175" s="6">
        <f t="shared" si="42"/>
        <v>1099488</v>
      </c>
      <c r="N175" s="6">
        <f t="shared" si="44"/>
        <v>208902.72</v>
      </c>
      <c r="O175" s="6">
        <f t="shared" si="46"/>
        <v>1308390.72</v>
      </c>
      <c r="P175" s="6">
        <v>1308390.72</v>
      </c>
      <c r="Q175" s="6">
        <f t="shared" si="47"/>
        <v>1099488</v>
      </c>
      <c r="R175" s="6">
        <f t="shared" si="41"/>
        <v>27487.200000000001</v>
      </c>
      <c r="S175"/>
      <c r="T175"/>
    </row>
    <row r="176" spans="2:22" s="5" customFormat="1" x14ac:dyDescent="0.3">
      <c r="B176" s="5" t="s">
        <v>16</v>
      </c>
      <c r="C176" s="5" t="s">
        <v>598</v>
      </c>
      <c r="D176" s="5" t="s">
        <v>547</v>
      </c>
      <c r="E176" s="5" t="s">
        <v>599</v>
      </c>
      <c r="F176" s="5" t="s">
        <v>283</v>
      </c>
      <c r="G176" s="5" t="s">
        <v>284</v>
      </c>
      <c r="H176" s="6">
        <f t="shared" si="38"/>
        <v>0</v>
      </c>
      <c r="I176" s="6">
        <f t="shared" si="45"/>
        <v>1146184</v>
      </c>
      <c r="J176" s="6">
        <v>217774.96</v>
      </c>
      <c r="K176" s="6">
        <v>0</v>
      </c>
      <c r="L176" s="6">
        <v>0</v>
      </c>
      <c r="M176" s="6">
        <f t="shared" si="42"/>
        <v>1146184</v>
      </c>
      <c r="N176" s="6">
        <f t="shared" si="44"/>
        <v>217774.96</v>
      </c>
      <c r="O176" s="6">
        <f t="shared" si="46"/>
        <v>1363958.96</v>
      </c>
      <c r="P176" s="6">
        <v>1363958.96</v>
      </c>
      <c r="Q176" s="6">
        <f t="shared" si="47"/>
        <v>1146184</v>
      </c>
      <c r="R176" s="6">
        <f t="shared" si="41"/>
        <v>28654.6</v>
      </c>
      <c r="S176"/>
      <c r="T176"/>
    </row>
    <row r="177" spans="2:22" s="5" customFormat="1" x14ac:dyDescent="0.3">
      <c r="B177" s="5" t="s">
        <v>16</v>
      </c>
      <c r="C177" s="5" t="s">
        <v>600</v>
      </c>
      <c r="D177" s="5" t="s">
        <v>547</v>
      </c>
      <c r="E177" s="5" t="s">
        <v>599</v>
      </c>
      <c r="F177" s="5" t="s">
        <v>283</v>
      </c>
      <c r="G177" s="5" t="s">
        <v>284</v>
      </c>
      <c r="H177" s="6">
        <f t="shared" si="38"/>
        <v>0</v>
      </c>
      <c r="I177" s="6">
        <f t="shared" si="45"/>
        <v>1748996</v>
      </c>
      <c r="J177" s="6">
        <v>332309.24</v>
      </c>
      <c r="K177" s="6">
        <v>0</v>
      </c>
      <c r="L177" s="6">
        <v>0</v>
      </c>
      <c r="M177" s="6">
        <f t="shared" si="42"/>
        <v>1748996</v>
      </c>
      <c r="N177" s="6">
        <f t="shared" si="44"/>
        <v>332309.24</v>
      </c>
      <c r="O177" s="6">
        <f t="shared" si="46"/>
        <v>2081305.24</v>
      </c>
      <c r="P177" s="6">
        <v>2081305.24</v>
      </c>
      <c r="Q177" s="6">
        <f t="shared" si="47"/>
        <v>1748996</v>
      </c>
      <c r="R177" s="6">
        <f t="shared" si="41"/>
        <v>43724.9</v>
      </c>
      <c r="T177"/>
    </row>
    <row r="178" spans="2:22" s="5" customFormat="1" x14ac:dyDescent="0.3">
      <c r="B178" s="5" t="s">
        <v>16</v>
      </c>
      <c r="C178" s="5" t="s">
        <v>601</v>
      </c>
      <c r="D178" s="5" t="s">
        <v>547</v>
      </c>
      <c r="E178" s="5" t="s">
        <v>602</v>
      </c>
      <c r="F178" s="5" t="s">
        <v>283</v>
      </c>
      <c r="G178" s="5" t="s">
        <v>284</v>
      </c>
      <c r="H178" s="6">
        <f t="shared" si="38"/>
        <v>0</v>
      </c>
      <c r="I178" s="6">
        <f t="shared" si="45"/>
        <v>1824196</v>
      </c>
      <c r="J178" s="6">
        <v>346597.24</v>
      </c>
      <c r="K178" s="6">
        <v>0</v>
      </c>
      <c r="L178" s="6">
        <v>0</v>
      </c>
      <c r="M178" s="6">
        <f t="shared" si="42"/>
        <v>1824196</v>
      </c>
      <c r="N178" s="6">
        <f t="shared" si="44"/>
        <v>346597.24</v>
      </c>
      <c r="O178" s="6">
        <f t="shared" si="46"/>
        <v>2170793.2400000002</v>
      </c>
      <c r="P178" s="6">
        <v>2170793.2400000002</v>
      </c>
      <c r="Q178" s="6">
        <f t="shared" si="47"/>
        <v>1824196</v>
      </c>
      <c r="R178" s="6">
        <f t="shared" si="41"/>
        <v>45604.9</v>
      </c>
      <c r="T178"/>
    </row>
    <row r="179" spans="2:22" s="5" customFormat="1" x14ac:dyDescent="0.3">
      <c r="B179" s="5" t="s">
        <v>16</v>
      </c>
      <c r="C179" s="5" t="s">
        <v>603</v>
      </c>
      <c r="D179" s="5" t="s">
        <v>547</v>
      </c>
      <c r="E179" s="5" t="s">
        <v>599</v>
      </c>
      <c r="F179" s="5" t="s">
        <v>283</v>
      </c>
      <c r="G179" s="5" t="s">
        <v>284</v>
      </c>
      <c r="H179" s="6">
        <f t="shared" si="38"/>
        <v>0</v>
      </c>
      <c r="I179" s="6">
        <f t="shared" si="45"/>
        <v>2072998</v>
      </c>
      <c r="J179" s="6">
        <v>393869.62</v>
      </c>
      <c r="K179" s="6">
        <v>0</v>
      </c>
      <c r="L179" s="6">
        <v>0</v>
      </c>
      <c r="M179" s="6">
        <f t="shared" si="42"/>
        <v>2072998</v>
      </c>
      <c r="N179" s="6">
        <f t="shared" si="44"/>
        <v>393869.62</v>
      </c>
      <c r="O179" s="6">
        <f t="shared" si="46"/>
        <v>2466867.62</v>
      </c>
      <c r="P179" s="6">
        <v>2466867.62</v>
      </c>
      <c r="Q179" s="6">
        <f t="shared" si="47"/>
        <v>2072998</v>
      </c>
      <c r="R179" s="6">
        <f t="shared" si="41"/>
        <v>51824.95</v>
      </c>
      <c r="T179"/>
    </row>
    <row r="180" spans="2:22" s="5" customFormat="1" x14ac:dyDescent="0.3">
      <c r="B180" s="5" t="s">
        <v>16</v>
      </c>
      <c r="C180" s="5" t="s">
        <v>604</v>
      </c>
      <c r="D180" s="5" t="s">
        <v>547</v>
      </c>
      <c r="E180" s="5" t="s">
        <v>599</v>
      </c>
      <c r="F180" s="5" t="s">
        <v>283</v>
      </c>
      <c r="G180" s="5" t="s">
        <v>284</v>
      </c>
      <c r="H180" s="6">
        <f t="shared" si="38"/>
        <v>0</v>
      </c>
      <c r="I180" s="6">
        <f t="shared" si="45"/>
        <v>4506270</v>
      </c>
      <c r="J180" s="6">
        <v>856191.3</v>
      </c>
      <c r="K180" s="6">
        <v>0</v>
      </c>
      <c r="L180" s="6">
        <v>0</v>
      </c>
      <c r="M180" s="6">
        <f t="shared" si="42"/>
        <v>4506270</v>
      </c>
      <c r="N180" s="6">
        <f t="shared" si="44"/>
        <v>856191.3</v>
      </c>
      <c r="O180" s="6">
        <f t="shared" si="46"/>
        <v>5362461.3</v>
      </c>
      <c r="P180" s="6">
        <v>5362461.3</v>
      </c>
      <c r="Q180" s="6">
        <f t="shared" si="47"/>
        <v>4506270</v>
      </c>
      <c r="R180" s="6">
        <f t="shared" ref="R180:R243" si="48">+Q180*2.5/100</f>
        <v>112656.75</v>
      </c>
      <c r="S180"/>
      <c r="T180"/>
    </row>
    <row r="181" spans="2:22" s="5" customFormat="1" x14ac:dyDescent="0.3">
      <c r="B181" s="5" t="s">
        <v>16</v>
      </c>
      <c r="C181" s="5" t="s">
        <v>605</v>
      </c>
      <c r="D181" s="5" t="s">
        <v>547</v>
      </c>
      <c r="E181" s="5" t="s">
        <v>142</v>
      </c>
      <c r="F181" s="5" t="s">
        <v>283</v>
      </c>
      <c r="G181" s="5" t="s">
        <v>284</v>
      </c>
      <c r="H181" s="6">
        <f t="shared" si="38"/>
        <v>0</v>
      </c>
      <c r="I181" s="6">
        <f t="shared" si="45"/>
        <v>5769540</v>
      </c>
      <c r="J181" s="6">
        <v>1096212.6000000001</v>
      </c>
      <c r="K181" s="6">
        <v>0</v>
      </c>
      <c r="L181" s="6">
        <v>0</v>
      </c>
      <c r="M181" s="6">
        <f t="shared" si="42"/>
        <v>5769540</v>
      </c>
      <c r="N181" s="6">
        <f t="shared" si="44"/>
        <v>1096212.6000000001</v>
      </c>
      <c r="O181" s="6">
        <f t="shared" si="46"/>
        <v>6865752.5999999996</v>
      </c>
      <c r="P181" s="6">
        <v>6865752.5999999996</v>
      </c>
      <c r="Q181" s="6">
        <f t="shared" si="47"/>
        <v>5769540</v>
      </c>
      <c r="R181" s="6">
        <f t="shared" si="48"/>
        <v>144238.5</v>
      </c>
      <c r="T181"/>
    </row>
    <row r="182" spans="2:22" s="5" customFormat="1" x14ac:dyDescent="0.3">
      <c r="B182" s="5" t="s">
        <v>16</v>
      </c>
      <c r="C182" s="5" t="s">
        <v>606</v>
      </c>
      <c r="D182" s="5" t="s">
        <v>547</v>
      </c>
      <c r="E182" s="5" t="s">
        <v>607</v>
      </c>
      <c r="F182" s="5" t="s">
        <v>283</v>
      </c>
      <c r="G182" s="5" t="s">
        <v>284</v>
      </c>
      <c r="H182" s="6">
        <f t="shared" si="38"/>
        <v>0</v>
      </c>
      <c r="I182" s="6">
        <f t="shared" si="45"/>
        <v>1634090.9999999998</v>
      </c>
      <c r="J182" s="6">
        <v>310477.28999999998</v>
      </c>
      <c r="K182" s="6">
        <v>0</v>
      </c>
      <c r="L182" s="6">
        <v>0</v>
      </c>
      <c r="M182" s="6">
        <f t="shared" si="42"/>
        <v>1634090.9999999998</v>
      </c>
      <c r="N182" s="6">
        <f t="shared" si="44"/>
        <v>310477.28999999998</v>
      </c>
      <c r="O182" s="6">
        <f t="shared" si="46"/>
        <v>1944568.2899999998</v>
      </c>
      <c r="P182" s="6">
        <v>1944568.29</v>
      </c>
      <c r="Q182" s="6">
        <f t="shared" si="47"/>
        <v>1634090.9999999998</v>
      </c>
      <c r="R182" s="6">
        <f t="shared" si="48"/>
        <v>40852.274999999994</v>
      </c>
      <c r="T182"/>
    </row>
    <row r="183" spans="2:22" s="5" customFormat="1" x14ac:dyDescent="0.3">
      <c r="B183" s="5" t="s">
        <v>16</v>
      </c>
      <c r="C183" s="5" t="s">
        <v>608</v>
      </c>
      <c r="D183" s="5" t="s">
        <v>547</v>
      </c>
      <c r="E183" s="5" t="s">
        <v>607</v>
      </c>
      <c r="F183" s="5" t="s">
        <v>283</v>
      </c>
      <c r="G183" s="5" t="s">
        <v>284</v>
      </c>
      <c r="H183" s="6">
        <f t="shared" si="38"/>
        <v>0</v>
      </c>
      <c r="I183" s="6">
        <f t="shared" si="45"/>
        <v>2500992</v>
      </c>
      <c r="J183" s="6">
        <v>475188.47999999998</v>
      </c>
      <c r="K183" s="6">
        <v>0</v>
      </c>
      <c r="L183" s="6">
        <v>0</v>
      </c>
      <c r="M183" s="6">
        <f t="shared" si="42"/>
        <v>2500992</v>
      </c>
      <c r="N183" s="6">
        <f t="shared" si="44"/>
        <v>475188.47999999998</v>
      </c>
      <c r="O183" s="6">
        <f t="shared" si="46"/>
        <v>2976180.48</v>
      </c>
      <c r="P183" s="6">
        <v>2976180.48</v>
      </c>
      <c r="Q183" s="6">
        <f t="shared" si="47"/>
        <v>2500992</v>
      </c>
      <c r="R183" s="6">
        <f t="shared" si="48"/>
        <v>62524.800000000003</v>
      </c>
      <c r="T183"/>
      <c r="U183"/>
      <c r="V183"/>
    </row>
    <row r="184" spans="2:22" s="5" customFormat="1" x14ac:dyDescent="0.3">
      <c r="B184" s="5" t="s">
        <v>16</v>
      </c>
      <c r="C184" s="5" t="s">
        <v>609</v>
      </c>
      <c r="D184" s="5" t="s">
        <v>547</v>
      </c>
      <c r="E184" s="5" t="s">
        <v>610</v>
      </c>
      <c r="F184" s="5" t="s">
        <v>283</v>
      </c>
      <c r="G184" s="5" t="s">
        <v>284</v>
      </c>
      <c r="H184" s="6">
        <f t="shared" si="38"/>
        <v>0</v>
      </c>
      <c r="I184" s="6">
        <f t="shared" si="45"/>
        <v>2707008</v>
      </c>
      <c r="J184" s="6">
        <v>514331.52</v>
      </c>
      <c r="K184" s="6">
        <v>0</v>
      </c>
      <c r="L184" s="6">
        <v>0</v>
      </c>
      <c r="M184" s="6">
        <f t="shared" si="42"/>
        <v>2707008</v>
      </c>
      <c r="N184" s="6">
        <f t="shared" si="44"/>
        <v>514331.52</v>
      </c>
      <c r="O184" s="6">
        <f t="shared" si="46"/>
        <v>3221339.52</v>
      </c>
      <c r="P184" s="6">
        <v>3221339.52</v>
      </c>
      <c r="Q184" s="6">
        <f t="shared" si="47"/>
        <v>2707008</v>
      </c>
      <c r="R184" s="6">
        <f t="shared" si="48"/>
        <v>67675.199999999997</v>
      </c>
      <c r="T184"/>
      <c r="U184"/>
      <c r="V184"/>
    </row>
    <row r="185" spans="2:22" s="5" customFormat="1" x14ac:dyDescent="0.3">
      <c r="B185" s="5" t="s">
        <v>16</v>
      </c>
      <c r="C185" s="5" t="s">
        <v>611</v>
      </c>
      <c r="D185" s="5" t="s">
        <v>547</v>
      </c>
      <c r="E185" s="5" t="s">
        <v>607</v>
      </c>
      <c r="F185" s="5" t="s">
        <v>283</v>
      </c>
      <c r="G185" s="5" t="s">
        <v>284</v>
      </c>
      <c r="H185" s="6">
        <f t="shared" si="38"/>
        <v>0</v>
      </c>
      <c r="I185" s="6">
        <f t="shared" si="45"/>
        <v>2906670</v>
      </c>
      <c r="J185" s="6">
        <v>552267.30000000005</v>
      </c>
      <c r="K185" s="6">
        <v>0</v>
      </c>
      <c r="L185" s="6">
        <v>0</v>
      </c>
      <c r="M185" s="6">
        <f t="shared" si="42"/>
        <v>2906670</v>
      </c>
      <c r="N185" s="6">
        <f t="shared" si="44"/>
        <v>552267.30000000005</v>
      </c>
      <c r="O185" s="6">
        <f t="shared" si="46"/>
        <v>3458937.3</v>
      </c>
      <c r="P185" s="6">
        <v>3458937.3</v>
      </c>
      <c r="Q185" s="6">
        <f t="shared" si="47"/>
        <v>2906670</v>
      </c>
      <c r="R185" s="6">
        <f t="shared" si="48"/>
        <v>72666.75</v>
      </c>
      <c r="T185"/>
      <c r="U185"/>
      <c r="V185"/>
    </row>
    <row r="186" spans="2:22" s="5" customFormat="1" x14ac:dyDescent="0.3">
      <c r="B186" s="5" t="s">
        <v>16</v>
      </c>
      <c r="C186" s="5" t="s">
        <v>612</v>
      </c>
      <c r="D186" s="5" t="s">
        <v>547</v>
      </c>
      <c r="E186" s="5" t="s">
        <v>607</v>
      </c>
      <c r="F186" s="5" t="s">
        <v>283</v>
      </c>
      <c r="G186" s="5" t="s">
        <v>284</v>
      </c>
      <c r="H186" s="6">
        <f t="shared" si="38"/>
        <v>0</v>
      </c>
      <c r="I186" s="6">
        <f t="shared" si="45"/>
        <v>3512204</v>
      </c>
      <c r="J186" s="6">
        <v>667318.76</v>
      </c>
      <c r="K186" s="6">
        <v>0</v>
      </c>
      <c r="L186" s="6">
        <v>0</v>
      </c>
      <c r="M186" s="6">
        <f t="shared" si="42"/>
        <v>3512204</v>
      </c>
      <c r="N186" s="6">
        <f t="shared" si="44"/>
        <v>667318.76</v>
      </c>
      <c r="O186" s="6">
        <f t="shared" si="46"/>
        <v>4179522.76</v>
      </c>
      <c r="P186" s="6">
        <v>4179522.76</v>
      </c>
      <c r="Q186" s="6">
        <f t="shared" si="47"/>
        <v>3512204</v>
      </c>
      <c r="R186" s="6">
        <f t="shared" si="48"/>
        <v>87805.1</v>
      </c>
      <c r="T186"/>
    </row>
    <row r="187" spans="2:22" s="5" customFormat="1" x14ac:dyDescent="0.3">
      <c r="B187" s="5" t="s">
        <v>16</v>
      </c>
      <c r="C187" s="5" t="s">
        <v>613</v>
      </c>
      <c r="D187" s="5" t="s">
        <v>547</v>
      </c>
      <c r="E187" s="5" t="s">
        <v>607</v>
      </c>
      <c r="F187" s="5" t="s">
        <v>283</v>
      </c>
      <c r="G187" s="5" t="s">
        <v>284</v>
      </c>
      <c r="H187" s="6">
        <f t="shared" si="38"/>
        <v>0</v>
      </c>
      <c r="I187" s="6">
        <f t="shared" si="45"/>
        <v>3675678</v>
      </c>
      <c r="J187" s="6">
        <v>698378.82</v>
      </c>
      <c r="K187" s="6">
        <v>0</v>
      </c>
      <c r="L187" s="6">
        <v>0</v>
      </c>
      <c r="M187" s="6">
        <f t="shared" si="42"/>
        <v>3675678</v>
      </c>
      <c r="N187" s="6">
        <f t="shared" si="44"/>
        <v>698378.82</v>
      </c>
      <c r="O187" s="6">
        <f t="shared" si="46"/>
        <v>4374056.82</v>
      </c>
      <c r="P187" s="6">
        <v>4374056.82</v>
      </c>
      <c r="Q187" s="6">
        <f t="shared" si="47"/>
        <v>3675678</v>
      </c>
      <c r="R187" s="6">
        <f t="shared" si="48"/>
        <v>91891.95</v>
      </c>
      <c r="T187"/>
    </row>
    <row r="188" spans="2:22" s="5" customFormat="1" x14ac:dyDescent="0.3">
      <c r="B188" s="5" t="s">
        <v>16</v>
      </c>
      <c r="C188" s="5" t="s">
        <v>614</v>
      </c>
      <c r="D188" s="5" t="s">
        <v>547</v>
      </c>
      <c r="E188" s="5" t="s">
        <v>24</v>
      </c>
      <c r="F188" s="5" t="s">
        <v>283</v>
      </c>
      <c r="G188" s="5" t="s">
        <v>284</v>
      </c>
      <c r="H188" s="6">
        <f t="shared" si="38"/>
        <v>0</v>
      </c>
      <c r="I188" s="6">
        <f t="shared" si="45"/>
        <v>3874410</v>
      </c>
      <c r="J188" s="6">
        <v>736137.9</v>
      </c>
      <c r="K188" s="6">
        <v>0</v>
      </c>
      <c r="L188" s="6">
        <v>0</v>
      </c>
      <c r="M188" s="6">
        <f t="shared" si="42"/>
        <v>3874410</v>
      </c>
      <c r="N188" s="6">
        <f t="shared" si="44"/>
        <v>736137.9</v>
      </c>
      <c r="O188" s="6">
        <f t="shared" si="46"/>
        <v>4610547.9000000004</v>
      </c>
      <c r="P188" s="6">
        <v>4610547.9000000004</v>
      </c>
      <c r="Q188" s="6">
        <f t="shared" si="47"/>
        <v>3874410</v>
      </c>
      <c r="R188" s="6">
        <f t="shared" si="48"/>
        <v>96860.25</v>
      </c>
      <c r="T188"/>
    </row>
    <row r="189" spans="2:22" s="5" customFormat="1" x14ac:dyDescent="0.3">
      <c r="B189" s="5" t="s">
        <v>16</v>
      </c>
      <c r="C189" s="5" t="s">
        <v>615</v>
      </c>
      <c r="D189" s="5" t="s">
        <v>547</v>
      </c>
      <c r="E189" s="5" t="s">
        <v>24</v>
      </c>
      <c r="F189" s="5" t="s">
        <v>283</v>
      </c>
      <c r="G189" s="5" t="s">
        <v>284</v>
      </c>
      <c r="H189" s="6">
        <f t="shared" si="38"/>
        <v>0</v>
      </c>
      <c r="I189" s="6">
        <f t="shared" si="45"/>
        <v>4368636</v>
      </c>
      <c r="J189" s="6">
        <v>830040.84</v>
      </c>
      <c r="K189" s="6">
        <v>0</v>
      </c>
      <c r="L189" s="6">
        <v>0</v>
      </c>
      <c r="M189" s="6">
        <f t="shared" si="42"/>
        <v>4368636</v>
      </c>
      <c r="N189" s="6">
        <f t="shared" si="44"/>
        <v>830040.84</v>
      </c>
      <c r="O189" s="6">
        <f t="shared" si="46"/>
        <v>5198676.84</v>
      </c>
      <c r="P189" s="6">
        <v>5198676.84</v>
      </c>
      <c r="Q189" s="6">
        <f t="shared" si="47"/>
        <v>4368636</v>
      </c>
      <c r="R189" s="6">
        <f t="shared" si="48"/>
        <v>109215.9</v>
      </c>
      <c r="T189"/>
      <c r="U189"/>
      <c r="V189"/>
    </row>
    <row r="190" spans="2:22" s="5" customFormat="1" x14ac:dyDescent="0.3">
      <c r="B190" s="5" t="s">
        <v>16</v>
      </c>
      <c r="C190" s="5" t="s">
        <v>616</v>
      </c>
      <c r="D190" s="5" t="s">
        <v>547</v>
      </c>
      <c r="E190" s="5" t="s">
        <v>423</v>
      </c>
      <c r="F190" s="5" t="s">
        <v>283</v>
      </c>
      <c r="G190" s="5" t="s">
        <v>284</v>
      </c>
      <c r="H190" s="6">
        <f>+P190-I190-J190-K190-L190</f>
        <v>6.9849193096160889E-10</v>
      </c>
      <c r="I190" s="6">
        <f t="shared" si="45"/>
        <v>3414537.9999999995</v>
      </c>
      <c r="J190" s="6">
        <v>648762.22</v>
      </c>
      <c r="K190" s="6">
        <v>0</v>
      </c>
      <c r="L190" s="6">
        <v>0</v>
      </c>
      <c r="M190" s="6">
        <f t="shared" si="42"/>
        <v>3414538</v>
      </c>
      <c r="N190" s="6">
        <f t="shared" si="44"/>
        <v>648762.22</v>
      </c>
      <c r="O190" s="6">
        <f t="shared" si="46"/>
        <v>4063300.2199999997</v>
      </c>
      <c r="P190" s="6">
        <v>4063300.22</v>
      </c>
      <c r="Q190" s="6">
        <f t="shared" si="47"/>
        <v>3414538</v>
      </c>
      <c r="R190" s="6">
        <f t="shared" si="48"/>
        <v>85363.45</v>
      </c>
      <c r="S190"/>
      <c r="T190"/>
    </row>
    <row r="191" spans="2:22" s="5" customFormat="1" x14ac:dyDescent="0.3">
      <c r="B191" s="5" t="s">
        <v>16</v>
      </c>
      <c r="C191" s="5" t="s">
        <v>617</v>
      </c>
      <c r="D191" s="5" t="s">
        <v>547</v>
      </c>
      <c r="E191" s="5" t="s">
        <v>423</v>
      </c>
      <c r="F191" s="5" t="s">
        <v>283</v>
      </c>
      <c r="G191" s="5" t="s">
        <v>284</v>
      </c>
      <c r="H191" s="6">
        <f>+P191-I191-J191-K191-L191</f>
        <v>2.3283064365386963E-10</v>
      </c>
      <c r="I191" s="6">
        <f t="shared" si="45"/>
        <v>3443296</v>
      </c>
      <c r="J191" s="6">
        <v>654226.24</v>
      </c>
      <c r="K191" s="6">
        <v>0</v>
      </c>
      <c r="L191" s="6">
        <v>0</v>
      </c>
      <c r="M191" s="6">
        <f t="shared" si="42"/>
        <v>3443296</v>
      </c>
      <c r="N191" s="6">
        <f t="shared" si="44"/>
        <v>654226.24</v>
      </c>
      <c r="O191" s="6">
        <f t="shared" si="46"/>
        <v>4097522.24</v>
      </c>
      <c r="P191" s="6">
        <v>4097522.24</v>
      </c>
      <c r="Q191" s="6">
        <f t="shared" si="47"/>
        <v>3443296</v>
      </c>
      <c r="R191" s="6">
        <f t="shared" si="48"/>
        <v>86082.4</v>
      </c>
      <c r="T191"/>
    </row>
    <row r="192" spans="2:22" s="5" customFormat="1" x14ac:dyDescent="0.3">
      <c r="B192" s="5" t="s">
        <v>16</v>
      </c>
      <c r="C192" s="5" t="s">
        <v>618</v>
      </c>
      <c r="D192" s="5" t="s">
        <v>547</v>
      </c>
      <c r="E192" s="5" t="s">
        <v>423</v>
      </c>
      <c r="F192" s="5" t="s">
        <v>283</v>
      </c>
      <c r="G192" s="5" t="s">
        <v>284</v>
      </c>
      <c r="H192" s="6">
        <f>+P192-I192-J192-K192-L192</f>
        <v>3.4924596548080444E-10</v>
      </c>
      <c r="I192" s="6">
        <f t="shared" si="45"/>
        <v>3883301.9999999995</v>
      </c>
      <c r="J192" s="6">
        <v>737827.38</v>
      </c>
      <c r="K192" s="6">
        <v>0</v>
      </c>
      <c r="L192" s="6">
        <v>0</v>
      </c>
      <c r="M192" s="6">
        <f t="shared" si="42"/>
        <v>3883302</v>
      </c>
      <c r="N192" s="6">
        <f t="shared" si="44"/>
        <v>737827.38</v>
      </c>
      <c r="O192" s="6">
        <f t="shared" si="46"/>
        <v>4621129.38</v>
      </c>
      <c r="P192" s="6">
        <v>4621129.38</v>
      </c>
      <c r="Q192" s="6">
        <f t="shared" si="47"/>
        <v>3883302</v>
      </c>
      <c r="R192" s="6">
        <f t="shared" si="48"/>
        <v>97082.55</v>
      </c>
      <c r="T192"/>
    </row>
    <row r="193" spans="2:22" x14ac:dyDescent="0.3">
      <c r="B193" s="5" t="s">
        <v>16</v>
      </c>
      <c r="C193" s="5" t="s">
        <v>619</v>
      </c>
      <c r="D193" s="5" t="s">
        <v>547</v>
      </c>
      <c r="E193" s="5" t="s">
        <v>620</v>
      </c>
      <c r="F193" s="5" t="s">
        <v>283</v>
      </c>
      <c r="G193" s="5" t="s">
        <v>284</v>
      </c>
      <c r="H193" s="6">
        <f>+P193-I193-J193-K193-L193</f>
        <v>-3.4924596548080444E-10</v>
      </c>
      <c r="I193" s="6">
        <f t="shared" si="45"/>
        <v>4276397</v>
      </c>
      <c r="J193" s="6">
        <v>812515.43</v>
      </c>
      <c r="K193" s="6">
        <v>0</v>
      </c>
      <c r="L193" s="6">
        <v>0</v>
      </c>
      <c r="M193" s="6">
        <f t="shared" si="42"/>
        <v>4276397</v>
      </c>
      <c r="N193" s="6">
        <f t="shared" si="44"/>
        <v>812515.43</v>
      </c>
      <c r="O193" s="6">
        <f t="shared" si="46"/>
        <v>5088912.43</v>
      </c>
      <c r="P193" s="6">
        <v>5088912.43</v>
      </c>
      <c r="Q193" s="6">
        <f t="shared" si="47"/>
        <v>4276397</v>
      </c>
      <c r="R193" s="6">
        <f t="shared" si="48"/>
        <v>106909.925</v>
      </c>
      <c r="S193" s="5"/>
    </row>
    <row r="194" spans="2:22" x14ac:dyDescent="0.3">
      <c r="B194" s="5" t="s">
        <v>16</v>
      </c>
      <c r="C194" s="5" t="s">
        <v>621</v>
      </c>
      <c r="D194" s="5" t="s">
        <v>547</v>
      </c>
      <c r="E194" s="5" t="s">
        <v>620</v>
      </c>
      <c r="F194" s="5" t="s">
        <v>283</v>
      </c>
      <c r="G194" s="5" t="s">
        <v>284</v>
      </c>
      <c r="H194" s="6">
        <f>+P194-I194-J194-K194-L194</f>
        <v>0</v>
      </c>
      <c r="I194" s="6">
        <f t="shared" si="45"/>
        <v>5023284</v>
      </c>
      <c r="J194" s="6">
        <v>954423.96</v>
      </c>
      <c r="K194" s="6">
        <v>0</v>
      </c>
      <c r="L194" s="6">
        <v>0</v>
      </c>
      <c r="M194" s="6">
        <f t="shared" si="42"/>
        <v>5023284</v>
      </c>
      <c r="N194" s="6">
        <f t="shared" si="44"/>
        <v>954423.96</v>
      </c>
      <c r="O194" s="6">
        <f t="shared" si="46"/>
        <v>5977707.96</v>
      </c>
      <c r="P194" s="6">
        <v>5977707.96</v>
      </c>
      <c r="Q194" s="6">
        <f t="shared" si="47"/>
        <v>5023284</v>
      </c>
      <c r="R194" s="6">
        <f t="shared" si="48"/>
        <v>125582.1</v>
      </c>
      <c r="S194" s="5"/>
      <c r="U194" s="5"/>
      <c r="V194" s="5"/>
    </row>
    <row r="195" spans="2:22" x14ac:dyDescent="0.3">
      <c r="B195" s="5" t="s">
        <v>16</v>
      </c>
      <c r="C195" s="5" t="s">
        <v>622</v>
      </c>
      <c r="D195" s="5" t="s">
        <v>547</v>
      </c>
      <c r="E195" s="5" t="s">
        <v>481</v>
      </c>
      <c r="F195" s="5" t="s">
        <v>283</v>
      </c>
      <c r="G195" s="5" t="s">
        <v>284</v>
      </c>
      <c r="H195" s="6">
        <v>0</v>
      </c>
      <c r="I195" s="6">
        <f t="shared" si="45"/>
        <v>2364912.0000000005</v>
      </c>
      <c r="J195" s="6">
        <v>449333.28</v>
      </c>
      <c r="K195" s="6">
        <v>0</v>
      </c>
      <c r="L195" s="6">
        <v>0</v>
      </c>
      <c r="M195" s="6">
        <f t="shared" si="42"/>
        <v>2364912.0000000005</v>
      </c>
      <c r="N195" s="6">
        <f t="shared" si="44"/>
        <v>449333.28</v>
      </c>
      <c r="O195" s="6">
        <f t="shared" si="46"/>
        <v>2814245.2800000003</v>
      </c>
      <c r="P195" s="6">
        <v>2814245.28</v>
      </c>
      <c r="Q195" s="6">
        <f t="shared" si="47"/>
        <v>2364912.0000000005</v>
      </c>
      <c r="R195" s="6">
        <f t="shared" si="48"/>
        <v>59122.80000000001</v>
      </c>
      <c r="S195" s="5"/>
      <c r="U195" s="5"/>
      <c r="V195" s="5"/>
    </row>
    <row r="196" spans="2:22" x14ac:dyDescent="0.3">
      <c r="B196" s="5" t="s">
        <v>16</v>
      </c>
      <c r="C196" s="5" t="s">
        <v>623</v>
      </c>
      <c r="D196" s="5" t="s">
        <v>547</v>
      </c>
      <c r="E196" s="5" t="s">
        <v>481</v>
      </c>
      <c r="F196" s="5" t="s">
        <v>283</v>
      </c>
      <c r="G196" s="5" t="s">
        <v>284</v>
      </c>
      <c r="H196" s="6">
        <v>0</v>
      </c>
      <c r="I196" s="6">
        <f t="shared" si="45"/>
        <v>2973224</v>
      </c>
      <c r="J196" s="6">
        <v>564912.56000000006</v>
      </c>
      <c r="K196" s="6">
        <v>0</v>
      </c>
      <c r="L196" s="6">
        <v>0</v>
      </c>
      <c r="M196" s="6">
        <f t="shared" si="42"/>
        <v>2973224</v>
      </c>
      <c r="N196" s="6">
        <f t="shared" si="44"/>
        <v>564912.56000000006</v>
      </c>
      <c r="O196" s="6">
        <f t="shared" si="46"/>
        <v>3538136.56</v>
      </c>
      <c r="P196" s="6">
        <v>3538136.56</v>
      </c>
      <c r="Q196" s="6">
        <f t="shared" si="47"/>
        <v>2973224</v>
      </c>
      <c r="R196" s="6">
        <f t="shared" si="48"/>
        <v>74330.600000000006</v>
      </c>
      <c r="S196" s="5"/>
      <c r="U196" s="5"/>
      <c r="V196" s="5"/>
    </row>
    <row r="197" spans="2:22" x14ac:dyDescent="0.3">
      <c r="B197" s="5" t="s">
        <v>16</v>
      </c>
      <c r="C197" s="5" t="s">
        <v>624</v>
      </c>
      <c r="D197" s="5" t="s">
        <v>547</v>
      </c>
      <c r="E197" s="5" t="s">
        <v>481</v>
      </c>
      <c r="F197" s="5" t="s">
        <v>283</v>
      </c>
      <c r="G197" s="5" t="s">
        <v>284</v>
      </c>
      <c r="H197" s="6">
        <v>0</v>
      </c>
      <c r="I197" s="6">
        <f t="shared" si="45"/>
        <v>3521418</v>
      </c>
      <c r="J197" s="6">
        <v>669069.42000000004</v>
      </c>
      <c r="K197" s="6">
        <v>0</v>
      </c>
      <c r="L197" s="6">
        <v>0</v>
      </c>
      <c r="M197" s="6">
        <f t="shared" si="42"/>
        <v>3521418</v>
      </c>
      <c r="N197" s="6">
        <f t="shared" si="44"/>
        <v>669069.42000000004</v>
      </c>
      <c r="O197" s="6">
        <f t="shared" si="46"/>
        <v>4190487.42</v>
      </c>
      <c r="P197" s="6">
        <v>4190487.42</v>
      </c>
      <c r="Q197" s="6">
        <f t="shared" si="47"/>
        <v>3521418</v>
      </c>
      <c r="R197" s="6">
        <f t="shared" si="48"/>
        <v>88035.45</v>
      </c>
      <c r="S197" s="5"/>
      <c r="U197" s="5"/>
    </row>
    <row r="198" spans="2:22" s="5" customFormat="1" x14ac:dyDescent="0.3">
      <c r="B198" s="5" t="s">
        <v>16</v>
      </c>
      <c r="C198" s="5" t="s">
        <v>625</v>
      </c>
      <c r="D198" s="5" t="s">
        <v>547</v>
      </c>
      <c r="E198" s="5" t="s">
        <v>481</v>
      </c>
      <c r="F198" s="5" t="s">
        <v>283</v>
      </c>
      <c r="G198" s="5" t="s">
        <v>284</v>
      </c>
      <c r="H198" s="6">
        <v>0</v>
      </c>
      <c r="I198" s="6">
        <f t="shared" si="45"/>
        <v>3583674.0000000005</v>
      </c>
      <c r="J198" s="6">
        <v>680898.06</v>
      </c>
      <c r="K198" s="6">
        <v>0</v>
      </c>
      <c r="L198" s="6">
        <v>0</v>
      </c>
      <c r="M198" s="6">
        <f t="shared" si="42"/>
        <v>3583674.0000000005</v>
      </c>
      <c r="N198" s="6">
        <f t="shared" si="44"/>
        <v>680898.06</v>
      </c>
      <c r="O198" s="6">
        <f t="shared" si="46"/>
        <v>4264572.0600000005</v>
      </c>
      <c r="P198" s="6">
        <v>4264572.0599999996</v>
      </c>
      <c r="Q198" s="6">
        <f t="shared" si="47"/>
        <v>3583674.0000000005</v>
      </c>
      <c r="R198" s="6">
        <f t="shared" si="48"/>
        <v>89591.85000000002</v>
      </c>
      <c r="T198"/>
    </row>
    <row r="199" spans="2:22" s="5" customFormat="1" x14ac:dyDescent="0.3">
      <c r="B199" s="5" t="s">
        <v>16</v>
      </c>
      <c r="C199" s="5" t="s">
        <v>626</v>
      </c>
      <c r="D199" s="5" t="s">
        <v>547</v>
      </c>
      <c r="E199" s="5" t="s">
        <v>481</v>
      </c>
      <c r="F199" s="5" t="s">
        <v>283</v>
      </c>
      <c r="G199" s="5" t="s">
        <v>284</v>
      </c>
      <c r="H199" s="6">
        <v>0</v>
      </c>
      <c r="I199" s="6">
        <f t="shared" si="45"/>
        <v>3718266.0000000005</v>
      </c>
      <c r="J199" s="6">
        <v>706470.54</v>
      </c>
      <c r="K199" s="6">
        <v>0</v>
      </c>
      <c r="L199" s="6">
        <v>0</v>
      </c>
      <c r="M199" s="6">
        <f t="shared" si="42"/>
        <v>3718266.0000000005</v>
      </c>
      <c r="N199" s="6">
        <f t="shared" si="44"/>
        <v>706470.54</v>
      </c>
      <c r="O199" s="6">
        <f t="shared" si="46"/>
        <v>4424736.540000001</v>
      </c>
      <c r="P199" s="6">
        <v>4424736.54</v>
      </c>
      <c r="Q199" s="6">
        <f t="shared" si="47"/>
        <v>3718266.0000000005</v>
      </c>
      <c r="R199" s="6">
        <f t="shared" si="48"/>
        <v>92956.650000000023</v>
      </c>
      <c r="T199"/>
      <c r="U199"/>
      <c r="V199"/>
    </row>
    <row r="200" spans="2:22" s="5" customFormat="1" x14ac:dyDescent="0.3">
      <c r="B200" s="5" t="s">
        <v>16</v>
      </c>
      <c r="C200" s="5" t="s">
        <v>627</v>
      </c>
      <c r="D200" s="5" t="s">
        <v>547</v>
      </c>
      <c r="E200" s="5" t="s">
        <v>481</v>
      </c>
      <c r="F200" s="5" t="s">
        <v>283</v>
      </c>
      <c r="G200" s="5" t="s">
        <v>284</v>
      </c>
      <c r="H200" s="6">
        <v>0</v>
      </c>
      <c r="I200" s="6">
        <f t="shared" si="45"/>
        <v>3897229</v>
      </c>
      <c r="J200" s="6">
        <v>740473.51</v>
      </c>
      <c r="K200" s="6">
        <v>0</v>
      </c>
      <c r="L200" s="6">
        <v>0</v>
      </c>
      <c r="M200" s="6">
        <f t="shared" si="42"/>
        <v>3897229</v>
      </c>
      <c r="N200" s="6">
        <f t="shared" si="44"/>
        <v>740473.51</v>
      </c>
      <c r="O200" s="6">
        <f t="shared" si="46"/>
        <v>4637702.51</v>
      </c>
      <c r="P200" s="6">
        <v>4637702.51</v>
      </c>
      <c r="Q200" s="6">
        <f t="shared" si="47"/>
        <v>3897229</v>
      </c>
      <c r="R200" s="6">
        <f t="shared" si="48"/>
        <v>97430.725000000006</v>
      </c>
      <c r="T200"/>
    </row>
    <row r="201" spans="2:22" s="5" customFormat="1" x14ac:dyDescent="0.3">
      <c r="B201" s="5" t="s">
        <v>16</v>
      </c>
      <c r="C201" s="5" t="s">
        <v>628</v>
      </c>
      <c r="D201" s="5" t="s">
        <v>547</v>
      </c>
      <c r="E201" s="5" t="s">
        <v>481</v>
      </c>
      <c r="F201" s="5" t="s">
        <v>283</v>
      </c>
      <c r="G201" s="5" t="s">
        <v>284</v>
      </c>
      <c r="H201" s="6">
        <v>0</v>
      </c>
      <c r="I201" s="6">
        <f t="shared" si="45"/>
        <v>3940290</v>
      </c>
      <c r="J201" s="6">
        <v>748655.1</v>
      </c>
      <c r="K201" s="6">
        <v>0</v>
      </c>
      <c r="L201" s="6">
        <v>0</v>
      </c>
      <c r="M201" s="6">
        <f t="shared" si="42"/>
        <v>3940290</v>
      </c>
      <c r="N201" s="6">
        <f t="shared" si="44"/>
        <v>748655.1</v>
      </c>
      <c r="O201" s="6">
        <f t="shared" si="46"/>
        <v>4688945.0999999996</v>
      </c>
      <c r="P201" s="6">
        <v>4688945.0999999996</v>
      </c>
      <c r="Q201" s="6">
        <f>+M201-287064</f>
        <v>3653226</v>
      </c>
      <c r="R201" s="6">
        <f t="shared" si="48"/>
        <v>91330.65</v>
      </c>
      <c r="T201"/>
    </row>
    <row r="202" spans="2:22" s="5" customFormat="1" x14ac:dyDescent="0.3">
      <c r="B202" s="5" t="s">
        <v>16</v>
      </c>
      <c r="C202" s="5" t="s">
        <v>629</v>
      </c>
      <c r="D202" s="5" t="s">
        <v>547</v>
      </c>
      <c r="E202" s="5" t="s">
        <v>630</v>
      </c>
      <c r="F202" s="5" t="s">
        <v>283</v>
      </c>
      <c r="G202" s="5" t="s">
        <v>284</v>
      </c>
      <c r="H202" s="6">
        <f>+P202-I202-J202</f>
        <v>0</v>
      </c>
      <c r="I202" s="6">
        <f t="shared" si="45"/>
        <v>6812830</v>
      </c>
      <c r="J202" s="6">
        <v>1294437.7</v>
      </c>
      <c r="K202" s="6">
        <v>0</v>
      </c>
      <c r="L202" s="6">
        <v>0</v>
      </c>
      <c r="M202" s="6">
        <f t="shared" si="42"/>
        <v>6812830</v>
      </c>
      <c r="N202" s="6">
        <f t="shared" si="44"/>
        <v>1294437.7</v>
      </c>
      <c r="O202" s="6">
        <f t="shared" si="46"/>
        <v>8107267.7000000002</v>
      </c>
      <c r="P202" s="6">
        <v>8107267.7000000002</v>
      </c>
      <c r="Q202" s="6">
        <f>+M202</f>
        <v>6812830</v>
      </c>
      <c r="R202" s="6">
        <f t="shared" si="48"/>
        <v>170320.75</v>
      </c>
      <c r="T202"/>
      <c r="U202"/>
      <c r="V202"/>
    </row>
    <row r="203" spans="2:22" s="5" customFormat="1" x14ac:dyDescent="0.3">
      <c r="B203" s="5" t="s">
        <v>16</v>
      </c>
      <c r="C203" s="5" t="s">
        <v>631</v>
      </c>
      <c r="D203" s="5" t="s">
        <v>547</v>
      </c>
      <c r="E203" s="5" t="s">
        <v>61</v>
      </c>
      <c r="F203" s="5" t="s">
        <v>283</v>
      </c>
      <c r="G203" s="5" t="s">
        <v>284</v>
      </c>
      <c r="H203" s="6">
        <f>+P203-I203-J203-K203-L203</f>
        <v>-9.3132257461547852E-10</v>
      </c>
      <c r="I203" s="6">
        <f t="shared" si="45"/>
        <v>20040005</v>
      </c>
      <c r="J203" s="6">
        <v>3807600.95</v>
      </c>
      <c r="K203" s="6">
        <v>0</v>
      </c>
      <c r="L203" s="6">
        <v>0</v>
      </c>
      <c r="M203" s="6">
        <f t="shared" si="42"/>
        <v>20040005</v>
      </c>
      <c r="N203" s="6">
        <f t="shared" si="44"/>
        <v>3807600.95</v>
      </c>
      <c r="O203" s="6">
        <f t="shared" si="46"/>
        <v>23847605.949999999</v>
      </c>
      <c r="P203" s="6">
        <v>23847605.949999999</v>
      </c>
      <c r="Q203" s="6">
        <f>+M203-129615</f>
        <v>19910390</v>
      </c>
      <c r="R203" s="6">
        <f t="shared" si="48"/>
        <v>497759.75</v>
      </c>
      <c r="T203"/>
    </row>
    <row r="204" spans="2:22" s="5" customFormat="1" x14ac:dyDescent="0.3">
      <c r="B204" s="5" t="s">
        <v>16</v>
      </c>
      <c r="C204" s="5" t="s">
        <v>632</v>
      </c>
      <c r="D204" s="5" t="s">
        <v>132</v>
      </c>
      <c r="E204" s="5" t="s">
        <v>633</v>
      </c>
      <c r="F204" s="5" t="s">
        <v>354</v>
      </c>
      <c r="G204" s="5" t="s">
        <v>355</v>
      </c>
      <c r="H204" s="6">
        <v>-3.7368421006249264E-2</v>
      </c>
      <c r="I204" s="6">
        <f t="shared" si="45"/>
        <v>549189.94736842101</v>
      </c>
      <c r="J204" s="6">
        <v>104346.09</v>
      </c>
      <c r="K204" s="6"/>
      <c r="L204" s="6"/>
      <c r="M204" s="6">
        <f>+H204+I204</f>
        <v>549189.91</v>
      </c>
      <c r="N204" s="6">
        <f>+J204</f>
        <v>104346.09</v>
      </c>
      <c r="O204" s="6">
        <f t="shared" si="46"/>
        <v>653536</v>
      </c>
      <c r="P204" s="6">
        <v>653536</v>
      </c>
      <c r="Q204" s="6"/>
      <c r="R204" s="6">
        <f t="shared" si="48"/>
        <v>0</v>
      </c>
      <c r="T204"/>
    </row>
    <row r="205" spans="2:22" s="5" customFormat="1" x14ac:dyDescent="0.3">
      <c r="B205" s="5" t="s">
        <v>16</v>
      </c>
      <c r="C205" s="5" t="s">
        <v>634</v>
      </c>
      <c r="D205" s="5" t="s">
        <v>132</v>
      </c>
      <c r="E205" s="5" t="s">
        <v>535</v>
      </c>
      <c r="F205" s="5" t="s">
        <v>354</v>
      </c>
      <c r="G205" s="5" t="s">
        <v>355</v>
      </c>
      <c r="H205" s="6">
        <f>+P205-I205-J205</f>
        <v>1.0000000009313226E-2</v>
      </c>
      <c r="I205" s="6">
        <f t="shared" si="45"/>
        <v>1345821</v>
      </c>
      <c r="J205" s="6">
        <v>255705.99</v>
      </c>
      <c r="K205" s="6">
        <v>0</v>
      </c>
      <c r="L205" s="6">
        <v>0</v>
      </c>
      <c r="M205" s="6">
        <f>+H205+I205+K205</f>
        <v>1345821.01</v>
      </c>
      <c r="N205" s="6">
        <f t="shared" ref="N205:N211" si="49">+J205+L205</f>
        <v>255705.99</v>
      </c>
      <c r="O205" s="6">
        <f t="shared" si="46"/>
        <v>1601527</v>
      </c>
      <c r="P205" s="6">
        <v>1601527</v>
      </c>
      <c r="Q205" s="6">
        <f>+M205</f>
        <v>1345821.01</v>
      </c>
      <c r="R205" s="6">
        <f t="shared" si="48"/>
        <v>33645.525249999999</v>
      </c>
      <c r="T205"/>
    </row>
    <row r="206" spans="2:22" s="5" customFormat="1" x14ac:dyDescent="0.3">
      <c r="B206" s="5" t="s">
        <v>16</v>
      </c>
      <c r="C206" s="5" t="s">
        <v>635</v>
      </c>
      <c r="D206" s="5" t="s">
        <v>132</v>
      </c>
      <c r="E206" s="5" t="s">
        <v>636</v>
      </c>
      <c r="F206" s="5" t="s">
        <v>354</v>
      </c>
      <c r="G206" s="5" t="s">
        <v>355</v>
      </c>
      <c r="H206" s="6">
        <f>+P206-I206-J206</f>
        <v>-2.4210526316892356E-2</v>
      </c>
      <c r="I206" s="6">
        <f t="shared" si="45"/>
        <v>1583959.6842105263</v>
      </c>
      <c r="J206" s="6">
        <v>300952.34000000003</v>
      </c>
      <c r="K206" s="6">
        <v>0</v>
      </c>
      <c r="L206" s="6">
        <v>0</v>
      </c>
      <c r="M206" s="6">
        <f>+H206+I206+K206</f>
        <v>1583959.66</v>
      </c>
      <c r="N206" s="6">
        <f t="shared" si="49"/>
        <v>300952.34000000003</v>
      </c>
      <c r="O206" s="6">
        <f t="shared" si="46"/>
        <v>1884912</v>
      </c>
      <c r="P206" s="6">
        <v>1884912</v>
      </c>
      <c r="Q206" s="6">
        <f>+M206</f>
        <v>1583959.66</v>
      </c>
      <c r="R206" s="6">
        <f t="shared" si="48"/>
        <v>39598.991499999996</v>
      </c>
      <c r="T206"/>
    </row>
    <row r="207" spans="2:22" s="5" customFormat="1" x14ac:dyDescent="0.3">
      <c r="B207" s="5" t="s">
        <v>16</v>
      </c>
      <c r="C207" s="5" t="s">
        <v>637</v>
      </c>
      <c r="D207" s="5" t="s">
        <v>132</v>
      </c>
      <c r="E207" s="5" t="s">
        <v>638</v>
      </c>
      <c r="F207" s="5" t="s">
        <v>354</v>
      </c>
      <c r="G207" s="5" t="s">
        <v>355</v>
      </c>
      <c r="H207" s="6">
        <f>+P207-I207-J207</f>
        <v>-4.7368420637212694E-2</v>
      </c>
      <c r="I207" s="6">
        <f t="shared" si="45"/>
        <v>1736768.9473684207</v>
      </c>
      <c r="J207" s="6">
        <v>329986.09999999998</v>
      </c>
      <c r="K207" s="6">
        <v>0</v>
      </c>
      <c r="L207" s="6">
        <v>0</v>
      </c>
      <c r="M207" s="6">
        <f>+H207+I207+K207</f>
        <v>1736768.9</v>
      </c>
      <c r="N207" s="6">
        <f t="shared" si="49"/>
        <v>329986.09999999998</v>
      </c>
      <c r="O207" s="6">
        <f t="shared" si="46"/>
        <v>2066755</v>
      </c>
      <c r="P207" s="6">
        <v>2066755</v>
      </c>
      <c r="Q207" s="6">
        <f>+M207</f>
        <v>1736768.9</v>
      </c>
      <c r="R207" s="6">
        <f t="shared" si="48"/>
        <v>43419.222500000003</v>
      </c>
      <c r="T207"/>
      <c r="U207"/>
      <c r="V207"/>
    </row>
    <row r="208" spans="2:22" s="5" customFormat="1" x14ac:dyDescent="0.3">
      <c r="B208" s="7" t="s">
        <v>16</v>
      </c>
      <c r="C208" s="7" t="s">
        <v>639</v>
      </c>
      <c r="D208" s="7" t="s">
        <v>132</v>
      </c>
      <c r="E208" s="7" t="s">
        <v>640</v>
      </c>
      <c r="F208" s="7" t="s">
        <v>354</v>
      </c>
      <c r="G208" s="7" t="s">
        <v>641</v>
      </c>
      <c r="H208" s="8">
        <f>+P208-I208-J208</f>
        <v>5.2631573635153472E-4</v>
      </c>
      <c r="I208" s="8">
        <f t="shared" si="45"/>
        <v>1155774.7894736843</v>
      </c>
      <c r="J208" s="8">
        <v>219597.21</v>
      </c>
      <c r="K208" s="8">
        <v>0</v>
      </c>
      <c r="L208" s="8">
        <v>0</v>
      </c>
      <c r="M208" s="8">
        <f>+I208+H208</f>
        <v>1155774.79</v>
      </c>
      <c r="N208" s="8">
        <f t="shared" si="49"/>
        <v>219597.21</v>
      </c>
      <c r="O208" s="8">
        <f t="shared" si="46"/>
        <v>1375372</v>
      </c>
      <c r="P208" s="8">
        <v>1375372</v>
      </c>
      <c r="Q208" s="8">
        <v>0</v>
      </c>
      <c r="R208" s="8">
        <f t="shared" si="48"/>
        <v>0</v>
      </c>
      <c r="T208"/>
      <c r="U208"/>
      <c r="V208"/>
    </row>
    <row r="209" spans="2:22" x14ac:dyDescent="0.3">
      <c r="B209" s="5" t="s">
        <v>16</v>
      </c>
      <c r="C209" s="5" t="s">
        <v>642</v>
      </c>
      <c r="D209" s="5" t="s">
        <v>132</v>
      </c>
      <c r="E209" s="5" t="s">
        <v>643</v>
      </c>
      <c r="F209" s="5" t="s">
        <v>354</v>
      </c>
      <c r="G209" s="5" t="s">
        <v>644</v>
      </c>
      <c r="H209" s="6">
        <v>-4.7368421219289303E-2</v>
      </c>
      <c r="I209" s="6">
        <f t="shared" si="45"/>
        <v>916868.94736842113</v>
      </c>
      <c r="J209" s="6">
        <v>174205.1</v>
      </c>
      <c r="K209" s="6">
        <v>0</v>
      </c>
      <c r="L209" s="6">
        <v>0</v>
      </c>
      <c r="M209" s="6">
        <f>+H209+I209+K209</f>
        <v>916868.89999999991</v>
      </c>
      <c r="N209" s="6">
        <f t="shared" si="49"/>
        <v>174205.1</v>
      </c>
      <c r="O209" s="6">
        <f t="shared" si="46"/>
        <v>1091074</v>
      </c>
      <c r="P209" s="6">
        <v>1091074</v>
      </c>
      <c r="Q209" s="6">
        <v>0</v>
      </c>
      <c r="R209" s="6">
        <f t="shared" si="48"/>
        <v>0</v>
      </c>
      <c r="S209" s="5"/>
    </row>
    <row r="210" spans="2:22" s="5" customFormat="1" x14ac:dyDescent="0.3">
      <c r="B210" s="5" t="s">
        <v>16</v>
      </c>
      <c r="C210" s="5" t="s">
        <v>645</v>
      </c>
      <c r="D210" s="5" t="s">
        <v>546</v>
      </c>
      <c r="E210" s="5" t="s">
        <v>549</v>
      </c>
      <c r="F210" s="5" t="s">
        <v>646</v>
      </c>
      <c r="G210" s="5" t="s">
        <v>647</v>
      </c>
      <c r="H210" s="6">
        <v>-8.4210527129471302E-3</v>
      </c>
      <c r="I210" s="6">
        <f t="shared" si="45"/>
        <v>1008403.3684210526</v>
      </c>
      <c r="J210" s="6">
        <v>191596.64</v>
      </c>
      <c r="K210" s="6">
        <v>0</v>
      </c>
      <c r="L210" s="6">
        <v>0</v>
      </c>
      <c r="M210" s="6">
        <f>+H210+I210+K210</f>
        <v>1008403.3599999999</v>
      </c>
      <c r="N210" s="6">
        <f t="shared" si="49"/>
        <v>191596.64</v>
      </c>
      <c r="O210" s="6">
        <f t="shared" si="46"/>
        <v>1200000</v>
      </c>
      <c r="P210" s="6">
        <v>1200000</v>
      </c>
      <c r="Q210" s="6">
        <f>+P210-O210</f>
        <v>0</v>
      </c>
      <c r="R210" s="6">
        <f t="shared" si="48"/>
        <v>0</v>
      </c>
      <c r="T210"/>
      <c r="U210"/>
      <c r="V210"/>
    </row>
    <row r="211" spans="2:22" s="5" customFormat="1" x14ac:dyDescent="0.3">
      <c r="B211" s="5" t="s">
        <v>16</v>
      </c>
      <c r="C211" s="5" t="s">
        <v>648</v>
      </c>
      <c r="D211" s="5" t="s">
        <v>649</v>
      </c>
      <c r="E211" s="5" t="s">
        <v>460</v>
      </c>
      <c r="F211" s="5" t="s">
        <v>139</v>
      </c>
      <c r="G211" s="5" t="s">
        <v>650</v>
      </c>
      <c r="H211" s="6">
        <v>0.16947368439286947</v>
      </c>
      <c r="I211" s="6">
        <f t="shared" si="45"/>
        <v>4855882.2105263155</v>
      </c>
      <c r="J211" s="6">
        <v>922617.62</v>
      </c>
      <c r="K211" s="6">
        <v>0</v>
      </c>
      <c r="L211" s="6">
        <v>0</v>
      </c>
      <c r="M211" s="6">
        <f>+H211+I211+K211</f>
        <v>4855882.38</v>
      </c>
      <c r="N211" s="6">
        <f t="shared" si="49"/>
        <v>922617.62</v>
      </c>
      <c r="O211" s="6">
        <f t="shared" si="46"/>
        <v>5778500</v>
      </c>
      <c r="P211" s="6">
        <v>5778500</v>
      </c>
      <c r="Q211" s="6">
        <f>+M211</f>
        <v>4855882.38</v>
      </c>
      <c r="R211" s="6">
        <f t="shared" si="48"/>
        <v>121397.05949999999</v>
      </c>
      <c r="T211"/>
      <c r="U211" s="7"/>
      <c r="V211" s="7"/>
    </row>
    <row r="212" spans="2:22" s="5" customFormat="1" x14ac:dyDescent="0.3">
      <c r="B212" s="5" t="s">
        <v>16</v>
      </c>
      <c r="C212" s="5" t="s">
        <v>651</v>
      </c>
      <c r="D212" s="5" t="s">
        <v>649</v>
      </c>
      <c r="E212" s="5" t="s">
        <v>652</v>
      </c>
      <c r="F212" s="5" t="s">
        <v>139</v>
      </c>
      <c r="G212" s="5" t="s">
        <v>650</v>
      </c>
      <c r="H212" s="6">
        <v>4.7368420055136085E-3</v>
      </c>
      <c r="I212" s="6">
        <f t="shared" si="45"/>
        <v>1292773.105263158</v>
      </c>
      <c r="J212" s="6">
        <v>245626.89</v>
      </c>
      <c r="K212" s="6"/>
      <c r="L212" s="6"/>
      <c r="M212" s="6">
        <f>+H212+I212</f>
        <v>1292773.1099999999</v>
      </c>
      <c r="N212" s="6">
        <f>+J212</f>
        <v>245626.89</v>
      </c>
      <c r="O212" s="6">
        <f t="shared" si="46"/>
        <v>1538400</v>
      </c>
      <c r="P212" s="6">
        <v>1538400</v>
      </c>
      <c r="Q212" s="6"/>
      <c r="R212" s="6">
        <f t="shared" si="48"/>
        <v>0</v>
      </c>
      <c r="T212"/>
    </row>
    <row r="213" spans="2:22" x14ac:dyDescent="0.3">
      <c r="B213" s="5" t="s">
        <v>16</v>
      </c>
      <c r="C213" s="5" t="s">
        <v>653</v>
      </c>
      <c r="D213" s="5" t="s">
        <v>649</v>
      </c>
      <c r="E213" s="5" t="s">
        <v>559</v>
      </c>
      <c r="F213" s="5" t="s">
        <v>139</v>
      </c>
      <c r="G213" s="5" t="s">
        <v>650</v>
      </c>
      <c r="H213" s="6">
        <f>+P213-I213-J213</f>
        <v>3.6315789213404059E-2</v>
      </c>
      <c r="I213" s="6">
        <f t="shared" si="45"/>
        <v>2906260.4736842108</v>
      </c>
      <c r="J213" s="6">
        <v>552189.49</v>
      </c>
      <c r="K213" s="6">
        <v>0</v>
      </c>
      <c r="L213" s="6">
        <v>0</v>
      </c>
      <c r="M213" s="6">
        <f t="shared" ref="M213:M223" si="50">+H213+I213+K213</f>
        <v>2906260.51</v>
      </c>
      <c r="N213" s="6">
        <f>J213+L213</f>
        <v>552189.49</v>
      </c>
      <c r="O213" s="6">
        <f t="shared" si="46"/>
        <v>3458450</v>
      </c>
      <c r="P213" s="6">
        <v>3458450</v>
      </c>
      <c r="Q213" s="6">
        <f>+M213</f>
        <v>2906260.51</v>
      </c>
      <c r="R213" s="6">
        <f t="shared" si="48"/>
        <v>72656.512749999994</v>
      </c>
      <c r="S213" s="5"/>
      <c r="U213" s="5"/>
      <c r="V213" s="5"/>
    </row>
    <row r="214" spans="2:22" x14ac:dyDescent="0.3">
      <c r="B214" s="5" t="s">
        <v>16</v>
      </c>
      <c r="C214" s="5" t="s">
        <v>654</v>
      </c>
      <c r="D214" s="5" t="s">
        <v>649</v>
      </c>
      <c r="E214" s="5" t="s">
        <v>655</v>
      </c>
      <c r="F214" s="5" t="s">
        <v>139</v>
      </c>
      <c r="G214" s="5" t="s">
        <v>650</v>
      </c>
      <c r="H214" s="6">
        <f>+P214-I214-J214</f>
        <v>-0.12894736509770155</v>
      </c>
      <c r="I214" s="6">
        <f t="shared" si="45"/>
        <v>19541176.578947365</v>
      </c>
      <c r="J214" s="6">
        <v>3712823.55</v>
      </c>
      <c r="K214" s="6">
        <v>0</v>
      </c>
      <c r="L214" s="6">
        <v>0</v>
      </c>
      <c r="M214" s="6">
        <f t="shared" si="50"/>
        <v>19541176.449999999</v>
      </c>
      <c r="N214" s="6">
        <f t="shared" ref="N214:N223" si="51">+J214+L214</f>
        <v>3712823.55</v>
      </c>
      <c r="O214" s="6">
        <f t="shared" si="46"/>
        <v>23254000</v>
      </c>
      <c r="P214" s="6">
        <v>23254000</v>
      </c>
      <c r="Q214" s="6">
        <f>+M214</f>
        <v>19541176.449999999</v>
      </c>
      <c r="R214" s="6">
        <f t="shared" si="48"/>
        <v>488529.41125</v>
      </c>
      <c r="S214" s="14">
        <f>SUM(Q211:Q214)</f>
        <v>27303319.34</v>
      </c>
      <c r="U214" s="5"/>
      <c r="V214" s="5"/>
    </row>
    <row r="215" spans="2:22" s="5" customFormat="1" x14ac:dyDescent="0.3">
      <c r="B215" s="5" t="s">
        <v>16</v>
      </c>
      <c r="C215" s="5" t="s">
        <v>656</v>
      </c>
      <c r="D215" s="5" t="s">
        <v>35</v>
      </c>
      <c r="E215" s="5" t="s">
        <v>657</v>
      </c>
      <c r="F215" s="5" t="s">
        <v>436</v>
      </c>
      <c r="G215" s="5" t="s">
        <v>437</v>
      </c>
      <c r="H215" s="6">
        <f>+P215-I215-J215</f>
        <v>1.7894736956804991E-2</v>
      </c>
      <c r="I215" s="6">
        <f t="shared" si="45"/>
        <v>10257562.842105264</v>
      </c>
      <c r="J215" s="6">
        <v>1948936.94</v>
      </c>
      <c r="K215" s="6">
        <v>0</v>
      </c>
      <c r="L215" s="6">
        <v>0</v>
      </c>
      <c r="M215" s="6">
        <f t="shared" si="50"/>
        <v>10257562.860000001</v>
      </c>
      <c r="N215" s="6">
        <f t="shared" si="51"/>
        <v>1948936.94</v>
      </c>
      <c r="O215" s="6">
        <f t="shared" si="46"/>
        <v>12206499.800000001</v>
      </c>
      <c r="P215" s="6">
        <v>12206499.800000001</v>
      </c>
      <c r="Q215" s="6">
        <f>+M215</f>
        <v>10257562.860000001</v>
      </c>
      <c r="R215" s="6">
        <f t="shared" si="48"/>
        <v>256439.07150000002</v>
      </c>
      <c r="T215"/>
    </row>
    <row r="216" spans="2:22" s="5" customFormat="1" x14ac:dyDescent="0.3">
      <c r="B216" s="5" t="s">
        <v>16</v>
      </c>
      <c r="C216" s="5" t="s">
        <v>658</v>
      </c>
      <c r="D216" s="5" t="s">
        <v>659</v>
      </c>
      <c r="E216" s="5" t="s">
        <v>30</v>
      </c>
      <c r="F216" s="5" t="s">
        <v>660</v>
      </c>
      <c r="G216" s="5" t="s">
        <v>661</v>
      </c>
      <c r="H216" s="6">
        <f>+P216-I216-J216</f>
        <v>-7.3684209201019257E-3</v>
      </c>
      <c r="I216" s="6">
        <f t="shared" si="45"/>
        <v>1308936.9473684209</v>
      </c>
      <c r="J216" s="6">
        <v>248698.02</v>
      </c>
      <c r="K216" s="6">
        <v>0</v>
      </c>
      <c r="L216" s="6">
        <v>0</v>
      </c>
      <c r="M216" s="6">
        <f t="shared" si="50"/>
        <v>1308936.94</v>
      </c>
      <c r="N216" s="6">
        <f t="shared" si="51"/>
        <v>248698.02</v>
      </c>
      <c r="O216" s="6">
        <f t="shared" si="46"/>
        <v>1557634.96</v>
      </c>
      <c r="P216" s="6">
        <v>1557634.96</v>
      </c>
      <c r="Q216" s="6">
        <v>0</v>
      </c>
      <c r="R216" s="6">
        <f t="shared" si="48"/>
        <v>0</v>
      </c>
      <c r="T216"/>
    </row>
    <row r="217" spans="2:22" s="5" customFormat="1" x14ac:dyDescent="0.3">
      <c r="B217" s="5" t="s">
        <v>16</v>
      </c>
      <c r="C217" s="5" t="s">
        <v>662</v>
      </c>
      <c r="D217" s="5" t="s">
        <v>659</v>
      </c>
      <c r="E217" s="5" t="s">
        <v>212</v>
      </c>
      <c r="F217" s="5" t="s">
        <v>660</v>
      </c>
      <c r="G217" s="5" t="s">
        <v>661</v>
      </c>
      <c r="H217" s="6">
        <f>+P217-I217-J217</f>
        <v>306303.34999999998</v>
      </c>
      <c r="I217" s="6">
        <f t="shared" si="45"/>
        <v>0</v>
      </c>
      <c r="J217" s="6">
        <v>0</v>
      </c>
      <c r="K217" s="6">
        <v>0</v>
      </c>
      <c r="L217" s="6">
        <v>0</v>
      </c>
      <c r="M217" s="6">
        <f t="shared" si="50"/>
        <v>306303.34999999998</v>
      </c>
      <c r="N217" s="6">
        <f t="shared" si="51"/>
        <v>0</v>
      </c>
      <c r="O217" s="6">
        <f t="shared" si="46"/>
        <v>306303.34999999998</v>
      </c>
      <c r="P217" s="6">
        <v>306303.34999999998</v>
      </c>
      <c r="Q217" s="6">
        <v>0</v>
      </c>
      <c r="R217" s="6">
        <f t="shared" si="48"/>
        <v>0</v>
      </c>
      <c r="T217"/>
    </row>
    <row r="218" spans="2:22" s="5" customFormat="1" x14ac:dyDescent="0.3">
      <c r="B218" s="5" t="s">
        <v>16</v>
      </c>
      <c r="C218" s="5" t="s">
        <v>663</v>
      </c>
      <c r="D218" s="5" t="s">
        <v>659</v>
      </c>
      <c r="E218" s="5" t="s">
        <v>423</v>
      </c>
      <c r="F218" s="5" t="s">
        <v>660</v>
      </c>
      <c r="G218" s="5" t="s">
        <v>661</v>
      </c>
      <c r="H218" s="6">
        <f>+P218-I218-J218-K218-L218</f>
        <v>2650549.62</v>
      </c>
      <c r="I218" s="6">
        <f t="shared" si="45"/>
        <v>0</v>
      </c>
      <c r="J218" s="6">
        <v>0</v>
      </c>
      <c r="K218" s="6">
        <v>0</v>
      </c>
      <c r="L218" s="6">
        <v>0</v>
      </c>
      <c r="M218" s="6">
        <f t="shared" si="50"/>
        <v>2650549.62</v>
      </c>
      <c r="N218" s="6">
        <f t="shared" si="51"/>
        <v>0</v>
      </c>
      <c r="O218" s="6">
        <f t="shared" si="46"/>
        <v>2650549.62</v>
      </c>
      <c r="P218" s="6">
        <v>2650549.62</v>
      </c>
      <c r="Q218" s="6">
        <v>0</v>
      </c>
      <c r="R218" s="6">
        <f t="shared" si="48"/>
        <v>0</v>
      </c>
      <c r="T218"/>
    </row>
    <row r="219" spans="2:22" s="5" customFormat="1" x14ac:dyDescent="0.3">
      <c r="B219" s="5" t="s">
        <v>16</v>
      </c>
      <c r="C219" s="5" t="s">
        <v>664</v>
      </c>
      <c r="D219" s="5" t="s">
        <v>659</v>
      </c>
      <c r="E219" s="5" t="s">
        <v>486</v>
      </c>
      <c r="F219" s="5" t="s">
        <v>660</v>
      </c>
      <c r="G219" s="5" t="s">
        <v>661</v>
      </c>
      <c r="H219" s="6">
        <v>0</v>
      </c>
      <c r="I219" s="6">
        <f t="shared" si="45"/>
        <v>0</v>
      </c>
      <c r="J219" s="6">
        <v>0</v>
      </c>
      <c r="K219" s="6">
        <v>0</v>
      </c>
      <c r="L219" s="6">
        <v>0</v>
      </c>
      <c r="M219" s="6">
        <f t="shared" si="50"/>
        <v>0</v>
      </c>
      <c r="N219" s="6">
        <f t="shared" si="51"/>
        <v>0</v>
      </c>
      <c r="O219" s="6">
        <f t="shared" si="46"/>
        <v>0</v>
      </c>
      <c r="P219" s="6">
        <v>1643997.45</v>
      </c>
      <c r="Q219" s="6">
        <v>0</v>
      </c>
      <c r="R219" s="6">
        <f t="shared" si="48"/>
        <v>0</v>
      </c>
      <c r="T219"/>
    </row>
    <row r="220" spans="2:22" s="5" customFormat="1" x14ac:dyDescent="0.3">
      <c r="B220" s="5" t="s">
        <v>16</v>
      </c>
      <c r="C220" s="5" t="s">
        <v>665</v>
      </c>
      <c r="D220" s="5" t="s">
        <v>659</v>
      </c>
      <c r="E220" s="5" t="s">
        <v>81</v>
      </c>
      <c r="F220" s="5" t="s">
        <v>660</v>
      </c>
      <c r="G220" s="5" t="s">
        <v>661</v>
      </c>
      <c r="H220" s="6">
        <f>+P220-I220-J220</f>
        <v>3109378.05</v>
      </c>
      <c r="I220" s="6">
        <f t="shared" si="45"/>
        <v>0</v>
      </c>
      <c r="J220" s="6">
        <v>0</v>
      </c>
      <c r="K220" s="6">
        <v>0</v>
      </c>
      <c r="L220" s="6">
        <v>0</v>
      </c>
      <c r="M220" s="6">
        <f t="shared" si="50"/>
        <v>3109378.05</v>
      </c>
      <c r="N220" s="6">
        <f t="shared" si="51"/>
        <v>0</v>
      </c>
      <c r="O220" s="6">
        <f t="shared" si="46"/>
        <v>3109378.05</v>
      </c>
      <c r="P220" s="6">
        <v>3109378.05</v>
      </c>
      <c r="Q220" s="6">
        <v>0</v>
      </c>
      <c r="R220" s="6">
        <f t="shared" si="48"/>
        <v>0</v>
      </c>
      <c r="T220"/>
    </row>
    <row r="221" spans="2:22" s="5" customFormat="1" x14ac:dyDescent="0.3">
      <c r="B221" s="5" t="s">
        <v>16</v>
      </c>
      <c r="C221" s="5" t="s">
        <v>666</v>
      </c>
      <c r="D221" s="5" t="s">
        <v>659</v>
      </c>
      <c r="E221" s="5" t="s">
        <v>81</v>
      </c>
      <c r="F221" s="5" t="s">
        <v>660</v>
      </c>
      <c r="G221" s="5" t="s">
        <v>661</v>
      </c>
      <c r="H221" s="6">
        <f>+P221-I221-J221</f>
        <v>-7.3684209201019257E-3</v>
      </c>
      <c r="I221" s="6">
        <f t="shared" si="45"/>
        <v>1308936.9473684209</v>
      </c>
      <c r="J221" s="6">
        <v>248698.02</v>
      </c>
      <c r="K221" s="6">
        <v>0</v>
      </c>
      <c r="L221" s="6">
        <v>0</v>
      </c>
      <c r="M221" s="6">
        <f t="shared" si="50"/>
        <v>1308936.94</v>
      </c>
      <c r="N221" s="6">
        <f t="shared" si="51"/>
        <v>248698.02</v>
      </c>
      <c r="O221" s="6">
        <f t="shared" si="46"/>
        <v>1557634.96</v>
      </c>
      <c r="P221" s="6">
        <v>1557634.96</v>
      </c>
      <c r="Q221" s="6">
        <v>0</v>
      </c>
      <c r="R221" s="6">
        <f t="shared" si="48"/>
        <v>0</v>
      </c>
      <c r="T221"/>
      <c r="U221"/>
      <c r="V221"/>
    </row>
    <row r="222" spans="2:22" s="5" customFormat="1" x14ac:dyDescent="0.3">
      <c r="B222" s="5" t="s">
        <v>16</v>
      </c>
      <c r="C222" s="5" t="s">
        <v>667</v>
      </c>
      <c r="D222" s="5" t="s">
        <v>659</v>
      </c>
      <c r="E222" s="5" t="s">
        <v>549</v>
      </c>
      <c r="F222" s="5" t="s">
        <v>660</v>
      </c>
      <c r="G222" s="5" t="s">
        <v>668</v>
      </c>
      <c r="H222" s="6">
        <v>-6.8421053001657128E-3</v>
      </c>
      <c r="I222" s="6">
        <f t="shared" ref="I222:I285" si="52">+J222/19*100</f>
        <v>308478.73684210528</v>
      </c>
      <c r="J222" s="6">
        <v>58610.96</v>
      </c>
      <c r="K222" s="6">
        <v>0</v>
      </c>
      <c r="L222" s="6">
        <v>0</v>
      </c>
      <c r="M222" s="6">
        <f t="shared" si="50"/>
        <v>308478.73</v>
      </c>
      <c r="N222" s="6">
        <f t="shared" si="51"/>
        <v>58610.96</v>
      </c>
      <c r="O222" s="6">
        <f t="shared" ref="O222:O285" si="53">+M222+N222</f>
        <v>367089.69</v>
      </c>
      <c r="P222" s="6">
        <v>367089.69</v>
      </c>
      <c r="Q222" s="6">
        <f>+P222-O222</f>
        <v>0</v>
      </c>
      <c r="R222" s="6">
        <f t="shared" si="48"/>
        <v>0</v>
      </c>
      <c r="T222"/>
      <c r="V222"/>
    </row>
    <row r="223" spans="2:22" s="5" customFormat="1" x14ac:dyDescent="0.3">
      <c r="B223" s="5" t="s">
        <v>16</v>
      </c>
      <c r="C223" s="5" t="s">
        <v>669</v>
      </c>
      <c r="D223" s="5" t="s">
        <v>659</v>
      </c>
      <c r="E223" s="5" t="s">
        <v>549</v>
      </c>
      <c r="F223" s="5" t="s">
        <v>660</v>
      </c>
      <c r="G223" s="5" t="s">
        <v>668</v>
      </c>
      <c r="H223" s="6">
        <v>-6.8421053001657128E-3</v>
      </c>
      <c r="I223" s="6">
        <f t="shared" si="52"/>
        <v>308478.73684210528</v>
      </c>
      <c r="J223" s="6">
        <v>58610.96</v>
      </c>
      <c r="K223" s="6">
        <v>0</v>
      </c>
      <c r="L223" s="6">
        <v>0</v>
      </c>
      <c r="M223" s="6">
        <f t="shared" si="50"/>
        <v>308478.73</v>
      </c>
      <c r="N223" s="6">
        <f t="shared" si="51"/>
        <v>58610.96</v>
      </c>
      <c r="O223" s="6">
        <f t="shared" si="53"/>
        <v>367089.69</v>
      </c>
      <c r="P223" s="6">
        <v>367089.69</v>
      </c>
      <c r="Q223" s="6">
        <f>+P223-O223</f>
        <v>0</v>
      </c>
      <c r="R223" s="6">
        <f t="shared" si="48"/>
        <v>0</v>
      </c>
      <c r="T223"/>
      <c r="V223"/>
    </row>
    <row r="224" spans="2:22" s="5" customFormat="1" x14ac:dyDescent="0.3">
      <c r="B224" s="5" t="s">
        <v>16</v>
      </c>
      <c r="C224" s="5" t="s">
        <v>670</v>
      </c>
      <c r="D224" s="5" t="s">
        <v>659</v>
      </c>
      <c r="E224" s="5" t="s">
        <v>671</v>
      </c>
      <c r="F224" s="5" t="s">
        <v>660</v>
      </c>
      <c r="G224" s="5" t="s">
        <v>668</v>
      </c>
      <c r="H224" s="6">
        <v>1296523.2</v>
      </c>
      <c r="I224" s="6">
        <f t="shared" si="52"/>
        <v>0</v>
      </c>
      <c r="J224" s="6">
        <v>0</v>
      </c>
      <c r="K224" s="6"/>
      <c r="L224" s="6"/>
      <c r="M224" s="6">
        <f>+H224+I224</f>
        <v>1296523.2</v>
      </c>
      <c r="N224" s="6">
        <f>+J224</f>
        <v>0</v>
      </c>
      <c r="O224" s="6">
        <f t="shared" si="53"/>
        <v>1296523.2</v>
      </c>
      <c r="P224" s="6">
        <v>1296523.2</v>
      </c>
      <c r="Q224" s="6"/>
      <c r="R224" s="6">
        <f t="shared" si="48"/>
        <v>0</v>
      </c>
      <c r="T224"/>
      <c r="V224"/>
    </row>
    <row r="225" spans="2:22" s="5" customFormat="1" x14ac:dyDescent="0.3">
      <c r="B225" s="5" t="s">
        <v>16</v>
      </c>
      <c r="C225" s="5" t="s">
        <v>672</v>
      </c>
      <c r="D225" s="5" t="s">
        <v>659</v>
      </c>
      <c r="E225" s="5" t="s">
        <v>673</v>
      </c>
      <c r="F225" s="5" t="s">
        <v>660</v>
      </c>
      <c r="G225" s="5" t="s">
        <v>668</v>
      </c>
      <c r="H225" s="6">
        <f t="shared" ref="H225:H232" si="54">+P225-I225-J225</f>
        <v>2527789.84</v>
      </c>
      <c r="I225" s="6">
        <f t="shared" si="52"/>
        <v>0</v>
      </c>
      <c r="J225" s="6">
        <v>0</v>
      </c>
      <c r="K225" s="6">
        <v>0</v>
      </c>
      <c r="L225" s="6">
        <v>0</v>
      </c>
      <c r="M225" s="6">
        <f t="shared" ref="M225:M235" si="55">+H225+I225+K225</f>
        <v>2527789.84</v>
      </c>
      <c r="N225" s="6">
        <f t="shared" ref="N225:N235" si="56">+J225+L225</f>
        <v>0</v>
      </c>
      <c r="O225" s="6">
        <f t="shared" si="53"/>
        <v>2527789.84</v>
      </c>
      <c r="P225" s="6">
        <v>2527789.84</v>
      </c>
      <c r="Q225" s="6"/>
      <c r="R225" s="6">
        <f t="shared" si="48"/>
        <v>0</v>
      </c>
      <c r="T225"/>
    </row>
    <row r="226" spans="2:22" s="5" customFormat="1" x14ac:dyDescent="0.3">
      <c r="B226" s="5" t="s">
        <v>16</v>
      </c>
      <c r="C226" s="5" t="s">
        <v>674</v>
      </c>
      <c r="D226" s="5" t="s">
        <v>659</v>
      </c>
      <c r="E226" s="5" t="s">
        <v>675</v>
      </c>
      <c r="F226" s="5" t="s">
        <v>660</v>
      </c>
      <c r="G226" s="5" t="s">
        <v>668</v>
      </c>
      <c r="H226" s="6">
        <f t="shared" si="54"/>
        <v>659806.80000000005</v>
      </c>
      <c r="I226" s="6">
        <f t="shared" si="52"/>
        <v>0</v>
      </c>
      <c r="J226" s="6">
        <v>0</v>
      </c>
      <c r="K226" s="6">
        <v>0</v>
      </c>
      <c r="L226" s="6">
        <v>0</v>
      </c>
      <c r="M226" s="6">
        <f t="shared" si="55"/>
        <v>659806.80000000005</v>
      </c>
      <c r="N226" s="6">
        <f t="shared" si="56"/>
        <v>0</v>
      </c>
      <c r="O226" s="6">
        <f t="shared" si="53"/>
        <v>659806.80000000005</v>
      </c>
      <c r="P226" s="6">
        <v>659806.80000000005</v>
      </c>
      <c r="Q226" s="6">
        <v>0</v>
      </c>
      <c r="R226" s="6">
        <f t="shared" si="48"/>
        <v>0</v>
      </c>
      <c r="T226"/>
    </row>
    <row r="227" spans="2:22" s="5" customFormat="1" x14ac:dyDescent="0.3">
      <c r="B227" s="5" t="s">
        <v>16</v>
      </c>
      <c r="C227" s="5" t="s">
        <v>676</v>
      </c>
      <c r="D227" s="5" t="s">
        <v>659</v>
      </c>
      <c r="E227" s="5" t="s">
        <v>677</v>
      </c>
      <c r="F227" s="5" t="s">
        <v>660</v>
      </c>
      <c r="G227" s="5" t="s">
        <v>668</v>
      </c>
      <c r="H227" s="6">
        <f t="shared" si="54"/>
        <v>1378437.78</v>
      </c>
      <c r="I227" s="6">
        <f t="shared" si="52"/>
        <v>0</v>
      </c>
      <c r="J227" s="6">
        <v>0</v>
      </c>
      <c r="K227" s="6">
        <v>0</v>
      </c>
      <c r="L227" s="6">
        <v>0</v>
      </c>
      <c r="M227" s="6">
        <f t="shared" si="55"/>
        <v>1378437.78</v>
      </c>
      <c r="N227" s="6">
        <f t="shared" si="56"/>
        <v>0</v>
      </c>
      <c r="O227" s="6">
        <f t="shared" si="53"/>
        <v>1378437.78</v>
      </c>
      <c r="P227" s="6">
        <v>1378437.78</v>
      </c>
      <c r="Q227" s="6">
        <v>0</v>
      </c>
      <c r="R227" s="6">
        <f t="shared" si="48"/>
        <v>0</v>
      </c>
      <c r="T227"/>
    </row>
    <row r="228" spans="2:22" s="5" customFormat="1" x14ac:dyDescent="0.3">
      <c r="B228" s="5" t="s">
        <v>16</v>
      </c>
      <c r="C228" s="5" t="s">
        <v>678</v>
      </c>
      <c r="D228" s="5" t="s">
        <v>659</v>
      </c>
      <c r="E228" s="5" t="s">
        <v>152</v>
      </c>
      <c r="F228" s="5" t="s">
        <v>660</v>
      </c>
      <c r="G228" s="5" t="s">
        <v>668</v>
      </c>
      <c r="H228" s="6">
        <f t="shared" si="54"/>
        <v>1566250.46</v>
      </c>
      <c r="I228" s="6">
        <f t="shared" si="52"/>
        <v>0</v>
      </c>
      <c r="J228" s="6">
        <v>0</v>
      </c>
      <c r="K228" s="6">
        <v>0</v>
      </c>
      <c r="L228" s="6">
        <v>0</v>
      </c>
      <c r="M228" s="6">
        <f t="shared" si="55"/>
        <v>1566250.46</v>
      </c>
      <c r="N228" s="6">
        <f t="shared" si="56"/>
        <v>0</v>
      </c>
      <c r="O228" s="6">
        <f t="shared" si="53"/>
        <v>1566250.46</v>
      </c>
      <c r="P228" s="6">
        <v>1566250.46</v>
      </c>
      <c r="Q228" s="6">
        <v>0</v>
      </c>
      <c r="R228" s="6">
        <f t="shared" si="48"/>
        <v>0</v>
      </c>
      <c r="T228"/>
    </row>
    <row r="229" spans="2:22" s="5" customFormat="1" x14ac:dyDescent="0.3">
      <c r="B229" s="5" t="s">
        <v>16</v>
      </c>
      <c r="C229" s="5" t="s">
        <v>679</v>
      </c>
      <c r="D229" s="5" t="s">
        <v>659</v>
      </c>
      <c r="E229" s="5" t="s">
        <v>152</v>
      </c>
      <c r="F229" s="5" t="s">
        <v>660</v>
      </c>
      <c r="G229" s="5" t="s">
        <v>668</v>
      </c>
      <c r="H229" s="6">
        <f t="shared" si="54"/>
        <v>352641.84</v>
      </c>
      <c r="I229" s="6">
        <f t="shared" si="52"/>
        <v>0</v>
      </c>
      <c r="J229" s="6">
        <v>0</v>
      </c>
      <c r="K229" s="6">
        <v>0</v>
      </c>
      <c r="L229" s="6">
        <v>0</v>
      </c>
      <c r="M229" s="6">
        <f t="shared" si="55"/>
        <v>352641.84</v>
      </c>
      <c r="N229" s="6">
        <f t="shared" si="56"/>
        <v>0</v>
      </c>
      <c r="O229" s="6">
        <f t="shared" si="53"/>
        <v>352641.84</v>
      </c>
      <c r="P229" s="6">
        <v>352641.84</v>
      </c>
      <c r="Q229" s="6">
        <v>0</v>
      </c>
      <c r="R229" s="6">
        <f t="shared" si="48"/>
        <v>0</v>
      </c>
      <c r="T229"/>
      <c r="U229"/>
      <c r="V229"/>
    </row>
    <row r="230" spans="2:22" s="5" customFormat="1" x14ac:dyDescent="0.3">
      <c r="B230" s="5" t="s">
        <v>16</v>
      </c>
      <c r="C230" s="5" t="s">
        <v>680</v>
      </c>
      <c r="D230" s="5" t="s">
        <v>659</v>
      </c>
      <c r="E230" s="5" t="s">
        <v>681</v>
      </c>
      <c r="F230" s="5" t="s">
        <v>660</v>
      </c>
      <c r="G230" s="5" t="s">
        <v>668</v>
      </c>
      <c r="H230" s="6">
        <f t="shared" si="54"/>
        <v>205707.74</v>
      </c>
      <c r="I230" s="6">
        <f t="shared" si="52"/>
        <v>0</v>
      </c>
      <c r="J230" s="6">
        <v>0</v>
      </c>
      <c r="K230" s="6">
        <v>0</v>
      </c>
      <c r="L230" s="6">
        <v>0</v>
      </c>
      <c r="M230" s="6">
        <f t="shared" si="55"/>
        <v>205707.74</v>
      </c>
      <c r="N230" s="6">
        <f t="shared" si="56"/>
        <v>0</v>
      </c>
      <c r="O230" s="6">
        <f t="shared" si="53"/>
        <v>205707.74</v>
      </c>
      <c r="P230" s="6">
        <v>205707.74</v>
      </c>
      <c r="Q230" s="6">
        <v>0</v>
      </c>
      <c r="R230" s="6">
        <f t="shared" si="48"/>
        <v>0</v>
      </c>
      <c r="T230"/>
      <c r="U230"/>
      <c r="V230"/>
    </row>
    <row r="231" spans="2:22" s="5" customFormat="1" x14ac:dyDescent="0.3">
      <c r="B231" s="5" t="s">
        <v>16</v>
      </c>
      <c r="C231" s="5" t="s">
        <v>682</v>
      </c>
      <c r="D231" s="5" t="s">
        <v>306</v>
      </c>
      <c r="E231" s="5" t="s">
        <v>439</v>
      </c>
      <c r="F231" s="5" t="s">
        <v>303</v>
      </c>
      <c r="G231" s="5" t="s">
        <v>304</v>
      </c>
      <c r="H231" s="6">
        <f t="shared" si="54"/>
        <v>-2.3684208281338215E-2</v>
      </c>
      <c r="I231" s="6">
        <f t="shared" si="52"/>
        <v>13198134.473684208</v>
      </c>
      <c r="J231" s="6">
        <v>2507645.5499999998</v>
      </c>
      <c r="K231" s="6">
        <v>0</v>
      </c>
      <c r="L231" s="6">
        <v>0</v>
      </c>
      <c r="M231" s="6">
        <f t="shared" si="55"/>
        <v>13198134.449999999</v>
      </c>
      <c r="N231" s="6">
        <f t="shared" si="56"/>
        <v>2507645.5499999998</v>
      </c>
      <c r="O231" s="6">
        <f t="shared" si="53"/>
        <v>15705780</v>
      </c>
      <c r="P231" s="6">
        <v>15705780</v>
      </c>
      <c r="Q231" s="6">
        <f>+M231</f>
        <v>13198134.449999999</v>
      </c>
      <c r="R231" s="6">
        <f t="shared" si="48"/>
        <v>329953.36125000002</v>
      </c>
      <c r="S231"/>
      <c r="T231"/>
      <c r="U231"/>
      <c r="V231"/>
    </row>
    <row r="232" spans="2:22" s="5" customFormat="1" x14ac:dyDescent="0.3">
      <c r="B232" s="5" t="s">
        <v>16</v>
      </c>
      <c r="C232" s="5" t="s">
        <v>683</v>
      </c>
      <c r="D232" s="5" t="s">
        <v>306</v>
      </c>
      <c r="E232" s="5" t="s">
        <v>212</v>
      </c>
      <c r="F232" s="5" t="s">
        <v>303</v>
      </c>
      <c r="G232" s="5" t="s">
        <v>304</v>
      </c>
      <c r="H232" s="6">
        <f t="shared" si="54"/>
        <v>-1.0526317171752453E-2</v>
      </c>
      <c r="I232" s="6">
        <f t="shared" si="52"/>
        <v>17145504.210526317</v>
      </c>
      <c r="J232" s="6">
        <v>3257645.8</v>
      </c>
      <c r="K232" s="6">
        <v>0</v>
      </c>
      <c r="L232" s="6">
        <v>0</v>
      </c>
      <c r="M232" s="6">
        <f t="shared" si="55"/>
        <v>17145504.199999999</v>
      </c>
      <c r="N232" s="6">
        <f t="shared" si="56"/>
        <v>3257645.8</v>
      </c>
      <c r="O232" s="6">
        <f t="shared" si="53"/>
        <v>20403150</v>
      </c>
      <c r="P232" s="6">
        <v>20403150</v>
      </c>
      <c r="Q232" s="6">
        <f>+M232</f>
        <v>17145504.199999999</v>
      </c>
      <c r="R232" s="6">
        <f t="shared" si="48"/>
        <v>428637.60499999998</v>
      </c>
      <c r="S232"/>
      <c r="T232"/>
      <c r="U232"/>
      <c r="V232"/>
    </row>
    <row r="233" spans="2:22" s="5" customFormat="1" x14ac:dyDescent="0.3">
      <c r="B233" s="5" t="s">
        <v>16</v>
      </c>
      <c r="C233" s="5" t="s">
        <v>684</v>
      </c>
      <c r="D233" s="5" t="s">
        <v>417</v>
      </c>
      <c r="E233" s="5" t="s">
        <v>418</v>
      </c>
      <c r="F233" s="5" t="s">
        <v>76</v>
      </c>
      <c r="G233" s="5" t="s">
        <v>419</v>
      </c>
      <c r="H233" s="6">
        <f>+P233-I233-J233-K233-L233</f>
        <v>1.2631578836590052E-2</v>
      </c>
      <c r="I233" s="6">
        <f t="shared" si="52"/>
        <v>3599394.9473684211</v>
      </c>
      <c r="J233" s="6">
        <v>683885.04</v>
      </c>
      <c r="K233" s="6">
        <v>0</v>
      </c>
      <c r="L233" s="6">
        <v>0</v>
      </c>
      <c r="M233" s="6">
        <f t="shared" si="55"/>
        <v>3599394.96</v>
      </c>
      <c r="N233" s="6">
        <f t="shared" si="56"/>
        <v>683885.04</v>
      </c>
      <c r="O233" s="6">
        <f t="shared" si="53"/>
        <v>4283280</v>
      </c>
      <c r="P233" s="6">
        <v>4283280</v>
      </c>
      <c r="Q233" s="6">
        <f>+M233-3599395</f>
        <v>-4.0000000037252903E-2</v>
      </c>
      <c r="R233" s="6">
        <f t="shared" si="48"/>
        <v>-1.0000000009313225E-3</v>
      </c>
      <c r="S233"/>
      <c r="T233"/>
    </row>
    <row r="234" spans="2:22" s="5" customFormat="1" x14ac:dyDescent="0.3">
      <c r="B234" s="5" t="s">
        <v>16</v>
      </c>
      <c r="C234" s="5" t="s">
        <v>685</v>
      </c>
      <c r="D234" s="5" t="s">
        <v>686</v>
      </c>
      <c r="E234" s="5" t="s">
        <v>687</v>
      </c>
      <c r="F234" s="5" t="s">
        <v>688</v>
      </c>
      <c r="G234" s="5" t="s">
        <v>689</v>
      </c>
      <c r="H234" s="6">
        <v>6.3157894732430577</v>
      </c>
      <c r="I234" s="6">
        <f t="shared" si="52"/>
        <v>6637273.6842105268</v>
      </c>
      <c r="J234" s="6">
        <v>1261082</v>
      </c>
      <c r="K234" s="6">
        <v>0</v>
      </c>
      <c r="L234" s="6">
        <v>0</v>
      </c>
      <c r="M234" s="6">
        <f t="shared" si="55"/>
        <v>6637280</v>
      </c>
      <c r="N234" s="6">
        <f t="shared" si="56"/>
        <v>1261082</v>
      </c>
      <c r="O234" s="6">
        <f t="shared" si="53"/>
        <v>7898362</v>
      </c>
      <c r="P234" s="6">
        <v>7898362</v>
      </c>
      <c r="Q234" s="6">
        <f>+P234-O234</f>
        <v>0</v>
      </c>
      <c r="R234" s="6">
        <f t="shared" si="48"/>
        <v>0</v>
      </c>
      <c r="T234"/>
    </row>
    <row r="235" spans="2:22" s="5" customFormat="1" x14ac:dyDescent="0.3">
      <c r="B235" s="5" t="s">
        <v>16</v>
      </c>
      <c r="C235" s="5" t="s">
        <v>690</v>
      </c>
      <c r="D235" s="5" t="s">
        <v>686</v>
      </c>
      <c r="E235" s="5" t="s">
        <v>230</v>
      </c>
      <c r="F235" s="5" t="s">
        <v>688</v>
      </c>
      <c r="G235" s="5" t="s">
        <v>689</v>
      </c>
      <c r="H235" s="6">
        <v>-73819.47368421033</v>
      </c>
      <c r="I235" s="6">
        <f t="shared" si="52"/>
        <v>959689.47368421045</v>
      </c>
      <c r="J235" s="6">
        <v>182341</v>
      </c>
      <c r="K235" s="6">
        <v>0</v>
      </c>
      <c r="L235" s="6">
        <v>0</v>
      </c>
      <c r="M235" s="6">
        <f t="shared" si="55"/>
        <v>885870.00000000012</v>
      </c>
      <c r="N235" s="6">
        <f t="shared" si="56"/>
        <v>182341</v>
      </c>
      <c r="O235" s="6">
        <f t="shared" si="53"/>
        <v>1068211</v>
      </c>
      <c r="P235" s="6">
        <v>1068211</v>
      </c>
      <c r="Q235" s="6">
        <f>+P235-O235</f>
        <v>0</v>
      </c>
      <c r="R235" s="6">
        <f t="shared" si="48"/>
        <v>0</v>
      </c>
      <c r="T235"/>
    </row>
    <row r="236" spans="2:22" s="5" customFormat="1" x14ac:dyDescent="0.3">
      <c r="B236" s="5" t="s">
        <v>16</v>
      </c>
      <c r="C236" s="5" t="s">
        <v>691</v>
      </c>
      <c r="D236" s="5" t="s">
        <v>686</v>
      </c>
      <c r="E236" s="5" t="s">
        <v>692</v>
      </c>
      <c r="F236" s="5" t="s">
        <v>688</v>
      </c>
      <c r="G236" s="5" t="s">
        <v>689</v>
      </c>
      <c r="H236" s="6">
        <v>-8.368421052582562</v>
      </c>
      <c r="I236" s="6">
        <f t="shared" si="52"/>
        <v>6072647.3684210526</v>
      </c>
      <c r="J236" s="6">
        <v>1153803</v>
      </c>
      <c r="K236" s="6"/>
      <c r="L236" s="6"/>
      <c r="M236" s="6">
        <f>+H236+I236</f>
        <v>6072639</v>
      </c>
      <c r="N236" s="6">
        <f>+J236</f>
        <v>1153803</v>
      </c>
      <c r="O236" s="6">
        <f t="shared" si="53"/>
        <v>7226442</v>
      </c>
      <c r="P236" s="6">
        <v>7226442</v>
      </c>
      <c r="Q236" s="6"/>
      <c r="R236" s="6">
        <f t="shared" si="48"/>
        <v>0</v>
      </c>
      <c r="T236"/>
      <c r="U236" s="7"/>
      <c r="V236" s="7"/>
    </row>
    <row r="237" spans="2:22" s="5" customFormat="1" x14ac:dyDescent="0.3">
      <c r="B237" s="5" t="s">
        <v>16</v>
      </c>
      <c r="C237" s="5" t="s">
        <v>693</v>
      </c>
      <c r="D237" s="5" t="s">
        <v>686</v>
      </c>
      <c r="E237" s="5" t="s">
        <v>694</v>
      </c>
      <c r="F237" s="5" t="s">
        <v>688</v>
      </c>
      <c r="G237" s="5" t="s">
        <v>689</v>
      </c>
      <c r="H237" s="6">
        <v>0.57894736854359508</v>
      </c>
      <c r="I237" s="6">
        <f t="shared" si="52"/>
        <v>2537068.4210526315</v>
      </c>
      <c r="J237" s="6">
        <v>482043</v>
      </c>
      <c r="K237" s="6"/>
      <c r="L237" s="6"/>
      <c r="M237" s="6">
        <f>+H237+I237</f>
        <v>2537069</v>
      </c>
      <c r="N237" s="6">
        <f>+J237</f>
        <v>482043</v>
      </c>
      <c r="O237" s="6">
        <f t="shared" si="53"/>
        <v>3019112</v>
      </c>
      <c r="P237" s="6">
        <v>3019112</v>
      </c>
      <c r="Q237" s="6"/>
      <c r="R237" s="6">
        <f t="shared" si="48"/>
        <v>0</v>
      </c>
      <c r="S237"/>
      <c r="T237"/>
      <c r="U237" s="7"/>
      <c r="V237" s="7"/>
    </row>
    <row r="238" spans="2:22" s="5" customFormat="1" x14ac:dyDescent="0.3">
      <c r="B238" s="7" t="s">
        <v>16</v>
      </c>
      <c r="C238" s="7" t="s">
        <v>695</v>
      </c>
      <c r="D238" s="7" t="s">
        <v>686</v>
      </c>
      <c r="E238" s="7" t="s">
        <v>696</v>
      </c>
      <c r="F238" s="7" t="s">
        <v>688</v>
      </c>
      <c r="G238" s="7" t="s">
        <v>689</v>
      </c>
      <c r="H238" s="8">
        <f t="shared" ref="H238:H260" si="57">+P238-I238-J238</f>
        <v>-2.9473684215918183</v>
      </c>
      <c r="I238" s="8">
        <f t="shared" si="52"/>
        <v>8033278.9473684216</v>
      </c>
      <c r="J238" s="8">
        <v>1526323</v>
      </c>
      <c r="K238" s="8">
        <v>0</v>
      </c>
      <c r="L238" s="8">
        <v>0</v>
      </c>
      <c r="M238" s="8">
        <f>+I238+H238</f>
        <v>8033276</v>
      </c>
      <c r="N238" s="8">
        <f t="shared" ref="N238:N243" si="58">+J238+L238</f>
        <v>1526323</v>
      </c>
      <c r="O238" s="8">
        <f t="shared" si="53"/>
        <v>9559599</v>
      </c>
      <c r="P238" s="8">
        <v>9559599</v>
      </c>
      <c r="Q238" s="8">
        <v>0</v>
      </c>
      <c r="R238" s="8">
        <f t="shared" si="48"/>
        <v>0</v>
      </c>
      <c r="T238"/>
      <c r="U238" s="7"/>
      <c r="V238" s="7"/>
    </row>
    <row r="239" spans="2:22" x14ac:dyDescent="0.3">
      <c r="B239" s="7" t="s">
        <v>16</v>
      </c>
      <c r="C239" s="7" t="s">
        <v>697</v>
      </c>
      <c r="D239" s="7" t="s">
        <v>686</v>
      </c>
      <c r="E239" s="7" t="s">
        <v>698</v>
      </c>
      <c r="F239" s="7" t="s">
        <v>688</v>
      </c>
      <c r="G239" s="7" t="s">
        <v>689</v>
      </c>
      <c r="H239" s="8">
        <f t="shared" si="57"/>
        <v>-86562.210526315495</v>
      </c>
      <c r="I239" s="8">
        <f t="shared" si="52"/>
        <v>2250584.2105263155</v>
      </c>
      <c r="J239" s="8">
        <v>427611</v>
      </c>
      <c r="K239" s="8">
        <v>0</v>
      </c>
      <c r="L239" s="8">
        <v>0</v>
      </c>
      <c r="M239" s="8">
        <f>+I239+H239</f>
        <v>2164022</v>
      </c>
      <c r="N239" s="8">
        <f t="shared" si="58"/>
        <v>427611</v>
      </c>
      <c r="O239" s="8">
        <f t="shared" si="53"/>
        <v>2591633</v>
      </c>
      <c r="P239" s="8">
        <v>2591633</v>
      </c>
      <c r="Q239" s="8">
        <v>0</v>
      </c>
      <c r="R239" s="8">
        <f t="shared" si="48"/>
        <v>0</v>
      </c>
      <c r="S239" s="5"/>
      <c r="U239" s="7"/>
      <c r="V239" s="7"/>
    </row>
    <row r="240" spans="2:22" s="5" customFormat="1" x14ac:dyDescent="0.3">
      <c r="B240" s="7" t="s">
        <v>16</v>
      </c>
      <c r="C240" s="7" t="s">
        <v>699</v>
      </c>
      <c r="D240" s="7" t="s">
        <v>686</v>
      </c>
      <c r="E240" s="7" t="s">
        <v>700</v>
      </c>
      <c r="F240" s="7" t="s">
        <v>688</v>
      </c>
      <c r="G240" s="7" t="s">
        <v>689</v>
      </c>
      <c r="H240" s="8">
        <f t="shared" si="57"/>
        <v>-73818.473684210447</v>
      </c>
      <c r="I240" s="8">
        <f t="shared" si="52"/>
        <v>959689.47368421045</v>
      </c>
      <c r="J240" s="8">
        <v>182341</v>
      </c>
      <c r="K240" s="8">
        <v>0</v>
      </c>
      <c r="L240" s="8">
        <v>0</v>
      </c>
      <c r="M240" s="8">
        <f>+I240+H240</f>
        <v>885871</v>
      </c>
      <c r="N240" s="8">
        <f t="shared" si="58"/>
        <v>182341</v>
      </c>
      <c r="O240" s="8">
        <f t="shared" si="53"/>
        <v>1068212</v>
      </c>
      <c r="P240" s="8">
        <v>1068212</v>
      </c>
      <c r="Q240" s="8">
        <v>0</v>
      </c>
      <c r="R240" s="8">
        <f t="shared" si="48"/>
        <v>0</v>
      </c>
      <c r="T240"/>
      <c r="U240" s="7"/>
      <c r="V240" s="7"/>
    </row>
    <row r="241" spans="2:22" s="5" customFormat="1" x14ac:dyDescent="0.3">
      <c r="B241" s="7" t="s">
        <v>16</v>
      </c>
      <c r="C241" s="7" t="s">
        <v>701</v>
      </c>
      <c r="D241" s="7" t="s">
        <v>686</v>
      </c>
      <c r="E241" s="7" t="s">
        <v>105</v>
      </c>
      <c r="F241" s="7" t="s">
        <v>688</v>
      </c>
      <c r="G241" s="7" t="s">
        <v>689</v>
      </c>
      <c r="H241" s="8">
        <f t="shared" si="57"/>
        <v>-6.684210526291281</v>
      </c>
      <c r="I241" s="8">
        <f t="shared" si="52"/>
        <v>950573.68421052629</v>
      </c>
      <c r="J241" s="8">
        <v>180609</v>
      </c>
      <c r="K241" s="8">
        <v>0</v>
      </c>
      <c r="L241" s="8">
        <v>0</v>
      </c>
      <c r="M241" s="8">
        <f>+I241+H241</f>
        <v>950567</v>
      </c>
      <c r="N241" s="8">
        <f t="shared" si="58"/>
        <v>180609</v>
      </c>
      <c r="O241" s="8">
        <f t="shared" si="53"/>
        <v>1131176</v>
      </c>
      <c r="P241" s="8">
        <v>1131176</v>
      </c>
      <c r="Q241" s="8">
        <v>0</v>
      </c>
      <c r="R241" s="8">
        <f t="shared" si="48"/>
        <v>0</v>
      </c>
      <c r="S241"/>
      <c r="T241"/>
      <c r="U241" s="7"/>
      <c r="V241" s="7"/>
    </row>
    <row r="242" spans="2:22" s="5" customFormat="1" x14ac:dyDescent="0.3">
      <c r="B242" s="5" t="s">
        <v>16</v>
      </c>
      <c r="C242" s="5" t="s">
        <v>702</v>
      </c>
      <c r="D242" s="5" t="s">
        <v>686</v>
      </c>
      <c r="E242" s="5" t="s">
        <v>324</v>
      </c>
      <c r="F242" s="5" t="s">
        <v>688</v>
      </c>
      <c r="G242" s="5" t="s">
        <v>689</v>
      </c>
      <c r="H242" s="6">
        <f t="shared" si="57"/>
        <v>-73819.473684210447</v>
      </c>
      <c r="I242" s="6">
        <f t="shared" si="52"/>
        <v>959689.47368421045</v>
      </c>
      <c r="J242" s="6">
        <v>182341</v>
      </c>
      <c r="K242" s="6">
        <v>0</v>
      </c>
      <c r="L242" s="6">
        <v>0</v>
      </c>
      <c r="M242" s="6">
        <f t="shared" ref="M242:M271" si="59">+H242+I242+K242</f>
        <v>885870</v>
      </c>
      <c r="N242" s="6">
        <f t="shared" si="58"/>
        <v>182341</v>
      </c>
      <c r="O242" s="6">
        <f t="shared" si="53"/>
        <v>1068211</v>
      </c>
      <c r="P242" s="6">
        <v>1068211</v>
      </c>
      <c r="Q242" s="6"/>
      <c r="R242" s="6">
        <f t="shared" si="48"/>
        <v>0</v>
      </c>
      <c r="T242"/>
      <c r="U242" s="7"/>
      <c r="V242" s="7"/>
    </row>
    <row r="243" spans="2:22" s="5" customFormat="1" x14ac:dyDescent="0.3">
      <c r="B243" s="5" t="s">
        <v>16</v>
      </c>
      <c r="C243" s="5" t="s">
        <v>703</v>
      </c>
      <c r="D243" s="5" t="s">
        <v>686</v>
      </c>
      <c r="E243" s="5" t="s">
        <v>324</v>
      </c>
      <c r="F243" s="5" t="s">
        <v>688</v>
      </c>
      <c r="G243" s="5" t="s">
        <v>689</v>
      </c>
      <c r="H243" s="6">
        <f t="shared" si="57"/>
        <v>-10.368421052582562</v>
      </c>
      <c r="I243" s="6">
        <f t="shared" si="52"/>
        <v>2903547.3684210526</v>
      </c>
      <c r="J243" s="6">
        <v>551674</v>
      </c>
      <c r="K243" s="6">
        <v>0</v>
      </c>
      <c r="L243" s="6">
        <v>0</v>
      </c>
      <c r="M243" s="6">
        <f t="shared" si="59"/>
        <v>2903537</v>
      </c>
      <c r="N243" s="6">
        <f t="shared" si="58"/>
        <v>551674</v>
      </c>
      <c r="O243" s="6">
        <f t="shared" si="53"/>
        <v>3455211</v>
      </c>
      <c r="P243" s="6">
        <v>3455211</v>
      </c>
      <c r="Q243" s="6"/>
      <c r="R243" s="6">
        <f t="shared" si="48"/>
        <v>0</v>
      </c>
      <c r="T243"/>
      <c r="U243" s="7"/>
      <c r="V243" s="7"/>
    </row>
    <row r="244" spans="2:22" s="5" customFormat="1" x14ac:dyDescent="0.3">
      <c r="B244" s="5" t="s">
        <v>16</v>
      </c>
      <c r="C244" s="5" t="s">
        <v>704</v>
      </c>
      <c r="D244" s="5" t="s">
        <v>686</v>
      </c>
      <c r="E244" s="5" t="s">
        <v>559</v>
      </c>
      <c r="F244" s="5" t="s">
        <v>688</v>
      </c>
      <c r="G244" s="5" t="s">
        <v>689</v>
      </c>
      <c r="H244" s="6">
        <f t="shared" si="57"/>
        <v>-6.4210526315728202</v>
      </c>
      <c r="I244" s="6">
        <f t="shared" si="52"/>
        <v>622568.42105263157</v>
      </c>
      <c r="J244" s="6">
        <v>118288</v>
      </c>
      <c r="K244" s="6">
        <v>0</v>
      </c>
      <c r="L244" s="6">
        <v>0</v>
      </c>
      <c r="M244" s="6">
        <f t="shared" si="59"/>
        <v>622562</v>
      </c>
      <c r="N244" s="6">
        <f>J244+L244</f>
        <v>118288</v>
      </c>
      <c r="O244" s="6">
        <f t="shared" si="53"/>
        <v>740850</v>
      </c>
      <c r="P244" s="6">
        <v>740850</v>
      </c>
      <c r="Q244" s="6">
        <v>0</v>
      </c>
      <c r="R244" s="6">
        <f t="shared" ref="R244:R307" si="60">+Q244*2.5/100</f>
        <v>0</v>
      </c>
      <c r="T244"/>
      <c r="U244"/>
      <c r="V244"/>
    </row>
    <row r="245" spans="2:22" s="5" customFormat="1" x14ac:dyDescent="0.3">
      <c r="B245" s="5" t="s">
        <v>16</v>
      </c>
      <c r="C245" s="5" t="s">
        <v>705</v>
      </c>
      <c r="D245" s="5" t="s">
        <v>686</v>
      </c>
      <c r="E245" s="5" t="s">
        <v>706</v>
      </c>
      <c r="F245" s="5" t="s">
        <v>688</v>
      </c>
      <c r="G245" s="5" t="s">
        <v>689</v>
      </c>
      <c r="H245" s="6">
        <f t="shared" si="57"/>
        <v>-54728.157894737087</v>
      </c>
      <c r="I245" s="6">
        <f t="shared" si="52"/>
        <v>2141263.1578947371</v>
      </c>
      <c r="J245" s="6">
        <v>406840</v>
      </c>
      <c r="K245" s="6">
        <v>0</v>
      </c>
      <c r="L245" s="6">
        <v>0</v>
      </c>
      <c r="M245" s="6">
        <f t="shared" si="59"/>
        <v>2086535</v>
      </c>
      <c r="N245" s="6">
        <f>J245+L245</f>
        <v>406840</v>
      </c>
      <c r="O245" s="6">
        <f t="shared" si="53"/>
        <v>2493375</v>
      </c>
      <c r="P245" s="6">
        <v>2493375</v>
      </c>
      <c r="Q245" s="6">
        <v>0</v>
      </c>
      <c r="R245" s="6">
        <f t="shared" si="60"/>
        <v>0</v>
      </c>
      <c r="T245"/>
    </row>
    <row r="246" spans="2:22" s="5" customFormat="1" x14ac:dyDescent="0.3">
      <c r="B246" s="5" t="s">
        <v>16</v>
      </c>
      <c r="C246" s="5" t="s">
        <v>707</v>
      </c>
      <c r="D246" s="5" t="s">
        <v>686</v>
      </c>
      <c r="E246" s="5" t="s">
        <v>708</v>
      </c>
      <c r="F246" s="5" t="s">
        <v>688</v>
      </c>
      <c r="G246" s="5" t="s">
        <v>689</v>
      </c>
      <c r="H246" s="6">
        <f t="shared" si="57"/>
        <v>2.1052631577476859</v>
      </c>
      <c r="I246" s="6">
        <f t="shared" si="52"/>
        <v>6145957.8947368423</v>
      </c>
      <c r="J246" s="6">
        <v>1167732</v>
      </c>
      <c r="K246" s="6">
        <v>0</v>
      </c>
      <c r="L246" s="6">
        <v>0</v>
      </c>
      <c r="M246" s="6">
        <f t="shared" si="59"/>
        <v>6145960</v>
      </c>
      <c r="N246" s="6">
        <f>J246+L246</f>
        <v>1167732</v>
      </c>
      <c r="O246" s="6">
        <f t="shared" si="53"/>
        <v>7313692</v>
      </c>
      <c r="P246" s="6">
        <v>7313692</v>
      </c>
      <c r="Q246" s="6">
        <v>0</v>
      </c>
      <c r="R246" s="6">
        <f t="shared" si="60"/>
        <v>0</v>
      </c>
      <c r="T246"/>
    </row>
    <row r="247" spans="2:22" s="5" customFormat="1" x14ac:dyDescent="0.3">
      <c r="B247" s="5" t="s">
        <v>16</v>
      </c>
      <c r="C247" s="5" t="s">
        <v>709</v>
      </c>
      <c r="D247" s="5" t="s">
        <v>686</v>
      </c>
      <c r="E247" s="5" t="s">
        <v>298</v>
      </c>
      <c r="F247" s="5" t="s">
        <v>688</v>
      </c>
      <c r="G247" s="5" t="s">
        <v>689</v>
      </c>
      <c r="H247" s="6">
        <f t="shared" si="57"/>
        <v>-277451.31578947417</v>
      </c>
      <c r="I247" s="6">
        <f t="shared" si="52"/>
        <v>5691826.3157894742</v>
      </c>
      <c r="J247" s="6">
        <v>1081447</v>
      </c>
      <c r="K247" s="6">
        <v>0</v>
      </c>
      <c r="L247" s="6">
        <v>0</v>
      </c>
      <c r="M247" s="6">
        <f t="shared" si="59"/>
        <v>5414375</v>
      </c>
      <c r="N247" s="6">
        <f t="shared" ref="N247:N271" si="61">+J247+L247</f>
        <v>1081447</v>
      </c>
      <c r="O247" s="6">
        <f t="shared" si="53"/>
        <v>6495822</v>
      </c>
      <c r="P247" s="6">
        <v>6495822</v>
      </c>
      <c r="Q247" s="6">
        <v>0</v>
      </c>
      <c r="R247" s="6">
        <f t="shared" si="60"/>
        <v>0</v>
      </c>
      <c r="S247"/>
      <c r="T247"/>
    </row>
    <row r="248" spans="2:22" s="5" customFormat="1" x14ac:dyDescent="0.3">
      <c r="B248" s="5" t="s">
        <v>16</v>
      </c>
      <c r="C248" s="5" t="s">
        <v>710</v>
      </c>
      <c r="D248" s="5" t="s">
        <v>686</v>
      </c>
      <c r="E248" s="5" t="s">
        <v>677</v>
      </c>
      <c r="F248" s="5" t="s">
        <v>688</v>
      </c>
      <c r="G248" s="5" t="s">
        <v>689</v>
      </c>
      <c r="H248" s="6">
        <f t="shared" si="57"/>
        <v>-0.21052631584461778</v>
      </c>
      <c r="I248" s="6">
        <f t="shared" si="52"/>
        <v>830984.21052631584</v>
      </c>
      <c r="J248" s="6">
        <v>157887</v>
      </c>
      <c r="K248" s="6">
        <v>0</v>
      </c>
      <c r="L248" s="6">
        <v>0</v>
      </c>
      <c r="M248" s="6">
        <f t="shared" si="59"/>
        <v>830984</v>
      </c>
      <c r="N248" s="6">
        <f t="shared" si="61"/>
        <v>157887</v>
      </c>
      <c r="O248" s="6">
        <f t="shared" si="53"/>
        <v>988871</v>
      </c>
      <c r="P248" s="6">
        <v>988871</v>
      </c>
      <c r="Q248" s="6">
        <v>0</v>
      </c>
      <c r="R248" s="6">
        <f t="shared" si="60"/>
        <v>0</v>
      </c>
      <c r="T248"/>
    </row>
    <row r="249" spans="2:22" s="5" customFormat="1" x14ac:dyDescent="0.3">
      <c r="B249" s="5" t="s">
        <v>16</v>
      </c>
      <c r="C249" s="5" t="s">
        <v>711</v>
      </c>
      <c r="D249" s="5" t="s">
        <v>686</v>
      </c>
      <c r="E249" s="5" t="s">
        <v>177</v>
      </c>
      <c r="F249" s="5" t="s">
        <v>688</v>
      </c>
      <c r="G249" s="5" t="s">
        <v>689</v>
      </c>
      <c r="H249" s="6">
        <f t="shared" si="57"/>
        <v>-8.6842105258256197</v>
      </c>
      <c r="I249" s="6">
        <f t="shared" si="52"/>
        <v>4522373.6842105258</v>
      </c>
      <c r="J249" s="6">
        <v>859251</v>
      </c>
      <c r="K249" s="6">
        <v>0</v>
      </c>
      <c r="L249" s="6">
        <v>0</v>
      </c>
      <c r="M249" s="6">
        <f t="shared" si="59"/>
        <v>4522365</v>
      </c>
      <c r="N249" s="6">
        <f t="shared" si="61"/>
        <v>859251</v>
      </c>
      <c r="O249" s="6">
        <f t="shared" si="53"/>
        <v>5381616</v>
      </c>
      <c r="P249" s="6">
        <v>5381616</v>
      </c>
      <c r="Q249" s="6">
        <v>0</v>
      </c>
      <c r="R249" s="6">
        <f t="shared" si="60"/>
        <v>0</v>
      </c>
      <c r="T249"/>
    </row>
    <row r="250" spans="2:22" s="5" customFormat="1" x14ac:dyDescent="0.3">
      <c r="B250" s="5" t="s">
        <v>16</v>
      </c>
      <c r="C250" s="5" t="s">
        <v>712</v>
      </c>
      <c r="D250" s="5" t="s">
        <v>686</v>
      </c>
      <c r="E250" s="5" t="s">
        <v>713</v>
      </c>
      <c r="F250" s="5" t="s">
        <v>688</v>
      </c>
      <c r="G250" s="5" t="s">
        <v>689</v>
      </c>
      <c r="H250" s="6">
        <f t="shared" si="57"/>
        <v>0.57894736842717975</v>
      </c>
      <c r="I250" s="6">
        <f t="shared" si="52"/>
        <v>340668.42105263157</v>
      </c>
      <c r="J250" s="6">
        <v>64727</v>
      </c>
      <c r="K250" s="6">
        <v>0</v>
      </c>
      <c r="L250" s="6">
        <v>0</v>
      </c>
      <c r="M250" s="6">
        <f t="shared" si="59"/>
        <v>340669</v>
      </c>
      <c r="N250" s="6">
        <f t="shared" si="61"/>
        <v>64727</v>
      </c>
      <c r="O250" s="6">
        <f t="shared" si="53"/>
        <v>405396</v>
      </c>
      <c r="P250" s="6">
        <v>405396</v>
      </c>
      <c r="Q250" s="6">
        <v>0</v>
      </c>
      <c r="R250" s="6">
        <f t="shared" si="60"/>
        <v>0</v>
      </c>
      <c r="S250"/>
      <c r="T250"/>
    </row>
    <row r="251" spans="2:22" x14ac:dyDescent="0.3">
      <c r="B251" s="5" t="s">
        <v>16</v>
      </c>
      <c r="C251" s="5" t="s">
        <v>714</v>
      </c>
      <c r="D251" s="5" t="s">
        <v>686</v>
      </c>
      <c r="E251" s="5" t="s">
        <v>177</v>
      </c>
      <c r="F251" s="5" t="s">
        <v>688</v>
      </c>
      <c r="G251" s="5" t="s">
        <v>689</v>
      </c>
      <c r="H251" s="6">
        <f t="shared" si="57"/>
        <v>-73819.473684210447</v>
      </c>
      <c r="I251" s="6">
        <f t="shared" si="52"/>
        <v>959689.47368421045</v>
      </c>
      <c r="J251" s="6">
        <v>182341</v>
      </c>
      <c r="K251" s="6">
        <v>0</v>
      </c>
      <c r="L251" s="6">
        <v>0</v>
      </c>
      <c r="M251" s="6">
        <f t="shared" si="59"/>
        <v>885870</v>
      </c>
      <c r="N251" s="6">
        <f t="shared" si="61"/>
        <v>182341</v>
      </c>
      <c r="O251" s="6">
        <f t="shared" si="53"/>
        <v>1068211</v>
      </c>
      <c r="P251" s="6">
        <v>1068211</v>
      </c>
      <c r="Q251" s="6">
        <v>0</v>
      </c>
      <c r="R251" s="6">
        <f t="shared" si="60"/>
        <v>0</v>
      </c>
      <c r="S251" s="5"/>
      <c r="U251" s="5"/>
      <c r="V251" s="5"/>
    </row>
    <row r="252" spans="2:22" s="5" customFormat="1" x14ac:dyDescent="0.3">
      <c r="B252" s="5" t="s">
        <v>16</v>
      </c>
      <c r="C252" s="5" t="s">
        <v>715</v>
      </c>
      <c r="D252" s="5" t="s">
        <v>686</v>
      </c>
      <c r="E252" s="5" t="s">
        <v>716</v>
      </c>
      <c r="F252" s="5" t="s">
        <v>688</v>
      </c>
      <c r="G252" s="5" t="s">
        <v>689</v>
      </c>
      <c r="H252" s="6">
        <f t="shared" si="57"/>
        <v>-0.26315789483487606</v>
      </c>
      <c r="I252" s="6">
        <f t="shared" si="52"/>
        <v>5430005.2631578948</v>
      </c>
      <c r="J252" s="6">
        <v>1031701</v>
      </c>
      <c r="K252" s="6">
        <v>0</v>
      </c>
      <c r="L252" s="6">
        <v>0</v>
      </c>
      <c r="M252" s="6">
        <f t="shared" si="59"/>
        <v>5430005</v>
      </c>
      <c r="N252" s="6">
        <f t="shared" si="61"/>
        <v>1031701</v>
      </c>
      <c r="O252" s="6">
        <f t="shared" si="53"/>
        <v>6461706</v>
      </c>
      <c r="P252" s="6">
        <v>6461706</v>
      </c>
      <c r="Q252" s="6">
        <v>0</v>
      </c>
      <c r="R252" s="6">
        <f t="shared" si="60"/>
        <v>0</v>
      </c>
      <c r="T252"/>
    </row>
    <row r="253" spans="2:22" x14ac:dyDescent="0.3">
      <c r="B253" s="5" t="s">
        <v>16</v>
      </c>
      <c r="C253" s="5" t="s">
        <v>717</v>
      </c>
      <c r="D253" s="5" t="s">
        <v>686</v>
      </c>
      <c r="E253" s="5" t="s">
        <v>523</v>
      </c>
      <c r="F253" s="5" t="s">
        <v>688</v>
      </c>
      <c r="G253" s="5" t="s">
        <v>689</v>
      </c>
      <c r="H253" s="6">
        <f t="shared" si="57"/>
        <v>7.4736842107959092</v>
      </c>
      <c r="I253" s="6">
        <f t="shared" si="52"/>
        <v>3355610.5263157892</v>
      </c>
      <c r="J253" s="6">
        <v>637566</v>
      </c>
      <c r="K253" s="6">
        <v>0</v>
      </c>
      <c r="L253" s="6">
        <v>0</v>
      </c>
      <c r="M253" s="6">
        <f t="shared" si="59"/>
        <v>3355618</v>
      </c>
      <c r="N253" s="6">
        <f t="shared" si="61"/>
        <v>637566</v>
      </c>
      <c r="O253" s="6">
        <f t="shared" si="53"/>
        <v>3993184</v>
      </c>
      <c r="P253" s="6">
        <v>3993184</v>
      </c>
      <c r="Q253" s="6">
        <v>0</v>
      </c>
      <c r="R253" s="6">
        <f t="shared" si="60"/>
        <v>0</v>
      </c>
      <c r="S253" s="5"/>
      <c r="U253" s="5"/>
      <c r="V253" s="5"/>
    </row>
    <row r="254" spans="2:22" s="5" customFormat="1" x14ac:dyDescent="0.3">
      <c r="B254" s="5" t="s">
        <v>16</v>
      </c>
      <c r="C254" s="5" t="s">
        <v>718</v>
      </c>
      <c r="D254" s="5" t="s">
        <v>686</v>
      </c>
      <c r="E254" s="5" t="s">
        <v>681</v>
      </c>
      <c r="F254" s="5" t="s">
        <v>688</v>
      </c>
      <c r="G254" s="5" t="s">
        <v>689</v>
      </c>
      <c r="H254" s="6">
        <f t="shared" si="57"/>
        <v>-147387.47368421033</v>
      </c>
      <c r="I254" s="6">
        <f t="shared" si="52"/>
        <v>7531189.4736842103</v>
      </c>
      <c r="J254" s="6">
        <v>1430926</v>
      </c>
      <c r="K254" s="6">
        <v>0</v>
      </c>
      <c r="L254" s="6">
        <v>0</v>
      </c>
      <c r="M254" s="6">
        <f t="shared" si="59"/>
        <v>7383802</v>
      </c>
      <c r="N254" s="6">
        <f t="shared" si="61"/>
        <v>1430926</v>
      </c>
      <c r="O254" s="6">
        <f t="shared" si="53"/>
        <v>8814728</v>
      </c>
      <c r="P254" s="6">
        <v>8814728</v>
      </c>
      <c r="Q254" s="6">
        <v>0</v>
      </c>
      <c r="R254" s="6">
        <f t="shared" si="60"/>
        <v>0</v>
      </c>
      <c r="T254"/>
    </row>
    <row r="255" spans="2:22" s="5" customFormat="1" x14ac:dyDescent="0.3">
      <c r="B255" s="5" t="s">
        <v>16</v>
      </c>
      <c r="C255" s="5" t="s">
        <v>719</v>
      </c>
      <c r="D255" s="5" t="s">
        <v>686</v>
      </c>
      <c r="E255" s="5" t="s">
        <v>245</v>
      </c>
      <c r="F255" s="5" t="s">
        <v>688</v>
      </c>
      <c r="G255" s="5" t="s">
        <v>689</v>
      </c>
      <c r="H255" s="6">
        <f t="shared" si="57"/>
        <v>0.84210526291280985</v>
      </c>
      <c r="I255" s="6">
        <f t="shared" si="52"/>
        <v>4274563.1578947371</v>
      </c>
      <c r="J255" s="6">
        <v>812167</v>
      </c>
      <c r="K255" s="6">
        <v>0</v>
      </c>
      <c r="L255" s="6">
        <v>0</v>
      </c>
      <c r="M255" s="6">
        <f t="shared" si="59"/>
        <v>4274564</v>
      </c>
      <c r="N255" s="6">
        <f t="shared" si="61"/>
        <v>812167</v>
      </c>
      <c r="O255" s="6">
        <f t="shared" si="53"/>
        <v>5086731</v>
      </c>
      <c r="P255" s="6">
        <v>5086731</v>
      </c>
      <c r="Q255" s="6">
        <v>0</v>
      </c>
      <c r="R255" s="6">
        <f t="shared" si="60"/>
        <v>0</v>
      </c>
      <c r="S255"/>
      <c r="T255"/>
    </row>
    <row r="256" spans="2:22" s="5" customFormat="1" x14ac:dyDescent="0.3">
      <c r="B256" s="5" t="s">
        <v>16</v>
      </c>
      <c r="C256" s="5" t="s">
        <v>720</v>
      </c>
      <c r="D256" s="5" t="s">
        <v>686</v>
      </c>
      <c r="E256" s="5" t="s">
        <v>30</v>
      </c>
      <c r="F256" s="5" t="s">
        <v>688</v>
      </c>
      <c r="G256" s="5" t="s">
        <v>689</v>
      </c>
      <c r="H256" s="6">
        <f t="shared" si="57"/>
        <v>-0.15789473708719015</v>
      </c>
      <c r="I256" s="6">
        <f t="shared" si="52"/>
        <v>6085963.1578947371</v>
      </c>
      <c r="J256" s="6">
        <v>1156333</v>
      </c>
      <c r="K256" s="6">
        <v>0</v>
      </c>
      <c r="L256" s="6">
        <v>0</v>
      </c>
      <c r="M256" s="6">
        <f t="shared" si="59"/>
        <v>6085963</v>
      </c>
      <c r="N256" s="6">
        <f t="shared" si="61"/>
        <v>1156333</v>
      </c>
      <c r="O256" s="6">
        <f t="shared" si="53"/>
        <v>7242296</v>
      </c>
      <c r="P256" s="6">
        <v>7242296</v>
      </c>
      <c r="Q256" s="6">
        <v>0</v>
      </c>
      <c r="R256" s="6">
        <f t="shared" si="60"/>
        <v>0</v>
      </c>
      <c r="S256"/>
      <c r="T256"/>
    </row>
    <row r="257" spans="2:22" s="5" customFormat="1" x14ac:dyDescent="0.3">
      <c r="B257" s="5" t="s">
        <v>16</v>
      </c>
      <c r="C257" s="5" t="s">
        <v>721</v>
      </c>
      <c r="D257" s="5" t="s">
        <v>686</v>
      </c>
      <c r="E257" s="5" t="s">
        <v>276</v>
      </c>
      <c r="F257" s="5" t="s">
        <v>688</v>
      </c>
      <c r="G257" s="5" t="s">
        <v>689</v>
      </c>
      <c r="H257" s="6">
        <f t="shared" si="57"/>
        <v>-384996.05263157841</v>
      </c>
      <c r="I257" s="6">
        <f t="shared" si="52"/>
        <v>5881521.0526315784</v>
      </c>
      <c r="J257" s="6">
        <v>1117489</v>
      </c>
      <c r="K257" s="6">
        <v>0</v>
      </c>
      <c r="L257" s="6">
        <v>0</v>
      </c>
      <c r="M257" s="6">
        <f t="shared" si="59"/>
        <v>5496525</v>
      </c>
      <c r="N257" s="6">
        <f t="shared" si="61"/>
        <v>1117489</v>
      </c>
      <c r="O257" s="6">
        <f t="shared" si="53"/>
        <v>6614014</v>
      </c>
      <c r="P257" s="6">
        <v>6614014</v>
      </c>
      <c r="Q257" s="6">
        <v>0</v>
      </c>
      <c r="R257" s="6">
        <f t="shared" si="60"/>
        <v>0</v>
      </c>
      <c r="S257"/>
      <c r="T257"/>
    </row>
    <row r="258" spans="2:22" s="5" customFormat="1" x14ac:dyDescent="0.3">
      <c r="B258" s="5" t="s">
        <v>16</v>
      </c>
      <c r="C258" s="5" t="s">
        <v>722</v>
      </c>
      <c r="D258" s="5" t="s">
        <v>686</v>
      </c>
      <c r="E258" s="5" t="s">
        <v>276</v>
      </c>
      <c r="F258" s="5" t="s">
        <v>688</v>
      </c>
      <c r="G258" s="5" t="s">
        <v>689</v>
      </c>
      <c r="H258" s="6">
        <f t="shared" si="57"/>
        <v>0.15789473685435951</v>
      </c>
      <c r="I258" s="6">
        <f t="shared" si="52"/>
        <v>532436.84210526315</v>
      </c>
      <c r="J258" s="6">
        <v>101163</v>
      </c>
      <c r="K258" s="6">
        <v>0</v>
      </c>
      <c r="L258" s="6">
        <v>0</v>
      </c>
      <c r="M258" s="6">
        <f t="shared" si="59"/>
        <v>532437</v>
      </c>
      <c r="N258" s="6">
        <f t="shared" si="61"/>
        <v>101163</v>
      </c>
      <c r="O258" s="6">
        <f t="shared" si="53"/>
        <v>633600</v>
      </c>
      <c r="P258" s="6">
        <v>633600</v>
      </c>
      <c r="Q258" s="6">
        <v>0</v>
      </c>
      <c r="R258" s="6">
        <f t="shared" si="60"/>
        <v>0</v>
      </c>
      <c r="S258"/>
      <c r="T258"/>
      <c r="U258"/>
      <c r="V258"/>
    </row>
    <row r="259" spans="2:22" s="5" customFormat="1" x14ac:dyDescent="0.3">
      <c r="B259" s="5" t="s">
        <v>16</v>
      </c>
      <c r="C259" s="5" t="s">
        <v>723</v>
      </c>
      <c r="D259" s="5" t="s">
        <v>686</v>
      </c>
      <c r="E259" s="5" t="s">
        <v>724</v>
      </c>
      <c r="F259" s="5" t="s">
        <v>688</v>
      </c>
      <c r="G259" s="5" t="s">
        <v>689</v>
      </c>
      <c r="H259" s="6">
        <f t="shared" si="57"/>
        <v>-2.8947368417866528</v>
      </c>
      <c r="I259" s="6">
        <f t="shared" si="52"/>
        <v>4129157.8947368418</v>
      </c>
      <c r="J259" s="6">
        <v>784540</v>
      </c>
      <c r="K259" s="6">
        <v>0</v>
      </c>
      <c r="L259" s="6">
        <v>0</v>
      </c>
      <c r="M259" s="6">
        <f t="shared" si="59"/>
        <v>4129155</v>
      </c>
      <c r="N259" s="6">
        <f t="shared" si="61"/>
        <v>784540</v>
      </c>
      <c r="O259" s="6">
        <f t="shared" si="53"/>
        <v>4913695</v>
      </c>
      <c r="P259" s="6">
        <v>4913695</v>
      </c>
      <c r="Q259" s="6">
        <v>0</v>
      </c>
      <c r="R259" s="6">
        <f t="shared" si="60"/>
        <v>0</v>
      </c>
      <c r="S259" s="7"/>
      <c r="T259"/>
      <c r="U259"/>
      <c r="V259"/>
    </row>
    <row r="260" spans="2:22" s="5" customFormat="1" x14ac:dyDescent="0.3">
      <c r="B260" s="5" t="s">
        <v>16</v>
      </c>
      <c r="C260" s="5" t="s">
        <v>725</v>
      </c>
      <c r="D260" s="5" t="s">
        <v>686</v>
      </c>
      <c r="E260" s="5" t="s">
        <v>724</v>
      </c>
      <c r="F260" s="5" t="s">
        <v>688</v>
      </c>
      <c r="G260" s="5" t="s">
        <v>689</v>
      </c>
      <c r="H260" s="6">
        <f t="shared" si="57"/>
        <v>-220920.84210526338</v>
      </c>
      <c r="I260" s="6">
        <f t="shared" si="52"/>
        <v>3808436.8421052634</v>
      </c>
      <c r="J260" s="6">
        <v>723603</v>
      </c>
      <c r="K260" s="6">
        <v>0</v>
      </c>
      <c r="L260" s="6">
        <v>0</v>
      </c>
      <c r="M260" s="6">
        <f t="shared" si="59"/>
        <v>3587516</v>
      </c>
      <c r="N260" s="6">
        <f t="shared" si="61"/>
        <v>723603</v>
      </c>
      <c r="O260" s="6">
        <f t="shared" si="53"/>
        <v>4311119</v>
      </c>
      <c r="P260" s="6">
        <v>4311119</v>
      </c>
      <c r="Q260" s="6">
        <v>0</v>
      </c>
      <c r="R260" s="6">
        <f t="shared" si="60"/>
        <v>0</v>
      </c>
      <c r="T260"/>
      <c r="U260"/>
      <c r="V260"/>
    </row>
    <row r="261" spans="2:22" s="5" customFormat="1" x14ac:dyDescent="0.3">
      <c r="B261" s="5" t="s">
        <v>16</v>
      </c>
      <c r="C261" s="5" t="s">
        <v>726</v>
      </c>
      <c r="D261" s="5" t="s">
        <v>686</v>
      </c>
      <c r="E261" s="5" t="s">
        <v>727</v>
      </c>
      <c r="F261" s="5" t="s">
        <v>688</v>
      </c>
      <c r="G261" s="5" t="s">
        <v>689</v>
      </c>
      <c r="H261" s="6">
        <f>+P261-I261-J261-K261-L261</f>
        <v>-7.5789473685435951</v>
      </c>
      <c r="I261" s="6">
        <f t="shared" si="52"/>
        <v>4058631.5789473685</v>
      </c>
      <c r="J261" s="6">
        <v>771140</v>
      </c>
      <c r="K261" s="6">
        <v>0</v>
      </c>
      <c r="L261" s="6">
        <v>0</v>
      </c>
      <c r="M261" s="6">
        <f t="shared" si="59"/>
        <v>4058624</v>
      </c>
      <c r="N261" s="6">
        <f t="shared" si="61"/>
        <v>771140</v>
      </c>
      <c r="O261" s="6">
        <f t="shared" si="53"/>
        <v>4829764</v>
      </c>
      <c r="P261" s="6">
        <v>4829764</v>
      </c>
      <c r="Q261" s="6">
        <v>0</v>
      </c>
      <c r="R261" s="6">
        <f t="shared" si="60"/>
        <v>0</v>
      </c>
      <c r="T261"/>
    </row>
    <row r="262" spans="2:22" s="5" customFormat="1" x14ac:dyDescent="0.3">
      <c r="B262" s="5" t="s">
        <v>16</v>
      </c>
      <c r="C262" s="5" t="s">
        <v>728</v>
      </c>
      <c r="D262" s="5" t="s">
        <v>686</v>
      </c>
      <c r="E262" s="5" t="s">
        <v>481</v>
      </c>
      <c r="F262" s="5" t="s">
        <v>688</v>
      </c>
      <c r="G262" s="5" t="s">
        <v>689</v>
      </c>
      <c r="H262" s="6">
        <v>0</v>
      </c>
      <c r="I262" s="6">
        <f t="shared" si="52"/>
        <v>1565784.2105263157</v>
      </c>
      <c r="J262" s="6">
        <v>297499</v>
      </c>
      <c r="K262" s="6">
        <v>0</v>
      </c>
      <c r="L262" s="6">
        <v>0</v>
      </c>
      <c r="M262" s="6">
        <f t="shared" si="59"/>
        <v>1565784.2105263157</v>
      </c>
      <c r="N262" s="6">
        <f t="shared" si="61"/>
        <v>297499</v>
      </c>
      <c r="O262" s="6">
        <f t="shared" si="53"/>
        <v>1863283.2105263157</v>
      </c>
      <c r="P262" s="6">
        <v>1863279</v>
      </c>
      <c r="Q262" s="6">
        <v>0</v>
      </c>
      <c r="R262" s="6">
        <f t="shared" si="60"/>
        <v>0</v>
      </c>
      <c r="T262"/>
    </row>
    <row r="263" spans="2:22" s="5" customFormat="1" x14ac:dyDescent="0.3">
      <c r="B263" s="5" t="s">
        <v>16</v>
      </c>
      <c r="C263" s="5" t="s">
        <v>729</v>
      </c>
      <c r="D263" s="5" t="s">
        <v>686</v>
      </c>
      <c r="E263" s="5" t="s">
        <v>730</v>
      </c>
      <c r="F263" s="5" t="s">
        <v>688</v>
      </c>
      <c r="G263" s="5" t="s">
        <v>689</v>
      </c>
      <c r="H263" s="6">
        <v>0</v>
      </c>
      <c r="I263" s="6">
        <f t="shared" si="52"/>
        <v>449215.78947368427</v>
      </c>
      <c r="J263" s="6">
        <v>85351</v>
      </c>
      <c r="K263" s="6">
        <v>0</v>
      </c>
      <c r="L263" s="6">
        <v>0</v>
      </c>
      <c r="M263" s="6">
        <f t="shared" si="59"/>
        <v>449215.78947368427</v>
      </c>
      <c r="N263" s="6">
        <f t="shared" si="61"/>
        <v>85351</v>
      </c>
      <c r="O263" s="6">
        <f t="shared" si="53"/>
        <v>534566.78947368427</v>
      </c>
      <c r="P263" s="6">
        <v>534567</v>
      </c>
      <c r="Q263" s="6">
        <v>0</v>
      </c>
      <c r="R263" s="6">
        <f t="shared" si="60"/>
        <v>0</v>
      </c>
      <c r="T263"/>
    </row>
    <row r="264" spans="2:22" s="5" customFormat="1" x14ac:dyDescent="0.3">
      <c r="B264" s="5" t="s">
        <v>16</v>
      </c>
      <c r="C264" s="5" t="s">
        <v>731</v>
      </c>
      <c r="D264" s="5" t="s">
        <v>686</v>
      </c>
      <c r="E264" s="5" t="s">
        <v>730</v>
      </c>
      <c r="F264" s="5" t="s">
        <v>688</v>
      </c>
      <c r="G264" s="5" t="s">
        <v>689</v>
      </c>
      <c r="H264" s="6">
        <v>0</v>
      </c>
      <c r="I264" s="6">
        <f t="shared" si="52"/>
        <v>898431.57894736854</v>
      </c>
      <c r="J264" s="6">
        <v>170702</v>
      </c>
      <c r="K264" s="6">
        <v>0</v>
      </c>
      <c r="L264" s="6">
        <v>0</v>
      </c>
      <c r="M264" s="6">
        <f t="shared" si="59"/>
        <v>898431.57894736854</v>
      </c>
      <c r="N264" s="6">
        <f t="shared" si="61"/>
        <v>170702</v>
      </c>
      <c r="O264" s="6">
        <f t="shared" si="53"/>
        <v>1069133.5789473685</v>
      </c>
      <c r="P264" s="6">
        <v>1069135</v>
      </c>
      <c r="Q264" s="6">
        <v>0</v>
      </c>
      <c r="R264" s="6">
        <f t="shared" si="60"/>
        <v>0</v>
      </c>
      <c r="T264"/>
    </row>
    <row r="265" spans="2:22" s="5" customFormat="1" x14ac:dyDescent="0.3">
      <c r="B265" s="5" t="s">
        <v>16</v>
      </c>
      <c r="C265" s="5" t="s">
        <v>732</v>
      </c>
      <c r="D265" s="5" t="s">
        <v>686</v>
      </c>
      <c r="E265" s="5" t="s">
        <v>302</v>
      </c>
      <c r="F265" s="5" t="s">
        <v>688</v>
      </c>
      <c r="G265" s="5" t="s">
        <v>689</v>
      </c>
      <c r="H265" s="6">
        <v>0</v>
      </c>
      <c r="I265" s="6">
        <f t="shared" si="52"/>
        <v>3258273.6842105263</v>
      </c>
      <c r="J265" s="6">
        <v>619072</v>
      </c>
      <c r="K265" s="6">
        <v>0</v>
      </c>
      <c r="L265" s="6">
        <v>0</v>
      </c>
      <c r="M265" s="6">
        <f t="shared" si="59"/>
        <v>3258273.6842105263</v>
      </c>
      <c r="N265" s="6">
        <f t="shared" si="61"/>
        <v>619072</v>
      </c>
      <c r="O265" s="6">
        <f t="shared" si="53"/>
        <v>3877345.6842105263</v>
      </c>
      <c r="P265" s="6">
        <v>3694068</v>
      </c>
      <c r="Q265" s="6">
        <v>0</v>
      </c>
      <c r="R265" s="6">
        <f t="shared" si="60"/>
        <v>0</v>
      </c>
      <c r="T265"/>
    </row>
    <row r="266" spans="2:22" x14ac:dyDescent="0.3">
      <c r="B266" s="5" t="s">
        <v>16</v>
      </c>
      <c r="C266" s="5" t="s">
        <v>733</v>
      </c>
      <c r="D266" s="5" t="s">
        <v>686</v>
      </c>
      <c r="E266" s="5" t="s">
        <v>302</v>
      </c>
      <c r="F266" s="5" t="s">
        <v>688</v>
      </c>
      <c r="G266" s="5" t="s">
        <v>689</v>
      </c>
      <c r="H266" s="6">
        <v>0</v>
      </c>
      <c r="I266" s="6">
        <f t="shared" si="52"/>
        <v>3533526.3157894742</v>
      </c>
      <c r="J266" s="6">
        <v>671370</v>
      </c>
      <c r="K266" s="6">
        <v>0</v>
      </c>
      <c r="L266" s="6">
        <v>0</v>
      </c>
      <c r="M266" s="6">
        <f t="shared" si="59"/>
        <v>3533526.3157894742</v>
      </c>
      <c r="N266" s="6">
        <f t="shared" si="61"/>
        <v>671370</v>
      </c>
      <c r="O266" s="6">
        <f t="shared" si="53"/>
        <v>4204896.3157894742</v>
      </c>
      <c r="P266" s="6">
        <v>4204892</v>
      </c>
      <c r="Q266" s="6">
        <v>0</v>
      </c>
      <c r="R266" s="6">
        <f t="shared" si="60"/>
        <v>0</v>
      </c>
      <c r="S266" s="5"/>
      <c r="U266" s="5"/>
      <c r="V266" s="5"/>
    </row>
    <row r="267" spans="2:22" s="5" customFormat="1" x14ac:dyDescent="0.3">
      <c r="B267" s="5" t="s">
        <v>16</v>
      </c>
      <c r="C267" s="5" t="s">
        <v>734</v>
      </c>
      <c r="D267" s="5" t="s">
        <v>686</v>
      </c>
      <c r="E267" s="5" t="s">
        <v>735</v>
      </c>
      <c r="F267" s="5" t="s">
        <v>688</v>
      </c>
      <c r="G267" s="5" t="s">
        <v>689</v>
      </c>
      <c r="H267" s="6">
        <f>+P267-I267-J267-K267-L267</f>
        <v>-5.5789473680779338</v>
      </c>
      <c r="I267" s="6">
        <f t="shared" si="52"/>
        <v>6866731.5789473681</v>
      </c>
      <c r="J267" s="6">
        <v>1304679</v>
      </c>
      <c r="K267" s="6">
        <v>0</v>
      </c>
      <c r="L267" s="6">
        <v>0</v>
      </c>
      <c r="M267" s="6">
        <f t="shared" si="59"/>
        <v>6866726</v>
      </c>
      <c r="N267" s="6">
        <f t="shared" si="61"/>
        <v>1304679</v>
      </c>
      <c r="O267" s="6">
        <f t="shared" si="53"/>
        <v>8171405</v>
      </c>
      <c r="P267" s="6">
        <v>8171405</v>
      </c>
      <c r="Q267" s="6">
        <v>0</v>
      </c>
      <c r="R267" s="6">
        <f t="shared" si="60"/>
        <v>0</v>
      </c>
      <c r="T267"/>
    </row>
    <row r="268" spans="2:22" s="5" customFormat="1" x14ac:dyDescent="0.3">
      <c r="B268" s="5" t="s">
        <v>16</v>
      </c>
      <c r="C268" s="5" t="s">
        <v>736</v>
      </c>
      <c r="D268" s="5" t="s">
        <v>686</v>
      </c>
      <c r="E268" s="5" t="s">
        <v>735</v>
      </c>
      <c r="F268" s="5" t="s">
        <v>688</v>
      </c>
      <c r="G268" s="5" t="s">
        <v>689</v>
      </c>
      <c r="H268" s="6">
        <f>+P268-I268-J268-K268-L268</f>
        <v>-303840.05263157841</v>
      </c>
      <c r="I268" s="6">
        <f t="shared" si="52"/>
        <v>5591421.0526315784</v>
      </c>
      <c r="J268" s="6">
        <v>1062370</v>
      </c>
      <c r="K268" s="6">
        <v>0</v>
      </c>
      <c r="L268" s="6">
        <v>0</v>
      </c>
      <c r="M268" s="6">
        <f t="shared" si="59"/>
        <v>5287581</v>
      </c>
      <c r="N268" s="6">
        <f t="shared" si="61"/>
        <v>1062370</v>
      </c>
      <c r="O268" s="6">
        <f t="shared" si="53"/>
        <v>6349951</v>
      </c>
      <c r="P268" s="6">
        <v>6349951</v>
      </c>
      <c r="Q268" s="6">
        <v>0</v>
      </c>
      <c r="R268" s="6">
        <f t="shared" si="60"/>
        <v>0</v>
      </c>
      <c r="T268"/>
    </row>
    <row r="269" spans="2:22" s="5" customFormat="1" x14ac:dyDescent="0.3">
      <c r="B269" s="5" t="s">
        <v>16</v>
      </c>
      <c r="C269" s="5" t="s">
        <v>737</v>
      </c>
      <c r="D269" s="5" t="s">
        <v>35</v>
      </c>
      <c r="E269" s="5" t="s">
        <v>738</v>
      </c>
      <c r="F269" s="5" t="s">
        <v>209</v>
      </c>
      <c r="G269" s="5" t="s">
        <v>210</v>
      </c>
      <c r="H269" s="6">
        <f>+P269-I269-J269</f>
        <v>-2.6315789407817647E-2</v>
      </c>
      <c r="I269" s="6">
        <f t="shared" si="52"/>
        <v>1313176.5263157894</v>
      </c>
      <c r="J269" s="6">
        <v>249503.54</v>
      </c>
      <c r="K269" s="6">
        <v>0</v>
      </c>
      <c r="L269" s="6">
        <v>0</v>
      </c>
      <c r="M269" s="6">
        <f t="shared" si="59"/>
        <v>1313176.5</v>
      </c>
      <c r="N269" s="6">
        <f t="shared" si="61"/>
        <v>249503.54</v>
      </c>
      <c r="O269" s="6">
        <f t="shared" si="53"/>
        <v>1562680.04</v>
      </c>
      <c r="P269" s="6">
        <v>1562680.04</v>
      </c>
      <c r="Q269" s="6"/>
      <c r="R269" s="6">
        <f t="shared" si="60"/>
        <v>0</v>
      </c>
      <c r="S269"/>
      <c r="T269"/>
    </row>
    <row r="270" spans="2:22" s="5" customFormat="1" x14ac:dyDescent="0.3">
      <c r="B270" s="5" t="s">
        <v>16</v>
      </c>
      <c r="C270" s="5" t="s">
        <v>739</v>
      </c>
      <c r="D270" s="5" t="s">
        <v>35</v>
      </c>
      <c r="E270" s="5" t="s">
        <v>740</v>
      </c>
      <c r="F270" s="5" t="s">
        <v>209</v>
      </c>
      <c r="G270" s="5" t="s">
        <v>210</v>
      </c>
      <c r="H270" s="6">
        <f>+P270-I270-J270</f>
        <v>-2.210526296403259E-2</v>
      </c>
      <c r="I270" s="6">
        <f t="shared" si="52"/>
        <v>3902276.8421052629</v>
      </c>
      <c r="J270" s="6">
        <v>741432.6</v>
      </c>
      <c r="K270" s="6">
        <v>0</v>
      </c>
      <c r="L270" s="6">
        <v>0</v>
      </c>
      <c r="M270" s="6">
        <f t="shared" si="59"/>
        <v>3902276.82</v>
      </c>
      <c r="N270" s="6">
        <f t="shared" si="61"/>
        <v>741432.6</v>
      </c>
      <c r="O270" s="6">
        <f t="shared" si="53"/>
        <v>4643709.42</v>
      </c>
      <c r="P270" s="6">
        <v>4643709.42</v>
      </c>
      <c r="Q270" s="6">
        <f>+M270</f>
        <v>3902276.82</v>
      </c>
      <c r="R270" s="6">
        <f t="shared" si="60"/>
        <v>97556.920499999993</v>
      </c>
      <c r="T270"/>
    </row>
    <row r="271" spans="2:22" s="5" customFormat="1" x14ac:dyDescent="0.3">
      <c r="B271" s="5" t="s">
        <v>16</v>
      </c>
      <c r="C271" s="5" t="s">
        <v>741</v>
      </c>
      <c r="D271" s="5" t="s">
        <v>35</v>
      </c>
      <c r="E271" s="5" t="s">
        <v>537</v>
      </c>
      <c r="F271" s="5" t="s">
        <v>273</v>
      </c>
      <c r="G271" s="5" t="s">
        <v>274</v>
      </c>
      <c r="H271" s="6">
        <f>+P271-I271-J271</f>
        <v>2.315789473708719</v>
      </c>
      <c r="I271" s="6">
        <f t="shared" si="52"/>
        <v>2704673.6842105263</v>
      </c>
      <c r="J271" s="6">
        <v>513888</v>
      </c>
      <c r="K271" s="6">
        <v>0</v>
      </c>
      <c r="L271" s="6">
        <v>0</v>
      </c>
      <c r="M271" s="6">
        <f t="shared" si="59"/>
        <v>2704676</v>
      </c>
      <c r="N271" s="6">
        <f t="shared" si="61"/>
        <v>513888</v>
      </c>
      <c r="O271" s="6">
        <f t="shared" si="53"/>
        <v>3218564</v>
      </c>
      <c r="P271" s="6">
        <v>3218564</v>
      </c>
      <c r="Q271" s="6">
        <f>+M271</f>
        <v>2704676</v>
      </c>
      <c r="R271" s="6">
        <f t="shared" si="60"/>
        <v>67616.899999999994</v>
      </c>
      <c r="T271"/>
    </row>
    <row r="272" spans="2:22" s="5" customFormat="1" x14ac:dyDescent="0.3">
      <c r="B272" s="5" t="s">
        <v>16</v>
      </c>
      <c r="C272" s="5" t="s">
        <v>742</v>
      </c>
      <c r="D272" s="5" t="s">
        <v>743</v>
      </c>
      <c r="E272" s="5" t="s">
        <v>551</v>
      </c>
      <c r="F272" s="5" t="s">
        <v>744</v>
      </c>
      <c r="G272" s="5" t="s">
        <v>745</v>
      </c>
      <c r="H272" s="6">
        <v>1.862645149230957E-9</v>
      </c>
      <c r="I272" s="6">
        <f t="shared" si="52"/>
        <v>7900426.9999999991</v>
      </c>
      <c r="J272" s="6">
        <v>1501081.13</v>
      </c>
      <c r="K272" s="6"/>
      <c r="L272" s="6"/>
      <c r="M272" s="6">
        <f>+H272+I272</f>
        <v>7900427.0000000009</v>
      </c>
      <c r="N272" s="6">
        <f>+J272</f>
        <v>1501081.13</v>
      </c>
      <c r="O272" s="6">
        <f t="shared" si="53"/>
        <v>9401508.1300000008</v>
      </c>
      <c r="P272" s="6">
        <v>9401508.1300000008</v>
      </c>
      <c r="Q272" s="6"/>
      <c r="R272" s="6">
        <f t="shared" si="60"/>
        <v>0</v>
      </c>
      <c r="T272"/>
    </row>
    <row r="273" spans="2:22" s="5" customFormat="1" x14ac:dyDescent="0.3">
      <c r="B273" s="7" t="s">
        <v>16</v>
      </c>
      <c r="C273" s="7" t="s">
        <v>746</v>
      </c>
      <c r="D273" s="7" t="s">
        <v>743</v>
      </c>
      <c r="E273" s="7" t="s">
        <v>640</v>
      </c>
      <c r="F273" s="7" t="s">
        <v>744</v>
      </c>
      <c r="G273" s="7" t="s">
        <v>745</v>
      </c>
      <c r="H273" s="8">
        <f t="shared" ref="H273:H282" si="62">+P273-I273-J273</f>
        <v>0</v>
      </c>
      <c r="I273" s="8">
        <f t="shared" si="52"/>
        <v>8520607</v>
      </c>
      <c r="J273" s="8">
        <v>1618915.33</v>
      </c>
      <c r="K273" s="8">
        <v>0</v>
      </c>
      <c r="L273" s="8">
        <v>0</v>
      </c>
      <c r="M273" s="8">
        <f>+I273+H273</f>
        <v>8520607</v>
      </c>
      <c r="N273" s="8">
        <f t="shared" ref="N273:N289" si="63">+J273+L273</f>
        <v>1618915.33</v>
      </c>
      <c r="O273" s="8">
        <f t="shared" si="53"/>
        <v>10139522.33</v>
      </c>
      <c r="P273" s="8">
        <v>10139522.33</v>
      </c>
      <c r="Q273" s="8">
        <v>0</v>
      </c>
      <c r="R273" s="8">
        <f t="shared" si="60"/>
        <v>0</v>
      </c>
      <c r="T273"/>
    </row>
    <row r="274" spans="2:22" s="5" customFormat="1" x14ac:dyDescent="0.3">
      <c r="B274" s="5" t="s">
        <v>16</v>
      </c>
      <c r="C274" s="5" t="s">
        <v>747</v>
      </c>
      <c r="D274" s="5" t="s">
        <v>743</v>
      </c>
      <c r="E274" s="5" t="s">
        <v>675</v>
      </c>
      <c r="F274" s="5" t="s">
        <v>744</v>
      </c>
      <c r="G274" s="5" t="s">
        <v>745</v>
      </c>
      <c r="H274" s="6">
        <f t="shared" si="62"/>
        <v>0</v>
      </c>
      <c r="I274" s="6">
        <f t="shared" si="52"/>
        <v>10790529</v>
      </c>
      <c r="J274" s="6">
        <v>2050200.51</v>
      </c>
      <c r="K274" s="6">
        <v>0</v>
      </c>
      <c r="L274" s="6">
        <v>0</v>
      </c>
      <c r="M274" s="6">
        <f t="shared" ref="M274:M284" si="64">+H274+I274+K274</f>
        <v>10790529</v>
      </c>
      <c r="N274" s="6">
        <f t="shared" si="63"/>
        <v>2050200.51</v>
      </c>
      <c r="O274" s="6">
        <f t="shared" si="53"/>
        <v>12840729.51</v>
      </c>
      <c r="P274" s="6">
        <v>12840729.51</v>
      </c>
      <c r="Q274" s="6">
        <v>0</v>
      </c>
      <c r="R274" s="6">
        <f t="shared" si="60"/>
        <v>0</v>
      </c>
      <c r="T274"/>
    </row>
    <row r="275" spans="2:22" s="5" customFormat="1" x14ac:dyDescent="0.3">
      <c r="B275" s="5" t="s">
        <v>16</v>
      </c>
      <c r="C275" s="5" t="s">
        <v>748</v>
      </c>
      <c r="D275" s="5" t="s">
        <v>743</v>
      </c>
      <c r="E275" s="5" t="s">
        <v>749</v>
      </c>
      <c r="F275" s="5" t="s">
        <v>744</v>
      </c>
      <c r="G275" s="5" t="s">
        <v>745</v>
      </c>
      <c r="H275" s="6">
        <f t="shared" si="62"/>
        <v>0</v>
      </c>
      <c r="I275" s="6">
        <f t="shared" si="52"/>
        <v>442680</v>
      </c>
      <c r="J275" s="6">
        <v>84109.2</v>
      </c>
      <c r="K275" s="6">
        <v>0</v>
      </c>
      <c r="L275" s="6">
        <v>0</v>
      </c>
      <c r="M275" s="6">
        <f t="shared" si="64"/>
        <v>442680</v>
      </c>
      <c r="N275" s="6">
        <f t="shared" si="63"/>
        <v>84109.2</v>
      </c>
      <c r="O275" s="6">
        <f t="shared" si="53"/>
        <v>526789.19999999995</v>
      </c>
      <c r="P275" s="6">
        <v>526789.19999999995</v>
      </c>
      <c r="Q275" s="6">
        <v>0</v>
      </c>
      <c r="R275" s="6">
        <f t="shared" si="60"/>
        <v>0</v>
      </c>
      <c r="T275"/>
    </row>
    <row r="276" spans="2:22" s="5" customFormat="1" x14ac:dyDescent="0.3">
      <c r="B276" s="5" t="s">
        <v>16</v>
      </c>
      <c r="C276" s="5" t="s">
        <v>750</v>
      </c>
      <c r="D276" s="5" t="s">
        <v>743</v>
      </c>
      <c r="E276" s="5" t="s">
        <v>751</v>
      </c>
      <c r="F276" s="5" t="s">
        <v>744</v>
      </c>
      <c r="G276" s="5" t="s">
        <v>745</v>
      </c>
      <c r="H276" s="6">
        <f t="shared" si="62"/>
        <v>0</v>
      </c>
      <c r="I276" s="6">
        <f t="shared" si="52"/>
        <v>9195504</v>
      </c>
      <c r="J276" s="6">
        <v>1747145.76</v>
      </c>
      <c r="K276" s="6">
        <v>0</v>
      </c>
      <c r="L276" s="6">
        <v>0</v>
      </c>
      <c r="M276" s="6">
        <f t="shared" si="64"/>
        <v>9195504</v>
      </c>
      <c r="N276" s="6">
        <f t="shared" si="63"/>
        <v>1747145.76</v>
      </c>
      <c r="O276" s="6">
        <f t="shared" si="53"/>
        <v>10942649.76</v>
      </c>
      <c r="P276" s="6">
        <v>10942649.76</v>
      </c>
      <c r="Q276" s="6">
        <v>0</v>
      </c>
      <c r="R276" s="6">
        <f t="shared" si="60"/>
        <v>0</v>
      </c>
      <c r="T276"/>
    </row>
    <row r="277" spans="2:22" s="5" customFormat="1" x14ac:dyDescent="0.3">
      <c r="B277" s="5" t="s">
        <v>16</v>
      </c>
      <c r="C277" s="5" t="s">
        <v>752</v>
      </c>
      <c r="D277" s="5" t="s">
        <v>743</v>
      </c>
      <c r="E277" s="5" t="s">
        <v>753</v>
      </c>
      <c r="F277" s="5" t="s">
        <v>744</v>
      </c>
      <c r="G277" s="5" t="s">
        <v>745</v>
      </c>
      <c r="H277" s="6">
        <f t="shared" si="62"/>
        <v>-35962</v>
      </c>
      <c r="I277" s="6">
        <f t="shared" si="52"/>
        <v>35962</v>
      </c>
      <c r="J277" s="6">
        <v>6832.78</v>
      </c>
      <c r="K277" s="6">
        <v>0</v>
      </c>
      <c r="L277" s="6">
        <v>0</v>
      </c>
      <c r="M277" s="6">
        <f t="shared" si="64"/>
        <v>0</v>
      </c>
      <c r="N277" s="6">
        <f t="shared" si="63"/>
        <v>6832.78</v>
      </c>
      <c r="O277" s="6">
        <f t="shared" si="53"/>
        <v>6832.78</v>
      </c>
      <c r="P277" s="6">
        <v>6832.78</v>
      </c>
      <c r="Q277" s="6">
        <v>0</v>
      </c>
      <c r="R277" s="6">
        <f t="shared" si="60"/>
        <v>0</v>
      </c>
      <c r="S277"/>
      <c r="T277"/>
    </row>
    <row r="278" spans="2:22" x14ac:dyDescent="0.3">
      <c r="B278" s="5" t="s">
        <v>16</v>
      </c>
      <c r="C278" s="5" t="s">
        <v>754</v>
      </c>
      <c r="D278" s="5" t="s">
        <v>743</v>
      </c>
      <c r="E278" s="5" t="s">
        <v>753</v>
      </c>
      <c r="F278" s="5" t="s">
        <v>744</v>
      </c>
      <c r="G278" s="5" t="s">
        <v>745</v>
      </c>
      <c r="H278" s="6">
        <f t="shared" si="62"/>
        <v>0</v>
      </c>
      <c r="I278" s="6">
        <f t="shared" si="52"/>
        <v>12149135</v>
      </c>
      <c r="J278" s="6">
        <v>2308335.65</v>
      </c>
      <c r="K278" s="6">
        <v>0</v>
      </c>
      <c r="L278" s="6">
        <v>0</v>
      </c>
      <c r="M278" s="6">
        <f t="shared" si="64"/>
        <v>12149135</v>
      </c>
      <c r="N278" s="6">
        <f t="shared" si="63"/>
        <v>2308335.65</v>
      </c>
      <c r="O278" s="6">
        <f t="shared" si="53"/>
        <v>14457470.65</v>
      </c>
      <c r="P278" s="6">
        <v>14457470.65</v>
      </c>
      <c r="Q278" s="6">
        <v>0</v>
      </c>
      <c r="R278" s="6">
        <f t="shared" si="60"/>
        <v>0</v>
      </c>
      <c r="U278" s="5"/>
      <c r="V278" s="5"/>
    </row>
    <row r="279" spans="2:22" x14ac:dyDescent="0.3">
      <c r="B279" s="5" t="s">
        <v>16</v>
      </c>
      <c r="C279" s="5" t="s">
        <v>755</v>
      </c>
      <c r="D279" s="5" t="s">
        <v>743</v>
      </c>
      <c r="E279" s="5" t="s">
        <v>98</v>
      </c>
      <c r="F279" s="5" t="s">
        <v>744</v>
      </c>
      <c r="G279" s="5" t="s">
        <v>745</v>
      </c>
      <c r="H279" s="6">
        <f t="shared" si="62"/>
        <v>0</v>
      </c>
      <c r="I279" s="6">
        <f t="shared" si="52"/>
        <v>4320507</v>
      </c>
      <c r="J279" s="6">
        <v>820896.33</v>
      </c>
      <c r="K279" s="6">
        <v>0</v>
      </c>
      <c r="L279" s="6">
        <v>0</v>
      </c>
      <c r="M279" s="6">
        <f t="shared" si="64"/>
        <v>4320507</v>
      </c>
      <c r="N279" s="6">
        <f t="shared" si="63"/>
        <v>820896.33</v>
      </c>
      <c r="O279" s="6">
        <f t="shared" si="53"/>
        <v>5141403.33</v>
      </c>
      <c r="P279" s="6">
        <v>5141403.33</v>
      </c>
      <c r="Q279" s="6">
        <v>0</v>
      </c>
      <c r="R279" s="6">
        <f t="shared" si="60"/>
        <v>0</v>
      </c>
      <c r="U279" s="5"/>
      <c r="V279" s="5"/>
    </row>
    <row r="280" spans="2:22" x14ac:dyDescent="0.3">
      <c r="B280" s="5" t="s">
        <v>16</v>
      </c>
      <c r="C280" s="5" t="s">
        <v>756</v>
      </c>
      <c r="D280" s="5" t="s">
        <v>743</v>
      </c>
      <c r="E280" s="5" t="s">
        <v>404</v>
      </c>
      <c r="F280" s="5" t="s">
        <v>744</v>
      </c>
      <c r="G280" s="5" t="s">
        <v>745</v>
      </c>
      <c r="H280" s="6">
        <f t="shared" si="62"/>
        <v>-59691.000000000007</v>
      </c>
      <c r="I280" s="6">
        <f t="shared" si="52"/>
        <v>59691.000000000007</v>
      </c>
      <c r="J280" s="6">
        <v>11341.29</v>
      </c>
      <c r="K280" s="6">
        <v>0</v>
      </c>
      <c r="L280" s="6">
        <v>0</v>
      </c>
      <c r="M280" s="6">
        <f t="shared" si="64"/>
        <v>0</v>
      </c>
      <c r="N280" s="6">
        <f t="shared" si="63"/>
        <v>11341.29</v>
      </c>
      <c r="O280" s="6">
        <f t="shared" si="53"/>
        <v>11341.29</v>
      </c>
      <c r="P280" s="6">
        <v>11341.29</v>
      </c>
      <c r="Q280" s="6">
        <v>0</v>
      </c>
      <c r="R280" s="6">
        <f t="shared" si="60"/>
        <v>0</v>
      </c>
      <c r="U280" s="5"/>
      <c r="V280" s="5"/>
    </row>
    <row r="281" spans="2:22" x14ac:dyDescent="0.3">
      <c r="B281" s="5" t="s">
        <v>16</v>
      </c>
      <c r="C281" s="5" t="s">
        <v>757</v>
      </c>
      <c r="D281" s="5" t="s">
        <v>743</v>
      </c>
      <c r="E281" s="5" t="s">
        <v>758</v>
      </c>
      <c r="F281" s="5" t="s">
        <v>744</v>
      </c>
      <c r="G281" s="5" t="s">
        <v>745</v>
      </c>
      <c r="H281" s="6">
        <f t="shared" si="62"/>
        <v>0</v>
      </c>
      <c r="I281" s="6">
        <f t="shared" si="52"/>
        <v>8160612</v>
      </c>
      <c r="J281" s="6">
        <v>1550516.28</v>
      </c>
      <c r="K281" s="6">
        <v>0</v>
      </c>
      <c r="L281" s="6">
        <v>0</v>
      </c>
      <c r="M281" s="6">
        <f t="shared" si="64"/>
        <v>8160612</v>
      </c>
      <c r="N281" s="6">
        <f t="shared" si="63"/>
        <v>1550516.28</v>
      </c>
      <c r="O281" s="6">
        <f t="shared" si="53"/>
        <v>9711128.2799999993</v>
      </c>
      <c r="P281" s="6">
        <v>9711128.2799999993</v>
      </c>
      <c r="Q281" s="6">
        <v>0</v>
      </c>
      <c r="R281" s="6">
        <f t="shared" si="60"/>
        <v>0</v>
      </c>
      <c r="S281" s="5"/>
      <c r="U281" s="5"/>
      <c r="V281" s="5"/>
    </row>
    <row r="282" spans="2:22" s="5" customFormat="1" x14ac:dyDescent="0.3">
      <c r="B282" s="5" t="s">
        <v>16</v>
      </c>
      <c r="C282" s="5" t="s">
        <v>759</v>
      </c>
      <c r="D282" s="5" t="s">
        <v>743</v>
      </c>
      <c r="E282" s="5" t="s">
        <v>607</v>
      </c>
      <c r="F282" s="5" t="s">
        <v>744</v>
      </c>
      <c r="G282" s="5" t="s">
        <v>745</v>
      </c>
      <c r="H282" s="6">
        <f t="shared" si="62"/>
        <v>0</v>
      </c>
      <c r="I282" s="6">
        <f t="shared" si="52"/>
        <v>4422006</v>
      </c>
      <c r="J282" s="6">
        <v>840181.14</v>
      </c>
      <c r="K282" s="6">
        <v>0</v>
      </c>
      <c r="L282" s="6">
        <v>0</v>
      </c>
      <c r="M282" s="6">
        <f t="shared" si="64"/>
        <v>4422006</v>
      </c>
      <c r="N282" s="6">
        <f t="shared" si="63"/>
        <v>840181.14</v>
      </c>
      <c r="O282" s="6">
        <f t="shared" si="53"/>
        <v>5262187.1399999997</v>
      </c>
      <c r="P282" s="6">
        <v>5262187.1399999997</v>
      </c>
      <c r="Q282" s="6">
        <v>0</v>
      </c>
      <c r="R282" s="6">
        <f t="shared" si="60"/>
        <v>0</v>
      </c>
      <c r="T282"/>
    </row>
    <row r="283" spans="2:22" s="5" customFormat="1" x14ac:dyDescent="0.3">
      <c r="B283" s="5" t="s">
        <v>16</v>
      </c>
      <c r="C283" s="5" t="s">
        <v>760</v>
      </c>
      <c r="D283" s="5" t="s">
        <v>743</v>
      </c>
      <c r="E283" s="5" t="s">
        <v>761</v>
      </c>
      <c r="F283" s="5" t="s">
        <v>744</v>
      </c>
      <c r="G283" s="5" t="s">
        <v>745</v>
      </c>
      <c r="H283" s="6">
        <f>+P283-I283-J283-K283-L283</f>
        <v>0</v>
      </c>
      <c r="I283" s="6">
        <f t="shared" si="52"/>
        <v>10328775</v>
      </c>
      <c r="J283" s="6">
        <v>1962467.25</v>
      </c>
      <c r="K283" s="6">
        <v>0</v>
      </c>
      <c r="L283" s="6">
        <v>0</v>
      </c>
      <c r="M283" s="6">
        <f t="shared" si="64"/>
        <v>10328775</v>
      </c>
      <c r="N283" s="6">
        <f t="shared" si="63"/>
        <v>1962467.25</v>
      </c>
      <c r="O283" s="6">
        <f t="shared" si="53"/>
        <v>12291242.25</v>
      </c>
      <c r="P283" s="6">
        <v>12291242.25</v>
      </c>
      <c r="Q283" s="6">
        <v>0</v>
      </c>
      <c r="R283" s="6">
        <f t="shared" si="60"/>
        <v>0</v>
      </c>
      <c r="T283"/>
    </row>
    <row r="284" spans="2:22" s="5" customFormat="1" x14ac:dyDescent="0.3">
      <c r="B284" s="5" t="s">
        <v>16</v>
      </c>
      <c r="C284" s="5" t="s">
        <v>762</v>
      </c>
      <c r="D284" s="5" t="s">
        <v>743</v>
      </c>
      <c r="E284" s="5" t="s">
        <v>763</v>
      </c>
      <c r="F284" s="5" t="s">
        <v>744</v>
      </c>
      <c r="G284" s="5" t="s">
        <v>745</v>
      </c>
      <c r="H284" s="6">
        <f>+P284-I284-J284-K284-L284</f>
        <v>-68361</v>
      </c>
      <c r="I284" s="6">
        <f t="shared" si="52"/>
        <v>68361</v>
      </c>
      <c r="J284" s="6">
        <v>12988.59</v>
      </c>
      <c r="K284" s="6">
        <v>0</v>
      </c>
      <c r="L284" s="6">
        <v>0</v>
      </c>
      <c r="M284" s="6">
        <f t="shared" si="64"/>
        <v>0</v>
      </c>
      <c r="N284" s="6">
        <f t="shared" si="63"/>
        <v>12988.59</v>
      </c>
      <c r="O284" s="6">
        <f t="shared" si="53"/>
        <v>12988.59</v>
      </c>
      <c r="P284" s="6">
        <v>12988.59</v>
      </c>
      <c r="Q284" s="6">
        <v>0</v>
      </c>
      <c r="R284" s="6">
        <f t="shared" si="60"/>
        <v>0</v>
      </c>
      <c r="S284" s="7"/>
      <c r="T284"/>
    </row>
    <row r="285" spans="2:22" s="9" customFormat="1" x14ac:dyDescent="0.3">
      <c r="B285" s="7" t="s">
        <v>16</v>
      </c>
      <c r="C285" s="7" t="s">
        <v>764</v>
      </c>
      <c r="D285" s="7" t="s">
        <v>156</v>
      </c>
      <c r="E285" s="7" t="s">
        <v>765</v>
      </c>
      <c r="F285" s="7" t="s">
        <v>450</v>
      </c>
      <c r="G285" s="7" t="s">
        <v>451</v>
      </c>
      <c r="H285" s="8">
        <f>+P285-I285-J285</f>
        <v>1.5789475291967392E-3</v>
      </c>
      <c r="I285" s="8">
        <f t="shared" si="52"/>
        <v>7310924.3684210526</v>
      </c>
      <c r="J285" s="8">
        <v>1389075.63</v>
      </c>
      <c r="K285" s="8">
        <v>0</v>
      </c>
      <c r="L285" s="8">
        <v>0</v>
      </c>
      <c r="M285" s="8">
        <f>+I285+H285</f>
        <v>7310924.3700000001</v>
      </c>
      <c r="N285" s="8">
        <f t="shared" si="63"/>
        <v>1389075.63</v>
      </c>
      <c r="O285" s="8">
        <f t="shared" si="53"/>
        <v>8700000</v>
      </c>
      <c r="P285" s="8">
        <v>8700000</v>
      </c>
      <c r="Q285" s="8">
        <f>+M285</f>
        <v>7310924.3700000001</v>
      </c>
      <c r="R285" s="8">
        <f t="shared" si="60"/>
        <v>182773.10925000001</v>
      </c>
      <c r="S285" s="7"/>
      <c r="T285"/>
      <c r="U285" s="5"/>
      <c r="V285" s="5"/>
    </row>
    <row r="286" spans="2:22" s="9" customFormat="1" x14ac:dyDescent="0.3">
      <c r="B286" s="5" t="s">
        <v>16</v>
      </c>
      <c r="C286" s="5" t="s">
        <v>766</v>
      </c>
      <c r="D286" s="5" t="s">
        <v>156</v>
      </c>
      <c r="E286" s="5" t="s">
        <v>767</v>
      </c>
      <c r="F286" s="5" t="s">
        <v>450</v>
      </c>
      <c r="G286" s="5" t="s">
        <v>451</v>
      </c>
      <c r="H286" s="6">
        <f>+P286-I286-J286</f>
        <v>1.1052632937207818E-2</v>
      </c>
      <c r="I286" s="6">
        <f t="shared" ref="I286:I349" si="65">+J286/19*100</f>
        <v>10376470.578947367</v>
      </c>
      <c r="J286" s="6">
        <v>1971529.41</v>
      </c>
      <c r="K286" s="6">
        <v>0</v>
      </c>
      <c r="L286" s="6">
        <v>0</v>
      </c>
      <c r="M286" s="6">
        <f t="shared" ref="M286:M305" si="66">+H286+I286+K286</f>
        <v>10376470.59</v>
      </c>
      <c r="N286" s="6">
        <f t="shared" si="63"/>
        <v>1971529.41</v>
      </c>
      <c r="O286" s="6">
        <f t="shared" ref="O286:O349" si="67">+M286+N286</f>
        <v>12348000</v>
      </c>
      <c r="P286" s="6">
        <v>12348000</v>
      </c>
      <c r="Q286" s="6">
        <f>+M286</f>
        <v>10376470.59</v>
      </c>
      <c r="R286" s="6">
        <f t="shared" si="60"/>
        <v>259411.76475</v>
      </c>
      <c r="S286" s="7"/>
      <c r="T286"/>
      <c r="U286" s="5"/>
      <c r="V286" s="5"/>
    </row>
    <row r="287" spans="2:22" s="9" customFormat="1" x14ac:dyDescent="0.3">
      <c r="B287" s="5" t="s">
        <v>16</v>
      </c>
      <c r="C287" s="5" t="s">
        <v>768</v>
      </c>
      <c r="D287" s="5" t="s">
        <v>156</v>
      </c>
      <c r="E287" s="5" t="s">
        <v>409</v>
      </c>
      <c r="F287" s="5" t="s">
        <v>450</v>
      </c>
      <c r="G287" s="5" t="s">
        <v>451</v>
      </c>
      <c r="H287" s="6">
        <f>+P287-I287-J287</f>
        <v>1.3684210571227595E-2</v>
      </c>
      <c r="I287" s="6">
        <f t="shared" si="65"/>
        <v>1361344.5263157894</v>
      </c>
      <c r="J287" s="6">
        <v>258655.46</v>
      </c>
      <c r="K287" s="6">
        <v>0</v>
      </c>
      <c r="L287" s="6">
        <v>0</v>
      </c>
      <c r="M287" s="6">
        <f t="shared" si="66"/>
        <v>1361344.54</v>
      </c>
      <c r="N287" s="6">
        <f t="shared" si="63"/>
        <v>258655.46</v>
      </c>
      <c r="O287" s="6">
        <f t="shared" si="67"/>
        <v>1620000</v>
      </c>
      <c r="P287" s="6">
        <v>1620000</v>
      </c>
      <c r="Q287" s="6">
        <f>+M287</f>
        <v>1361344.54</v>
      </c>
      <c r="R287" s="6">
        <f t="shared" si="60"/>
        <v>34033.613499999999</v>
      </c>
      <c r="S287" s="7"/>
      <c r="T287"/>
      <c r="U287" s="5"/>
      <c r="V287" s="5"/>
    </row>
    <row r="288" spans="2:22" s="9" customFormat="1" x14ac:dyDescent="0.3">
      <c r="B288" s="5" t="s">
        <v>16</v>
      </c>
      <c r="C288" s="5" t="s">
        <v>769</v>
      </c>
      <c r="D288" s="5" t="s">
        <v>156</v>
      </c>
      <c r="E288" s="5" t="s">
        <v>24</v>
      </c>
      <c r="F288" s="5" t="s">
        <v>450</v>
      </c>
      <c r="G288" s="5" t="s">
        <v>451</v>
      </c>
      <c r="H288" s="6">
        <f>+P288-I288-J288</f>
        <v>-3.0526313465088606E-2</v>
      </c>
      <c r="I288" s="6">
        <f t="shared" si="65"/>
        <v>11655462.210526314</v>
      </c>
      <c r="J288" s="6">
        <v>2214537.8199999998</v>
      </c>
      <c r="K288" s="6">
        <v>0</v>
      </c>
      <c r="L288" s="6">
        <v>0</v>
      </c>
      <c r="M288" s="6">
        <f t="shared" si="66"/>
        <v>11655462.18</v>
      </c>
      <c r="N288" s="6">
        <f t="shared" si="63"/>
        <v>2214537.8199999998</v>
      </c>
      <c r="O288" s="6">
        <f t="shared" si="67"/>
        <v>13870000</v>
      </c>
      <c r="P288" s="6">
        <v>13870000</v>
      </c>
      <c r="Q288" s="6">
        <f>+M288</f>
        <v>11655462.18</v>
      </c>
      <c r="R288" s="6">
        <f t="shared" si="60"/>
        <v>291386.55449999997</v>
      </c>
      <c r="S288" s="7"/>
      <c r="T288"/>
      <c r="U288" s="5"/>
      <c r="V288" s="5"/>
    </row>
    <row r="289" spans="2:22" s="9" customFormat="1" x14ac:dyDescent="0.3">
      <c r="B289" s="5" t="s">
        <v>16</v>
      </c>
      <c r="C289" s="5" t="s">
        <v>770</v>
      </c>
      <c r="D289" s="5" t="s">
        <v>156</v>
      </c>
      <c r="E289" s="5" t="s">
        <v>771</v>
      </c>
      <c r="F289" s="5" t="s">
        <v>492</v>
      </c>
      <c r="G289" s="5" t="s">
        <v>493</v>
      </c>
      <c r="H289" s="6">
        <v>0</v>
      </c>
      <c r="I289" s="6">
        <f t="shared" si="65"/>
        <v>786554.63157894742</v>
      </c>
      <c r="J289" s="6">
        <v>149445.38</v>
      </c>
      <c r="K289" s="6">
        <v>0</v>
      </c>
      <c r="L289" s="6">
        <v>0</v>
      </c>
      <c r="M289" s="6">
        <f t="shared" si="66"/>
        <v>786554.63157894742</v>
      </c>
      <c r="N289" s="6">
        <f t="shared" si="63"/>
        <v>149445.38</v>
      </c>
      <c r="O289" s="6">
        <f t="shared" si="67"/>
        <v>936000.01157894742</v>
      </c>
      <c r="P289" s="6">
        <v>936000</v>
      </c>
      <c r="Q289" s="6">
        <f>+M289</f>
        <v>786554.63157894742</v>
      </c>
      <c r="R289" s="6">
        <f t="shared" si="60"/>
        <v>19663.865789473686</v>
      </c>
      <c r="S289" s="7"/>
      <c r="T289"/>
      <c r="U289" s="5"/>
      <c r="V289" s="5"/>
    </row>
    <row r="290" spans="2:22" s="9" customFormat="1" x14ac:dyDescent="0.3">
      <c r="B290" s="5" t="s">
        <v>16</v>
      </c>
      <c r="C290" s="5" t="s">
        <v>772</v>
      </c>
      <c r="D290" s="5" t="s">
        <v>35</v>
      </c>
      <c r="E290" s="5" t="s">
        <v>706</v>
      </c>
      <c r="F290" s="5" t="s">
        <v>53</v>
      </c>
      <c r="G290" s="5" t="s">
        <v>440</v>
      </c>
      <c r="H290" s="6">
        <f>+P290-I290-J290</f>
        <v>-2.578947367874207E-2</v>
      </c>
      <c r="I290" s="6">
        <f t="shared" si="65"/>
        <v>188235.31578947368</v>
      </c>
      <c r="J290" s="6">
        <v>35764.71</v>
      </c>
      <c r="K290" s="6">
        <v>0</v>
      </c>
      <c r="L290" s="6">
        <v>0</v>
      </c>
      <c r="M290" s="6">
        <f t="shared" si="66"/>
        <v>188235.29</v>
      </c>
      <c r="N290" s="6">
        <f>J290+L290</f>
        <v>35764.71</v>
      </c>
      <c r="O290" s="6">
        <f t="shared" si="67"/>
        <v>224000</v>
      </c>
      <c r="P290" s="6">
        <v>224000</v>
      </c>
      <c r="Q290" s="6">
        <v>0</v>
      </c>
      <c r="R290" s="6">
        <f t="shared" si="60"/>
        <v>0</v>
      </c>
      <c r="S290" s="7"/>
      <c r="T290"/>
      <c r="U290" s="5"/>
      <c r="V290" s="5"/>
    </row>
    <row r="291" spans="2:22" s="9" customFormat="1" x14ac:dyDescent="0.3">
      <c r="B291" s="5" t="s">
        <v>16</v>
      </c>
      <c r="C291" s="5" t="s">
        <v>773</v>
      </c>
      <c r="D291" s="5" t="s">
        <v>774</v>
      </c>
      <c r="E291" s="5" t="s">
        <v>775</v>
      </c>
      <c r="F291" s="5" t="s">
        <v>776</v>
      </c>
      <c r="G291" s="5" t="s">
        <v>777</v>
      </c>
      <c r="H291" s="6">
        <f>+P291-I291-J291</f>
        <v>0.26315789483487606</v>
      </c>
      <c r="I291" s="6">
        <f t="shared" si="65"/>
        <v>4545994.7368421052</v>
      </c>
      <c r="J291" s="6">
        <v>863739</v>
      </c>
      <c r="K291" s="6">
        <v>0</v>
      </c>
      <c r="L291" s="6">
        <v>0</v>
      </c>
      <c r="M291" s="6">
        <f t="shared" si="66"/>
        <v>4545995</v>
      </c>
      <c r="N291" s="6">
        <f t="shared" ref="N291:N305" si="68">+J291+L291</f>
        <v>863739</v>
      </c>
      <c r="O291" s="6">
        <f t="shared" si="67"/>
        <v>5409734</v>
      </c>
      <c r="P291" s="6">
        <v>5409734</v>
      </c>
      <c r="Q291" s="6">
        <v>0</v>
      </c>
      <c r="R291" s="6">
        <f t="shared" si="60"/>
        <v>0</v>
      </c>
      <c r="S291" s="7"/>
      <c r="T291"/>
      <c r="U291" s="5"/>
      <c r="V291" s="5"/>
    </row>
    <row r="292" spans="2:22" s="9" customFormat="1" x14ac:dyDescent="0.3">
      <c r="B292" s="5" t="s">
        <v>16</v>
      </c>
      <c r="C292" s="5" t="s">
        <v>778</v>
      </c>
      <c r="D292" s="5" t="s">
        <v>774</v>
      </c>
      <c r="E292" s="5" t="s">
        <v>779</v>
      </c>
      <c r="F292" s="5" t="s">
        <v>776</v>
      </c>
      <c r="G292" s="5" t="s">
        <v>777</v>
      </c>
      <c r="H292" s="6">
        <f>+P292-I292-J292-K292-L292</f>
        <v>1.7894736842717975</v>
      </c>
      <c r="I292" s="6">
        <f t="shared" si="65"/>
        <v>1342884.2105263157</v>
      </c>
      <c r="J292" s="6">
        <v>255148</v>
      </c>
      <c r="K292" s="6">
        <v>0</v>
      </c>
      <c r="L292" s="6">
        <v>0</v>
      </c>
      <c r="M292" s="6">
        <f t="shared" si="66"/>
        <v>1342886</v>
      </c>
      <c r="N292" s="6">
        <f t="shared" si="68"/>
        <v>255148</v>
      </c>
      <c r="O292" s="6">
        <f t="shared" si="67"/>
        <v>1598034</v>
      </c>
      <c r="P292" s="6">
        <v>1598034</v>
      </c>
      <c r="Q292" s="6">
        <v>0</v>
      </c>
      <c r="R292" s="6">
        <f t="shared" si="60"/>
        <v>0</v>
      </c>
      <c r="S292"/>
      <c r="T292"/>
      <c r="U292" s="5"/>
      <c r="V292" s="5"/>
    </row>
    <row r="293" spans="2:22" s="9" customFormat="1" x14ac:dyDescent="0.3">
      <c r="B293" s="5" t="s">
        <v>16</v>
      </c>
      <c r="C293" s="5" t="s">
        <v>780</v>
      </c>
      <c r="D293" s="5" t="s">
        <v>132</v>
      </c>
      <c r="E293" s="5" t="s">
        <v>404</v>
      </c>
      <c r="F293" s="5" t="s">
        <v>781</v>
      </c>
      <c r="G293" s="5" t="s">
        <v>782</v>
      </c>
      <c r="H293" s="6">
        <f t="shared" ref="H293:H298" si="69">+P293-I293-J293</f>
        <v>5.263157217996195E-4</v>
      </c>
      <c r="I293" s="6">
        <f t="shared" si="65"/>
        <v>436974.78947368427</v>
      </c>
      <c r="J293" s="6">
        <v>83025.210000000006</v>
      </c>
      <c r="K293" s="6">
        <v>0</v>
      </c>
      <c r="L293" s="6">
        <v>0</v>
      </c>
      <c r="M293" s="6">
        <f t="shared" si="66"/>
        <v>436974.79</v>
      </c>
      <c r="N293" s="6">
        <f t="shared" si="68"/>
        <v>83025.210000000006</v>
      </c>
      <c r="O293" s="6">
        <f t="shared" si="67"/>
        <v>520000</v>
      </c>
      <c r="P293" s="6">
        <v>520000</v>
      </c>
      <c r="Q293" s="6">
        <v>0</v>
      </c>
      <c r="R293" s="6">
        <f t="shared" si="60"/>
        <v>0</v>
      </c>
      <c r="S293" s="5"/>
      <c r="T293"/>
      <c r="U293" s="5"/>
      <c r="V293" s="5"/>
    </row>
    <row r="294" spans="2:22" s="9" customFormat="1" x14ac:dyDescent="0.3">
      <c r="B294" s="5" t="s">
        <v>16</v>
      </c>
      <c r="C294" s="5" t="s">
        <v>783</v>
      </c>
      <c r="D294" s="5" t="s">
        <v>132</v>
      </c>
      <c r="E294" s="5" t="s">
        <v>784</v>
      </c>
      <c r="F294" s="5" t="s">
        <v>781</v>
      </c>
      <c r="G294" s="5" t="s">
        <v>782</v>
      </c>
      <c r="H294" s="6">
        <f t="shared" si="69"/>
        <v>-2.4736842140555382E-2</v>
      </c>
      <c r="I294" s="6">
        <f t="shared" si="65"/>
        <v>462184.89473684214</v>
      </c>
      <c r="J294" s="6">
        <v>87815.13</v>
      </c>
      <c r="K294" s="6">
        <v>0</v>
      </c>
      <c r="L294" s="6">
        <v>0</v>
      </c>
      <c r="M294" s="6">
        <f t="shared" si="66"/>
        <v>462184.87</v>
      </c>
      <c r="N294" s="6">
        <f t="shared" si="68"/>
        <v>87815.13</v>
      </c>
      <c r="O294" s="6">
        <f t="shared" si="67"/>
        <v>550000</v>
      </c>
      <c r="P294" s="6">
        <v>550000</v>
      </c>
      <c r="Q294" s="6">
        <v>0</v>
      </c>
      <c r="R294" s="6">
        <f t="shared" si="60"/>
        <v>0</v>
      </c>
      <c r="S294" s="5"/>
      <c r="T294"/>
      <c r="U294" s="5"/>
      <c r="V294" s="5"/>
    </row>
    <row r="295" spans="2:22" s="9" customFormat="1" x14ac:dyDescent="0.3">
      <c r="B295" s="5" t="s">
        <v>16</v>
      </c>
      <c r="C295" s="5" t="s">
        <v>785</v>
      </c>
      <c r="D295" s="5" t="s">
        <v>132</v>
      </c>
      <c r="E295" s="5" t="s">
        <v>30</v>
      </c>
      <c r="F295" s="5" t="s">
        <v>781</v>
      </c>
      <c r="G295" s="5" t="s">
        <v>782</v>
      </c>
      <c r="H295" s="6">
        <f t="shared" si="69"/>
        <v>-1.6315789500367828E-2</v>
      </c>
      <c r="I295" s="6">
        <f t="shared" si="65"/>
        <v>453781.5263157895</v>
      </c>
      <c r="J295" s="6">
        <v>86218.49</v>
      </c>
      <c r="K295" s="6">
        <v>0</v>
      </c>
      <c r="L295" s="6">
        <v>0</v>
      </c>
      <c r="M295" s="6">
        <f t="shared" si="66"/>
        <v>453781.51</v>
      </c>
      <c r="N295" s="6">
        <f t="shared" si="68"/>
        <v>86218.49</v>
      </c>
      <c r="O295" s="6">
        <f t="shared" si="67"/>
        <v>540000</v>
      </c>
      <c r="P295" s="6">
        <v>540000</v>
      </c>
      <c r="Q295" s="6">
        <v>0</v>
      </c>
      <c r="R295" s="6">
        <f t="shared" si="60"/>
        <v>0</v>
      </c>
      <c r="S295" s="5"/>
      <c r="T295"/>
      <c r="U295" s="5"/>
      <c r="V295" s="5"/>
    </row>
    <row r="296" spans="2:22" s="9" customFormat="1" x14ac:dyDescent="0.3">
      <c r="B296" s="5" t="s">
        <v>16</v>
      </c>
      <c r="C296" s="5" t="s">
        <v>786</v>
      </c>
      <c r="D296" s="5" t="s">
        <v>132</v>
      </c>
      <c r="E296" s="5" t="s">
        <v>72</v>
      </c>
      <c r="F296" s="5" t="s">
        <v>781</v>
      </c>
      <c r="G296" s="5" t="s">
        <v>787</v>
      </c>
      <c r="H296" s="6">
        <f t="shared" si="69"/>
        <v>-2.4736842140555382E-2</v>
      </c>
      <c r="I296" s="6">
        <f t="shared" si="65"/>
        <v>462184.89473684214</v>
      </c>
      <c r="J296" s="6">
        <v>87815.13</v>
      </c>
      <c r="K296" s="6">
        <v>0</v>
      </c>
      <c r="L296" s="6">
        <v>0</v>
      </c>
      <c r="M296" s="6">
        <f t="shared" si="66"/>
        <v>462184.87</v>
      </c>
      <c r="N296" s="6">
        <f t="shared" si="68"/>
        <v>87815.13</v>
      </c>
      <c r="O296" s="6">
        <f t="shared" si="67"/>
        <v>550000</v>
      </c>
      <c r="P296" s="6">
        <v>550000</v>
      </c>
      <c r="Q296" s="6">
        <v>0</v>
      </c>
      <c r="R296" s="6">
        <f t="shared" si="60"/>
        <v>0</v>
      </c>
      <c r="S296" s="5"/>
      <c r="T296"/>
      <c r="U296" s="5"/>
      <c r="V296" s="5"/>
    </row>
    <row r="297" spans="2:22" s="9" customFormat="1" x14ac:dyDescent="0.3">
      <c r="B297" s="5" t="s">
        <v>16</v>
      </c>
      <c r="C297" s="5" t="s">
        <v>155</v>
      </c>
      <c r="D297" s="5" t="s">
        <v>132</v>
      </c>
      <c r="E297" s="5" t="s">
        <v>36</v>
      </c>
      <c r="F297" s="5" t="s">
        <v>781</v>
      </c>
      <c r="G297" s="5" t="s">
        <v>787</v>
      </c>
      <c r="H297" s="6">
        <f t="shared" si="69"/>
        <v>2.2105263080447912E-2</v>
      </c>
      <c r="I297" s="6">
        <f t="shared" si="65"/>
        <v>352941.15789473691</v>
      </c>
      <c r="J297" s="6">
        <v>67058.820000000007</v>
      </c>
      <c r="K297" s="6">
        <v>0</v>
      </c>
      <c r="L297" s="6">
        <v>0</v>
      </c>
      <c r="M297" s="6">
        <f t="shared" si="66"/>
        <v>352941.18</v>
      </c>
      <c r="N297" s="6">
        <f t="shared" si="68"/>
        <v>67058.820000000007</v>
      </c>
      <c r="O297" s="6">
        <f t="shared" si="67"/>
        <v>420000</v>
      </c>
      <c r="P297" s="6">
        <v>420000</v>
      </c>
      <c r="Q297" s="6">
        <v>0</v>
      </c>
      <c r="R297" s="6">
        <f t="shared" si="60"/>
        <v>0</v>
      </c>
      <c r="S297" s="5"/>
      <c r="T297"/>
      <c r="U297" s="5"/>
      <c r="V297" s="5"/>
    </row>
    <row r="298" spans="2:22" s="9" customFormat="1" x14ac:dyDescent="0.3">
      <c r="B298" s="5" t="s">
        <v>16</v>
      </c>
      <c r="C298" s="5" t="s">
        <v>788</v>
      </c>
      <c r="D298" s="5" t="s">
        <v>132</v>
      </c>
      <c r="E298" s="5" t="s">
        <v>789</v>
      </c>
      <c r="F298" s="5" t="s">
        <v>781</v>
      </c>
      <c r="G298" s="5" t="s">
        <v>787</v>
      </c>
      <c r="H298" s="6">
        <f t="shared" si="69"/>
        <v>5.263157858280465E-3</v>
      </c>
      <c r="I298" s="6">
        <f t="shared" si="65"/>
        <v>369747.89473684214</v>
      </c>
      <c r="J298" s="6">
        <v>70252.100000000006</v>
      </c>
      <c r="K298" s="6">
        <v>0</v>
      </c>
      <c r="L298" s="6">
        <v>0</v>
      </c>
      <c r="M298" s="6">
        <f t="shared" si="66"/>
        <v>369747.9</v>
      </c>
      <c r="N298" s="6">
        <f t="shared" si="68"/>
        <v>70252.100000000006</v>
      </c>
      <c r="O298" s="6">
        <f t="shared" si="67"/>
        <v>440000</v>
      </c>
      <c r="P298" s="6">
        <v>440000</v>
      </c>
      <c r="Q298" s="6">
        <v>0</v>
      </c>
      <c r="R298" s="6">
        <f t="shared" si="60"/>
        <v>0</v>
      </c>
      <c r="S298" s="5"/>
      <c r="T298"/>
      <c r="U298" s="5"/>
      <c r="V298" s="5"/>
    </row>
    <row r="299" spans="2:22" s="9" customFormat="1" x14ac:dyDescent="0.3">
      <c r="B299" s="5" t="s">
        <v>16</v>
      </c>
      <c r="C299" s="5" t="s">
        <v>180</v>
      </c>
      <c r="D299" s="5" t="s">
        <v>790</v>
      </c>
      <c r="E299" s="5" t="s">
        <v>791</v>
      </c>
      <c r="F299" s="5" t="s">
        <v>428</v>
      </c>
      <c r="G299" s="5" t="s">
        <v>429</v>
      </c>
      <c r="H299" s="6">
        <v>-2.7894735336303711E-2</v>
      </c>
      <c r="I299" s="6">
        <f t="shared" si="65"/>
        <v>10240336.157894736</v>
      </c>
      <c r="J299" s="6">
        <v>1945663.87</v>
      </c>
      <c r="K299" s="6">
        <v>0</v>
      </c>
      <c r="L299" s="6">
        <v>0</v>
      </c>
      <c r="M299" s="6">
        <f t="shared" si="66"/>
        <v>10240336.130000001</v>
      </c>
      <c r="N299" s="6">
        <f t="shared" si="68"/>
        <v>1945663.87</v>
      </c>
      <c r="O299" s="6">
        <f t="shared" si="67"/>
        <v>12186000</v>
      </c>
      <c r="P299" s="6">
        <v>12186000</v>
      </c>
      <c r="Q299" s="6">
        <f>+M299</f>
        <v>10240336.130000001</v>
      </c>
      <c r="R299" s="6">
        <f t="shared" si="60"/>
        <v>256008.40325000003</v>
      </c>
      <c r="S299" s="5"/>
      <c r="T299"/>
      <c r="U299" s="5"/>
      <c r="V299" s="5"/>
    </row>
    <row r="300" spans="2:22" s="9" customFormat="1" x14ac:dyDescent="0.3">
      <c r="B300" s="5" t="s">
        <v>16</v>
      </c>
      <c r="C300" s="5" t="s">
        <v>792</v>
      </c>
      <c r="D300" s="5" t="s">
        <v>790</v>
      </c>
      <c r="E300" s="5" t="s">
        <v>138</v>
      </c>
      <c r="F300" s="5" t="s">
        <v>428</v>
      </c>
      <c r="G300" s="5" t="s">
        <v>429</v>
      </c>
      <c r="H300" s="6">
        <f>+P300-I300-J300</f>
        <v>-2.0000000018626451E-2</v>
      </c>
      <c r="I300" s="6">
        <f t="shared" si="65"/>
        <v>18594958</v>
      </c>
      <c r="J300" s="6">
        <v>3533042.02</v>
      </c>
      <c r="K300" s="6">
        <v>0</v>
      </c>
      <c r="L300" s="6">
        <v>0</v>
      </c>
      <c r="M300" s="6">
        <f t="shared" si="66"/>
        <v>18594957.98</v>
      </c>
      <c r="N300" s="6">
        <f t="shared" si="68"/>
        <v>3533042.02</v>
      </c>
      <c r="O300" s="6">
        <f t="shared" si="67"/>
        <v>22128000</v>
      </c>
      <c r="P300" s="6">
        <v>22128000</v>
      </c>
      <c r="Q300" s="6">
        <f>+M300</f>
        <v>18594957.98</v>
      </c>
      <c r="R300" s="6">
        <f t="shared" si="60"/>
        <v>464873.94950000005</v>
      </c>
      <c r="S300" s="5"/>
      <c r="T300"/>
      <c r="U300" s="5"/>
      <c r="V300" s="5"/>
    </row>
    <row r="301" spans="2:22" s="9" customFormat="1" x14ac:dyDescent="0.3">
      <c r="B301" s="5" t="s">
        <v>16</v>
      </c>
      <c r="C301" s="5" t="s">
        <v>793</v>
      </c>
      <c r="D301" s="5" t="s">
        <v>794</v>
      </c>
      <c r="E301" s="5" t="s">
        <v>795</v>
      </c>
      <c r="F301" s="5" t="s">
        <v>796</v>
      </c>
      <c r="G301" s="5" t="s">
        <v>797</v>
      </c>
      <c r="H301" s="6">
        <v>311271.36894736835</v>
      </c>
      <c r="I301" s="6">
        <f t="shared" si="65"/>
        <v>949631.42105263157</v>
      </c>
      <c r="J301" s="6">
        <v>180429.97</v>
      </c>
      <c r="K301" s="6">
        <v>0</v>
      </c>
      <c r="L301" s="6">
        <v>0</v>
      </c>
      <c r="M301" s="6">
        <f t="shared" si="66"/>
        <v>1260902.79</v>
      </c>
      <c r="N301" s="6">
        <f t="shared" si="68"/>
        <v>180429.97</v>
      </c>
      <c r="O301" s="6">
        <f t="shared" si="67"/>
        <v>1441332.76</v>
      </c>
      <c r="P301" s="6">
        <v>1441332.76</v>
      </c>
      <c r="Q301" s="6">
        <f>+P301-O301</f>
        <v>0</v>
      </c>
      <c r="R301" s="6">
        <f t="shared" si="60"/>
        <v>0</v>
      </c>
      <c r="S301" s="5"/>
      <c r="T301"/>
      <c r="U301"/>
      <c r="V301"/>
    </row>
    <row r="302" spans="2:22" s="9" customFormat="1" x14ac:dyDescent="0.3">
      <c r="B302" s="5" t="s">
        <v>16</v>
      </c>
      <c r="C302" s="5" t="s">
        <v>798</v>
      </c>
      <c r="D302" s="5" t="s">
        <v>794</v>
      </c>
      <c r="E302" s="5" t="s">
        <v>495</v>
      </c>
      <c r="F302" s="5" t="s">
        <v>796</v>
      </c>
      <c r="G302" s="5" t="s">
        <v>797</v>
      </c>
      <c r="H302" s="6">
        <v>1.0526315774768591E-2</v>
      </c>
      <c r="I302" s="6">
        <f t="shared" si="65"/>
        <v>394462.78947368421</v>
      </c>
      <c r="J302" s="6">
        <v>74947.929999999993</v>
      </c>
      <c r="K302" s="6">
        <v>0</v>
      </c>
      <c r="L302" s="6">
        <v>0</v>
      </c>
      <c r="M302" s="6">
        <f t="shared" si="66"/>
        <v>394462.8</v>
      </c>
      <c r="N302" s="6">
        <f t="shared" si="68"/>
        <v>74947.929999999993</v>
      </c>
      <c r="O302" s="6">
        <f t="shared" si="67"/>
        <v>469410.73</v>
      </c>
      <c r="P302" s="6">
        <v>469410.73</v>
      </c>
      <c r="Q302" s="6">
        <v>0</v>
      </c>
      <c r="R302" s="6">
        <f t="shared" si="60"/>
        <v>0</v>
      </c>
      <c r="S302" s="5"/>
      <c r="T302"/>
      <c r="U302" s="5"/>
      <c r="V302" s="5"/>
    </row>
    <row r="303" spans="2:22" s="9" customFormat="1" x14ac:dyDescent="0.3">
      <c r="B303" s="5" t="s">
        <v>16</v>
      </c>
      <c r="C303" s="5" t="s">
        <v>799</v>
      </c>
      <c r="D303" s="5" t="s">
        <v>794</v>
      </c>
      <c r="E303" s="5" t="s">
        <v>548</v>
      </c>
      <c r="F303" s="5" t="s">
        <v>796</v>
      </c>
      <c r="G303" s="5" t="s">
        <v>797</v>
      </c>
      <c r="H303" s="6">
        <v>0</v>
      </c>
      <c r="I303" s="6">
        <f t="shared" si="65"/>
        <v>171969</v>
      </c>
      <c r="J303" s="6">
        <v>32674.11</v>
      </c>
      <c r="K303" s="6">
        <v>0</v>
      </c>
      <c r="L303" s="6">
        <v>0</v>
      </c>
      <c r="M303" s="6">
        <f t="shared" si="66"/>
        <v>171969</v>
      </c>
      <c r="N303" s="6">
        <f t="shared" si="68"/>
        <v>32674.11</v>
      </c>
      <c r="O303" s="6">
        <f t="shared" si="67"/>
        <v>204643.11</v>
      </c>
      <c r="P303" s="6">
        <v>204643.11</v>
      </c>
      <c r="Q303" s="6">
        <v>0</v>
      </c>
      <c r="R303" s="6">
        <f t="shared" si="60"/>
        <v>0</v>
      </c>
      <c r="S303" s="5"/>
      <c r="T303"/>
      <c r="U303" s="5"/>
      <c r="V303" s="5"/>
    </row>
    <row r="304" spans="2:22" s="9" customFormat="1" x14ac:dyDescent="0.3">
      <c r="B304" s="5" t="s">
        <v>16</v>
      </c>
      <c r="C304" s="5" t="s">
        <v>800</v>
      </c>
      <c r="D304" s="5" t="s">
        <v>794</v>
      </c>
      <c r="E304" s="5" t="s">
        <v>801</v>
      </c>
      <c r="F304" s="5" t="s">
        <v>796</v>
      </c>
      <c r="G304" s="5" t="s">
        <v>797</v>
      </c>
      <c r="H304" s="6">
        <v>1.5789475291967392E-3</v>
      </c>
      <c r="I304" s="6">
        <f t="shared" si="65"/>
        <v>2887058.3684210526</v>
      </c>
      <c r="J304" s="6">
        <v>548541.09</v>
      </c>
      <c r="K304" s="6">
        <v>0</v>
      </c>
      <c r="L304" s="6">
        <v>0</v>
      </c>
      <c r="M304" s="6">
        <f t="shared" si="66"/>
        <v>2887058.37</v>
      </c>
      <c r="N304" s="6">
        <f t="shared" si="68"/>
        <v>548541.09</v>
      </c>
      <c r="O304" s="6">
        <f t="shared" si="67"/>
        <v>3435599.46</v>
      </c>
      <c r="P304" s="6">
        <v>3435599.46</v>
      </c>
      <c r="Q304" s="6">
        <v>0</v>
      </c>
      <c r="R304" s="6">
        <f t="shared" si="60"/>
        <v>0</v>
      </c>
      <c r="S304" s="5"/>
      <c r="T304"/>
      <c r="U304" s="5"/>
      <c r="V304" s="5"/>
    </row>
    <row r="305" spans="2:22" s="9" customFormat="1" x14ac:dyDescent="0.3">
      <c r="B305" s="5" t="s">
        <v>16</v>
      </c>
      <c r="C305" s="5" t="s">
        <v>802</v>
      </c>
      <c r="D305" s="5" t="s">
        <v>794</v>
      </c>
      <c r="E305" s="5" t="s">
        <v>803</v>
      </c>
      <c r="F305" s="5" t="s">
        <v>796</v>
      </c>
      <c r="G305" s="5" t="s">
        <v>797</v>
      </c>
      <c r="H305" s="6">
        <v>-1.684210542589426E-2</v>
      </c>
      <c r="I305" s="6">
        <f t="shared" si="65"/>
        <v>1068994.7368421054</v>
      </c>
      <c r="J305" s="6">
        <v>203109</v>
      </c>
      <c r="K305" s="6">
        <v>0</v>
      </c>
      <c r="L305" s="6">
        <v>0</v>
      </c>
      <c r="M305" s="6">
        <f t="shared" si="66"/>
        <v>1068994.72</v>
      </c>
      <c r="N305" s="6">
        <f t="shared" si="68"/>
        <v>203109</v>
      </c>
      <c r="O305" s="6">
        <f t="shared" si="67"/>
        <v>1272103.72</v>
      </c>
      <c r="P305" s="6">
        <v>1272103.72</v>
      </c>
      <c r="Q305" s="6">
        <v>0</v>
      </c>
      <c r="R305" s="6">
        <f t="shared" si="60"/>
        <v>0</v>
      </c>
      <c r="S305" s="5"/>
      <c r="T305"/>
      <c r="U305" s="5"/>
      <c r="V305" s="5"/>
    </row>
    <row r="306" spans="2:22" s="9" customFormat="1" x14ac:dyDescent="0.3">
      <c r="B306" s="5" t="s">
        <v>16</v>
      </c>
      <c r="C306" s="5" t="s">
        <v>804</v>
      </c>
      <c r="D306" s="5" t="s">
        <v>794</v>
      </c>
      <c r="E306" s="5" t="s">
        <v>805</v>
      </c>
      <c r="F306" s="5" t="s">
        <v>796</v>
      </c>
      <c r="G306" s="5" t="s">
        <v>797</v>
      </c>
      <c r="H306" s="6">
        <v>1.9473684253171086E-2</v>
      </c>
      <c r="I306" s="6">
        <f t="shared" si="65"/>
        <v>7915296.2105263155</v>
      </c>
      <c r="J306" s="6">
        <v>1503906.28</v>
      </c>
      <c r="K306" s="6"/>
      <c r="L306" s="6"/>
      <c r="M306" s="6">
        <f t="shared" ref="M306:M312" si="70">+H306+I306</f>
        <v>7915296.2299999995</v>
      </c>
      <c r="N306" s="6">
        <f t="shared" ref="N306:N312" si="71">+J306</f>
        <v>1503906.28</v>
      </c>
      <c r="O306" s="6">
        <f t="shared" si="67"/>
        <v>9419202.5099999998</v>
      </c>
      <c r="P306" s="6">
        <v>9419202.5099999998</v>
      </c>
      <c r="Q306" s="6"/>
      <c r="R306" s="6">
        <f t="shared" si="60"/>
        <v>0</v>
      </c>
      <c r="S306"/>
      <c r="T306"/>
      <c r="U306" s="5"/>
      <c r="V306" s="5"/>
    </row>
    <row r="307" spans="2:22" s="5" customFormat="1" x14ac:dyDescent="0.3">
      <c r="B307" s="5" t="s">
        <v>16</v>
      </c>
      <c r="C307" s="5" t="s">
        <v>806</v>
      </c>
      <c r="D307" s="5" t="s">
        <v>794</v>
      </c>
      <c r="E307" s="5" t="s">
        <v>807</v>
      </c>
      <c r="F307" s="5" t="s">
        <v>796</v>
      </c>
      <c r="G307" s="5" t="s">
        <v>797</v>
      </c>
      <c r="H307" s="6">
        <v>4.2105263783014379E-3</v>
      </c>
      <c r="I307" s="6">
        <f t="shared" si="65"/>
        <v>278309.31578947365</v>
      </c>
      <c r="J307" s="6">
        <v>52878.77</v>
      </c>
      <c r="K307" s="6"/>
      <c r="L307" s="6"/>
      <c r="M307" s="6">
        <f t="shared" si="70"/>
        <v>278309.32</v>
      </c>
      <c r="N307" s="6">
        <f t="shared" si="71"/>
        <v>52878.77</v>
      </c>
      <c r="O307" s="6">
        <f t="shared" si="67"/>
        <v>331188.09000000003</v>
      </c>
      <c r="P307" s="6">
        <v>331188.09000000003</v>
      </c>
      <c r="Q307" s="6"/>
      <c r="R307" s="6">
        <f t="shared" si="60"/>
        <v>0</v>
      </c>
      <c r="S307"/>
      <c r="T307"/>
    </row>
    <row r="308" spans="2:22" s="5" customFormat="1" x14ac:dyDescent="0.3">
      <c r="B308" s="5" t="s">
        <v>16</v>
      </c>
      <c r="C308" s="5" t="s">
        <v>808</v>
      </c>
      <c r="D308" s="5" t="s">
        <v>794</v>
      </c>
      <c r="E308" s="5" t="s">
        <v>809</v>
      </c>
      <c r="F308" s="5" t="s">
        <v>796</v>
      </c>
      <c r="G308" s="5" t="s">
        <v>797</v>
      </c>
      <c r="H308" s="6">
        <v>1.894736840040423E-2</v>
      </c>
      <c r="I308" s="6">
        <f t="shared" si="65"/>
        <v>760928.42105263157</v>
      </c>
      <c r="J308" s="6">
        <v>144576.4</v>
      </c>
      <c r="K308" s="6"/>
      <c r="L308" s="6"/>
      <c r="M308" s="6">
        <f t="shared" si="70"/>
        <v>760928.44</v>
      </c>
      <c r="N308" s="6">
        <f t="shared" si="71"/>
        <v>144576.4</v>
      </c>
      <c r="O308" s="6">
        <f t="shared" si="67"/>
        <v>905504.84</v>
      </c>
      <c r="P308" s="6">
        <v>905504.84</v>
      </c>
      <c r="Q308" s="6"/>
      <c r="R308" s="6">
        <f t="shared" ref="R308:R371" si="72">+Q308*2.5/100</f>
        <v>0</v>
      </c>
      <c r="S308"/>
      <c r="T308"/>
    </row>
    <row r="309" spans="2:22" s="5" customFormat="1" x14ac:dyDescent="0.3">
      <c r="B309" s="5" t="s">
        <v>16</v>
      </c>
      <c r="C309" s="5" t="s">
        <v>810</v>
      </c>
      <c r="D309" s="5" t="s">
        <v>794</v>
      </c>
      <c r="E309" s="5" t="s">
        <v>809</v>
      </c>
      <c r="F309" s="5" t="s">
        <v>796</v>
      </c>
      <c r="G309" s="5" t="s">
        <v>797</v>
      </c>
      <c r="H309" s="6">
        <v>-2.1052631534985267E-2</v>
      </c>
      <c r="I309" s="6">
        <f t="shared" si="65"/>
        <v>645472.42105263157</v>
      </c>
      <c r="J309" s="6">
        <v>122639.76</v>
      </c>
      <c r="K309" s="6"/>
      <c r="L309" s="6"/>
      <c r="M309" s="6">
        <f t="shared" si="70"/>
        <v>645472.4</v>
      </c>
      <c r="N309" s="6">
        <f t="shared" si="71"/>
        <v>122639.76</v>
      </c>
      <c r="O309" s="6">
        <f t="shared" si="67"/>
        <v>768112.16</v>
      </c>
      <c r="P309" s="6">
        <v>768112.16</v>
      </c>
      <c r="Q309" s="6"/>
      <c r="R309" s="6">
        <f t="shared" si="72"/>
        <v>0</v>
      </c>
      <c r="T309"/>
    </row>
    <row r="310" spans="2:22" s="5" customFormat="1" x14ac:dyDescent="0.3">
      <c r="B310" s="5" t="s">
        <v>16</v>
      </c>
      <c r="C310" s="5" t="s">
        <v>811</v>
      </c>
      <c r="D310" s="5" t="s">
        <v>794</v>
      </c>
      <c r="E310" s="5" t="s">
        <v>694</v>
      </c>
      <c r="F310" s="5" t="s">
        <v>796</v>
      </c>
      <c r="G310" s="5" t="s">
        <v>797</v>
      </c>
      <c r="H310" s="6">
        <v>0</v>
      </c>
      <c r="I310" s="6">
        <f t="shared" si="65"/>
        <v>159942</v>
      </c>
      <c r="J310" s="6">
        <v>30388.98</v>
      </c>
      <c r="K310" s="6"/>
      <c r="L310" s="6"/>
      <c r="M310" s="6">
        <f t="shared" si="70"/>
        <v>159942</v>
      </c>
      <c r="N310" s="6">
        <f t="shared" si="71"/>
        <v>30388.98</v>
      </c>
      <c r="O310" s="6">
        <f t="shared" si="67"/>
        <v>190330.98</v>
      </c>
      <c r="P310" s="6">
        <v>190330.98</v>
      </c>
      <c r="Q310" s="6"/>
      <c r="R310" s="6">
        <f t="shared" si="72"/>
        <v>0</v>
      </c>
      <c r="T310"/>
    </row>
    <row r="311" spans="2:22" s="5" customFormat="1" x14ac:dyDescent="0.3">
      <c r="B311" s="5" t="s">
        <v>16</v>
      </c>
      <c r="C311" s="5" t="s">
        <v>812</v>
      </c>
      <c r="D311" s="5" t="s">
        <v>794</v>
      </c>
      <c r="E311" s="5" t="s">
        <v>694</v>
      </c>
      <c r="F311" s="5" t="s">
        <v>796</v>
      </c>
      <c r="G311" s="5" t="s">
        <v>797</v>
      </c>
      <c r="H311" s="6">
        <v>311271.39631578949</v>
      </c>
      <c r="I311" s="6">
        <f t="shared" si="65"/>
        <v>957165.47368421056</v>
      </c>
      <c r="J311" s="6">
        <v>181861.44</v>
      </c>
      <c r="K311" s="6"/>
      <c r="L311" s="6"/>
      <c r="M311" s="6">
        <f t="shared" si="70"/>
        <v>1268436.8700000001</v>
      </c>
      <c r="N311" s="6">
        <f t="shared" si="71"/>
        <v>181861.44</v>
      </c>
      <c r="O311" s="6">
        <f t="shared" si="67"/>
        <v>1450298.31</v>
      </c>
      <c r="P311" s="6">
        <v>1450298.31</v>
      </c>
      <c r="Q311" s="6"/>
      <c r="R311" s="6">
        <f t="shared" si="72"/>
        <v>0</v>
      </c>
      <c r="T311"/>
    </row>
    <row r="312" spans="2:22" x14ac:dyDescent="0.3">
      <c r="B312" s="5" t="s">
        <v>16</v>
      </c>
      <c r="C312" s="5" t="s">
        <v>813</v>
      </c>
      <c r="D312" s="5" t="s">
        <v>794</v>
      </c>
      <c r="E312" s="5" t="s">
        <v>694</v>
      </c>
      <c r="F312" s="5" t="s">
        <v>796</v>
      </c>
      <c r="G312" s="5" t="s">
        <v>797</v>
      </c>
      <c r="H312" s="6">
        <v>1.7894737306050956E-2</v>
      </c>
      <c r="I312" s="6">
        <f t="shared" si="65"/>
        <v>3002388.8421052629</v>
      </c>
      <c r="J312" s="6">
        <v>570453.88</v>
      </c>
      <c r="K312" s="6"/>
      <c r="L312" s="6"/>
      <c r="M312" s="6">
        <f t="shared" si="70"/>
        <v>3002388.8600000003</v>
      </c>
      <c r="N312" s="6">
        <f t="shared" si="71"/>
        <v>570453.88</v>
      </c>
      <c r="O312" s="6">
        <f t="shared" si="67"/>
        <v>3572842.74</v>
      </c>
      <c r="P312" s="6">
        <v>3572842.74</v>
      </c>
      <c r="Q312" s="6"/>
      <c r="R312" s="6">
        <f t="shared" si="72"/>
        <v>0</v>
      </c>
      <c r="S312" s="5"/>
      <c r="U312" s="5"/>
      <c r="V312" s="5"/>
    </row>
    <row r="313" spans="2:22" s="5" customFormat="1" x14ac:dyDescent="0.3">
      <c r="B313" s="7" t="s">
        <v>16</v>
      </c>
      <c r="C313" s="7" t="s">
        <v>814</v>
      </c>
      <c r="D313" s="7" t="s">
        <v>794</v>
      </c>
      <c r="E313" s="7" t="s">
        <v>696</v>
      </c>
      <c r="F313" s="7" t="s">
        <v>796</v>
      </c>
      <c r="G313" s="7" t="s">
        <v>797</v>
      </c>
      <c r="H313" s="8">
        <f t="shared" ref="H313:H366" si="73">+P313-I313-J313</f>
        <v>2.5789473729673773E-2</v>
      </c>
      <c r="I313" s="8">
        <f t="shared" si="65"/>
        <v>1478876.6842105263</v>
      </c>
      <c r="J313" s="8">
        <v>280986.57</v>
      </c>
      <c r="K313" s="8">
        <v>0</v>
      </c>
      <c r="L313" s="8">
        <v>0</v>
      </c>
      <c r="M313" s="8">
        <f t="shared" ref="M313:M321" si="74">+I313+H313</f>
        <v>1478876.71</v>
      </c>
      <c r="N313" s="8">
        <f t="shared" ref="N313:N335" si="75">+J313+L313</f>
        <v>280986.57</v>
      </c>
      <c r="O313" s="8">
        <f t="shared" si="67"/>
        <v>1759863.28</v>
      </c>
      <c r="P313" s="8">
        <v>1759863.28</v>
      </c>
      <c r="Q313" s="8">
        <v>0</v>
      </c>
      <c r="R313" s="8">
        <f t="shared" si="72"/>
        <v>0</v>
      </c>
      <c r="T313"/>
    </row>
    <row r="314" spans="2:22" s="5" customFormat="1" x14ac:dyDescent="0.3">
      <c r="B314" s="7" t="s">
        <v>16</v>
      </c>
      <c r="C314" s="7" t="s">
        <v>815</v>
      </c>
      <c r="D314" s="7" t="s">
        <v>794</v>
      </c>
      <c r="E314" s="7" t="s">
        <v>700</v>
      </c>
      <c r="F314" s="7" t="s">
        <v>796</v>
      </c>
      <c r="G314" s="7" t="s">
        <v>797</v>
      </c>
      <c r="H314" s="8">
        <f t="shared" si="73"/>
        <v>-4.2105268221348524E-3</v>
      </c>
      <c r="I314" s="8">
        <f t="shared" si="65"/>
        <v>2672235.6842105268</v>
      </c>
      <c r="J314" s="8">
        <v>507724.78</v>
      </c>
      <c r="K314" s="8">
        <v>0</v>
      </c>
      <c r="L314" s="8">
        <v>0</v>
      </c>
      <c r="M314" s="8">
        <f t="shared" si="74"/>
        <v>2672235.6799999997</v>
      </c>
      <c r="N314" s="8">
        <f t="shared" si="75"/>
        <v>507724.78</v>
      </c>
      <c r="O314" s="8">
        <f t="shared" si="67"/>
        <v>3179960.46</v>
      </c>
      <c r="P314" s="8">
        <v>3179960.46</v>
      </c>
      <c r="Q314" s="8">
        <v>0</v>
      </c>
      <c r="R314" s="8">
        <f t="shared" si="72"/>
        <v>0</v>
      </c>
      <c r="T314"/>
    </row>
    <row r="315" spans="2:22" s="5" customFormat="1" x14ac:dyDescent="0.3">
      <c r="B315" s="7" t="s">
        <v>16</v>
      </c>
      <c r="C315" s="7" t="s">
        <v>816</v>
      </c>
      <c r="D315" s="7" t="s">
        <v>794</v>
      </c>
      <c r="E315" s="7" t="s">
        <v>700</v>
      </c>
      <c r="F315" s="7" t="s">
        <v>796</v>
      </c>
      <c r="G315" s="7" t="s">
        <v>797</v>
      </c>
      <c r="H315" s="8">
        <f t="shared" si="73"/>
        <v>1.5789473662152886E-2</v>
      </c>
      <c r="I315" s="8">
        <f t="shared" si="65"/>
        <v>668121.68421052629</v>
      </c>
      <c r="J315" s="8">
        <v>126943.12</v>
      </c>
      <c r="K315" s="8">
        <v>0</v>
      </c>
      <c r="L315" s="8">
        <v>0</v>
      </c>
      <c r="M315" s="8">
        <f t="shared" si="74"/>
        <v>668121.69999999995</v>
      </c>
      <c r="N315" s="8">
        <f t="shared" si="75"/>
        <v>126943.12</v>
      </c>
      <c r="O315" s="8">
        <f t="shared" si="67"/>
        <v>795064.82</v>
      </c>
      <c r="P315" s="8">
        <v>795064.82</v>
      </c>
      <c r="Q315" s="8">
        <v>0</v>
      </c>
      <c r="R315" s="8">
        <f t="shared" si="72"/>
        <v>0</v>
      </c>
      <c r="T315"/>
    </row>
    <row r="316" spans="2:22" s="5" customFormat="1" x14ac:dyDescent="0.3">
      <c r="B316" s="7" t="s">
        <v>16</v>
      </c>
      <c r="C316" s="7" t="s">
        <v>817</v>
      </c>
      <c r="D316" s="7" t="s">
        <v>794</v>
      </c>
      <c r="E316" s="7" t="s">
        <v>818</v>
      </c>
      <c r="F316" s="7" t="s">
        <v>796</v>
      </c>
      <c r="G316" s="7" t="s">
        <v>797</v>
      </c>
      <c r="H316" s="8">
        <f t="shared" si="73"/>
        <v>-5.2631578910222743E-3</v>
      </c>
      <c r="I316" s="8">
        <f t="shared" si="65"/>
        <v>102446.10526315789</v>
      </c>
      <c r="J316" s="8">
        <v>19464.759999999998</v>
      </c>
      <c r="K316" s="8">
        <v>0</v>
      </c>
      <c r="L316" s="8">
        <v>0</v>
      </c>
      <c r="M316" s="8">
        <f t="shared" si="74"/>
        <v>102446.1</v>
      </c>
      <c r="N316" s="8">
        <f t="shared" si="75"/>
        <v>19464.759999999998</v>
      </c>
      <c r="O316" s="8">
        <f t="shared" si="67"/>
        <v>121910.86</v>
      </c>
      <c r="P316" s="8">
        <v>121910.86</v>
      </c>
      <c r="Q316" s="8">
        <v>0</v>
      </c>
      <c r="R316" s="8">
        <f t="shared" si="72"/>
        <v>0</v>
      </c>
      <c r="T316"/>
    </row>
    <row r="317" spans="2:22" s="5" customFormat="1" x14ac:dyDescent="0.3">
      <c r="B317" s="7" t="s">
        <v>16</v>
      </c>
      <c r="C317" s="7" t="s">
        <v>819</v>
      </c>
      <c r="D317" s="7" t="s">
        <v>794</v>
      </c>
      <c r="E317" s="7" t="s">
        <v>820</v>
      </c>
      <c r="F317" s="7" t="s">
        <v>796</v>
      </c>
      <c r="G317" s="7" t="s">
        <v>797</v>
      </c>
      <c r="H317" s="8">
        <f t="shared" si="73"/>
        <v>-1.0526315818424337E-2</v>
      </c>
      <c r="I317" s="8">
        <f t="shared" si="65"/>
        <v>366943.21052631579</v>
      </c>
      <c r="J317" s="8">
        <v>69719.210000000006</v>
      </c>
      <c r="K317" s="8">
        <v>0</v>
      </c>
      <c r="L317" s="8">
        <v>0</v>
      </c>
      <c r="M317" s="8">
        <f t="shared" si="74"/>
        <v>366943.19999999995</v>
      </c>
      <c r="N317" s="8">
        <f t="shared" si="75"/>
        <v>69719.210000000006</v>
      </c>
      <c r="O317" s="8">
        <f t="shared" si="67"/>
        <v>436662.41</v>
      </c>
      <c r="P317" s="8">
        <v>436662.41</v>
      </c>
      <c r="Q317" s="8">
        <v>0</v>
      </c>
      <c r="R317" s="8">
        <f t="shared" si="72"/>
        <v>0</v>
      </c>
      <c r="T317"/>
    </row>
    <row r="318" spans="2:22" s="5" customFormat="1" x14ac:dyDescent="0.3">
      <c r="B318" s="7" t="s">
        <v>16</v>
      </c>
      <c r="C318" s="7" t="s">
        <v>821</v>
      </c>
      <c r="D318" s="7" t="s">
        <v>794</v>
      </c>
      <c r="E318" s="7" t="s">
        <v>431</v>
      </c>
      <c r="F318" s="7" t="s">
        <v>796</v>
      </c>
      <c r="G318" s="7" t="s">
        <v>797</v>
      </c>
      <c r="H318" s="8">
        <f t="shared" si="73"/>
        <v>-2.6315789476939244E-2</v>
      </c>
      <c r="I318" s="8">
        <f t="shared" si="65"/>
        <v>49846.526315789473</v>
      </c>
      <c r="J318" s="8">
        <v>9470.84</v>
      </c>
      <c r="K318" s="8">
        <v>0</v>
      </c>
      <c r="L318" s="8">
        <v>0</v>
      </c>
      <c r="M318" s="8">
        <f t="shared" si="74"/>
        <v>49846.5</v>
      </c>
      <c r="N318" s="8">
        <f t="shared" si="75"/>
        <v>9470.84</v>
      </c>
      <c r="O318" s="8">
        <f t="shared" si="67"/>
        <v>59317.34</v>
      </c>
      <c r="P318" s="8">
        <v>59317.34</v>
      </c>
      <c r="Q318" s="8">
        <v>0</v>
      </c>
      <c r="R318" s="8">
        <f t="shared" si="72"/>
        <v>0</v>
      </c>
      <c r="T318"/>
    </row>
    <row r="319" spans="2:22" s="5" customFormat="1" x14ac:dyDescent="0.3">
      <c r="B319" s="7" t="s">
        <v>16</v>
      </c>
      <c r="C319" s="7" t="s">
        <v>822</v>
      </c>
      <c r="D319" s="7" t="s">
        <v>794</v>
      </c>
      <c r="E319" s="7" t="s">
        <v>431</v>
      </c>
      <c r="F319" s="7" t="s">
        <v>796</v>
      </c>
      <c r="G319" s="7" t="s">
        <v>797</v>
      </c>
      <c r="H319" s="8">
        <f t="shared" si="73"/>
        <v>322368.42421052628</v>
      </c>
      <c r="I319" s="8">
        <f t="shared" si="65"/>
        <v>193097.31578947368</v>
      </c>
      <c r="J319" s="8">
        <v>36688.49</v>
      </c>
      <c r="K319" s="8">
        <v>0</v>
      </c>
      <c r="L319" s="8">
        <v>0</v>
      </c>
      <c r="M319" s="8">
        <f t="shared" si="74"/>
        <v>515465.74</v>
      </c>
      <c r="N319" s="8">
        <f t="shared" si="75"/>
        <v>36688.49</v>
      </c>
      <c r="O319" s="8">
        <f t="shared" si="67"/>
        <v>552154.23</v>
      </c>
      <c r="P319" s="8">
        <v>552154.23</v>
      </c>
      <c r="Q319" s="8">
        <v>0</v>
      </c>
      <c r="R319" s="8">
        <f t="shared" si="72"/>
        <v>0</v>
      </c>
      <c r="T319"/>
    </row>
    <row r="320" spans="2:22" s="5" customFormat="1" x14ac:dyDescent="0.3">
      <c r="B320" s="7" t="s">
        <v>16</v>
      </c>
      <c r="C320" s="7" t="s">
        <v>823</v>
      </c>
      <c r="D320" s="7" t="s">
        <v>794</v>
      </c>
      <c r="E320" s="7" t="s">
        <v>431</v>
      </c>
      <c r="F320" s="7" t="s">
        <v>796</v>
      </c>
      <c r="G320" s="7" t="s">
        <v>797</v>
      </c>
      <c r="H320" s="8">
        <f t="shared" si="73"/>
        <v>-2.5263158371672034E-2</v>
      </c>
      <c r="I320" s="8">
        <f t="shared" si="65"/>
        <v>10705145.105263159</v>
      </c>
      <c r="J320" s="8">
        <v>2033977.57</v>
      </c>
      <c r="K320" s="8">
        <v>0</v>
      </c>
      <c r="L320" s="8">
        <v>0</v>
      </c>
      <c r="M320" s="8">
        <f t="shared" si="74"/>
        <v>10705145.08</v>
      </c>
      <c r="N320" s="8">
        <f t="shared" si="75"/>
        <v>2033977.57</v>
      </c>
      <c r="O320" s="8">
        <f t="shared" si="67"/>
        <v>12739122.65</v>
      </c>
      <c r="P320" s="8">
        <v>12739122.65</v>
      </c>
      <c r="Q320" s="8">
        <v>0</v>
      </c>
      <c r="R320" s="8">
        <f t="shared" si="72"/>
        <v>0</v>
      </c>
      <c r="T320"/>
    </row>
    <row r="321" spans="2:22" s="5" customFormat="1" x14ac:dyDescent="0.3">
      <c r="B321" s="7" t="s">
        <v>16</v>
      </c>
      <c r="C321" s="7" t="s">
        <v>824</v>
      </c>
      <c r="D321" s="7" t="s">
        <v>794</v>
      </c>
      <c r="E321" s="7" t="s">
        <v>825</v>
      </c>
      <c r="F321" s="7" t="s">
        <v>796</v>
      </c>
      <c r="G321" s="7" t="s">
        <v>797</v>
      </c>
      <c r="H321" s="8">
        <f t="shared" si="73"/>
        <v>1.7894736840389669E-2</v>
      </c>
      <c r="I321" s="8">
        <f t="shared" si="65"/>
        <v>377135.84210526315</v>
      </c>
      <c r="J321" s="8">
        <v>71655.81</v>
      </c>
      <c r="K321" s="8">
        <v>0</v>
      </c>
      <c r="L321" s="8">
        <v>0</v>
      </c>
      <c r="M321" s="8">
        <f t="shared" si="74"/>
        <v>377135.86</v>
      </c>
      <c r="N321" s="8">
        <f t="shared" si="75"/>
        <v>71655.81</v>
      </c>
      <c r="O321" s="8">
        <f t="shared" si="67"/>
        <v>448791.67</v>
      </c>
      <c r="P321" s="8">
        <v>448791.67</v>
      </c>
      <c r="Q321" s="8">
        <v>0</v>
      </c>
      <c r="R321" s="8">
        <f t="shared" si="72"/>
        <v>0</v>
      </c>
      <c r="T321"/>
      <c r="U321"/>
      <c r="V321"/>
    </row>
    <row r="322" spans="2:22" s="5" customFormat="1" x14ac:dyDescent="0.3">
      <c r="B322" s="5" t="s">
        <v>16</v>
      </c>
      <c r="C322" s="5" t="s">
        <v>826</v>
      </c>
      <c r="D322" s="5" t="s">
        <v>794</v>
      </c>
      <c r="E322" s="5" t="s">
        <v>827</v>
      </c>
      <c r="F322" s="5" t="s">
        <v>796</v>
      </c>
      <c r="G322" s="5" t="s">
        <v>797</v>
      </c>
      <c r="H322" s="6">
        <f t="shared" si="73"/>
        <v>-1.0526315600145608E-3</v>
      </c>
      <c r="I322" s="6">
        <f t="shared" si="65"/>
        <v>1009077.4210526315</v>
      </c>
      <c r="J322" s="6">
        <v>191724.71</v>
      </c>
      <c r="K322" s="6">
        <v>0</v>
      </c>
      <c r="L322" s="6">
        <v>0</v>
      </c>
      <c r="M322" s="6">
        <f t="shared" ref="M322:M385" si="76">+H322+I322+K322</f>
        <v>1009077.4199999999</v>
      </c>
      <c r="N322" s="6">
        <f t="shared" si="75"/>
        <v>191724.71</v>
      </c>
      <c r="O322" s="6">
        <f t="shared" si="67"/>
        <v>1200802.1299999999</v>
      </c>
      <c r="P322" s="6">
        <v>1200802.1299999999</v>
      </c>
      <c r="Q322" s="6"/>
      <c r="R322" s="6">
        <f t="shared" si="72"/>
        <v>0</v>
      </c>
      <c r="T322"/>
    </row>
    <row r="323" spans="2:22" s="5" customFormat="1" x14ac:dyDescent="0.3">
      <c r="B323" s="5" t="s">
        <v>16</v>
      </c>
      <c r="C323" s="5" t="s">
        <v>828</v>
      </c>
      <c r="D323" s="5" t="s">
        <v>794</v>
      </c>
      <c r="E323" s="5" t="s">
        <v>520</v>
      </c>
      <c r="F323" s="5" t="s">
        <v>796</v>
      </c>
      <c r="G323" s="5" t="s">
        <v>797</v>
      </c>
      <c r="H323" s="6">
        <f t="shared" si="73"/>
        <v>-2.368421055143699E-2</v>
      </c>
      <c r="I323" s="6">
        <f t="shared" si="65"/>
        <v>820892.47368421056</v>
      </c>
      <c r="J323" s="6">
        <v>155969.57</v>
      </c>
      <c r="K323" s="6">
        <v>0</v>
      </c>
      <c r="L323" s="6">
        <v>0</v>
      </c>
      <c r="M323" s="6">
        <f t="shared" si="76"/>
        <v>820892.45</v>
      </c>
      <c r="N323" s="6">
        <f t="shared" si="75"/>
        <v>155969.57</v>
      </c>
      <c r="O323" s="6">
        <f t="shared" si="67"/>
        <v>976862.02</v>
      </c>
      <c r="P323" s="6">
        <v>976862.02</v>
      </c>
      <c r="Q323" s="6"/>
      <c r="R323" s="6">
        <f t="shared" si="72"/>
        <v>0</v>
      </c>
      <c r="T323"/>
    </row>
    <row r="324" spans="2:22" s="5" customFormat="1" x14ac:dyDescent="0.3">
      <c r="B324" s="5" t="s">
        <v>16</v>
      </c>
      <c r="C324" s="5" t="s">
        <v>829</v>
      </c>
      <c r="D324" s="5" t="s">
        <v>794</v>
      </c>
      <c r="E324" s="5" t="s">
        <v>830</v>
      </c>
      <c r="F324" s="5" t="s">
        <v>796</v>
      </c>
      <c r="G324" s="5" t="s">
        <v>797</v>
      </c>
      <c r="H324" s="6">
        <f t="shared" si="73"/>
        <v>685573.27526315791</v>
      </c>
      <c r="I324" s="6">
        <f t="shared" si="65"/>
        <v>607772.89473684214</v>
      </c>
      <c r="J324" s="6">
        <v>115476.85</v>
      </c>
      <c r="K324" s="6">
        <v>0</v>
      </c>
      <c r="L324" s="6">
        <v>0</v>
      </c>
      <c r="M324" s="6">
        <f t="shared" si="76"/>
        <v>1293346.17</v>
      </c>
      <c r="N324" s="6">
        <f t="shared" si="75"/>
        <v>115476.85</v>
      </c>
      <c r="O324" s="6">
        <f t="shared" si="67"/>
        <v>1408823.02</v>
      </c>
      <c r="P324" s="6">
        <v>1408823.02</v>
      </c>
      <c r="Q324" s="6"/>
      <c r="R324" s="6">
        <f t="shared" si="72"/>
        <v>0</v>
      </c>
      <c r="T324"/>
    </row>
    <row r="325" spans="2:22" s="5" customFormat="1" x14ac:dyDescent="0.3">
      <c r="B325" s="5" t="s">
        <v>16</v>
      </c>
      <c r="C325" s="5" t="s">
        <v>831</v>
      </c>
      <c r="D325" s="5" t="s">
        <v>794</v>
      </c>
      <c r="E325" s="5" t="s">
        <v>324</v>
      </c>
      <c r="F325" s="5" t="s">
        <v>796</v>
      </c>
      <c r="G325" s="5" t="s">
        <v>797</v>
      </c>
      <c r="H325" s="6">
        <f t="shared" si="73"/>
        <v>-2.1052631587735959E-2</v>
      </c>
      <c r="I325" s="6">
        <f t="shared" si="65"/>
        <v>72458.421052631587</v>
      </c>
      <c r="J325" s="6">
        <v>13767.1</v>
      </c>
      <c r="K325" s="6">
        <v>0</v>
      </c>
      <c r="L325" s="6">
        <v>0</v>
      </c>
      <c r="M325" s="6">
        <f t="shared" si="76"/>
        <v>72458.399999999994</v>
      </c>
      <c r="N325" s="6">
        <f t="shared" si="75"/>
        <v>13767.1</v>
      </c>
      <c r="O325" s="6">
        <f t="shared" si="67"/>
        <v>86225.5</v>
      </c>
      <c r="P325" s="6">
        <v>86225.5</v>
      </c>
      <c r="Q325" s="6"/>
      <c r="R325" s="6">
        <f t="shared" si="72"/>
        <v>0</v>
      </c>
      <c r="T325"/>
    </row>
    <row r="326" spans="2:22" s="5" customFormat="1" x14ac:dyDescent="0.3">
      <c r="B326" s="5" t="s">
        <v>16</v>
      </c>
      <c r="C326" s="5" t="s">
        <v>832</v>
      </c>
      <c r="D326" s="5" t="s">
        <v>794</v>
      </c>
      <c r="E326" s="5" t="s">
        <v>324</v>
      </c>
      <c r="F326" s="5" t="s">
        <v>796</v>
      </c>
      <c r="G326" s="5" t="s">
        <v>797</v>
      </c>
      <c r="H326" s="6">
        <f t="shared" si="73"/>
        <v>324251.05263157893</v>
      </c>
      <c r="I326" s="6">
        <f t="shared" si="65"/>
        <v>115803.94736842107</v>
      </c>
      <c r="J326" s="6">
        <v>22002.75</v>
      </c>
      <c r="K326" s="6">
        <v>0</v>
      </c>
      <c r="L326" s="6">
        <v>0</v>
      </c>
      <c r="M326" s="6">
        <f t="shared" si="76"/>
        <v>440055</v>
      </c>
      <c r="N326" s="6">
        <f t="shared" si="75"/>
        <v>22002.75</v>
      </c>
      <c r="O326" s="6">
        <f t="shared" si="67"/>
        <v>462057.75</v>
      </c>
      <c r="P326" s="6">
        <v>462057.75</v>
      </c>
      <c r="Q326" s="6"/>
      <c r="R326" s="6">
        <f t="shared" si="72"/>
        <v>0</v>
      </c>
      <c r="T326"/>
    </row>
    <row r="327" spans="2:22" s="5" customFormat="1" x14ac:dyDescent="0.3">
      <c r="B327" s="5" t="s">
        <v>16</v>
      </c>
      <c r="C327" s="5" t="s">
        <v>833</v>
      </c>
      <c r="D327" s="5" t="s">
        <v>794</v>
      </c>
      <c r="E327" s="5" t="s">
        <v>830</v>
      </c>
      <c r="F327" s="5" t="s">
        <v>796</v>
      </c>
      <c r="G327" s="5" t="s">
        <v>797</v>
      </c>
      <c r="H327" s="6">
        <f t="shared" si="73"/>
        <v>2.1052631491329521E-3</v>
      </c>
      <c r="I327" s="6">
        <f t="shared" si="65"/>
        <v>170500.15789473685</v>
      </c>
      <c r="J327" s="6">
        <v>32395.03</v>
      </c>
      <c r="K327" s="6">
        <v>0</v>
      </c>
      <c r="L327" s="6">
        <v>0</v>
      </c>
      <c r="M327" s="6">
        <f t="shared" si="76"/>
        <v>170500.16</v>
      </c>
      <c r="N327" s="6">
        <f t="shared" si="75"/>
        <v>32395.03</v>
      </c>
      <c r="O327" s="6">
        <f t="shared" si="67"/>
        <v>202895.19</v>
      </c>
      <c r="P327" s="6">
        <v>202895.19</v>
      </c>
      <c r="Q327" s="6"/>
      <c r="R327" s="6">
        <f t="shared" si="72"/>
        <v>0</v>
      </c>
      <c r="T327"/>
    </row>
    <row r="328" spans="2:22" s="5" customFormat="1" x14ac:dyDescent="0.3">
      <c r="B328" s="5" t="s">
        <v>16</v>
      </c>
      <c r="C328" s="5" t="s">
        <v>834</v>
      </c>
      <c r="D328" s="5" t="s">
        <v>794</v>
      </c>
      <c r="E328" s="5" t="s">
        <v>673</v>
      </c>
      <c r="F328" s="5" t="s">
        <v>796</v>
      </c>
      <c r="G328" s="5" t="s">
        <v>797</v>
      </c>
      <c r="H328" s="6">
        <f t="shared" si="73"/>
        <v>1.0526315891183913E-3</v>
      </c>
      <c r="I328" s="6">
        <f t="shared" si="65"/>
        <v>1501234.5789473683</v>
      </c>
      <c r="J328" s="6">
        <v>285234.57</v>
      </c>
      <c r="K328" s="6">
        <v>0</v>
      </c>
      <c r="L328" s="6">
        <v>0</v>
      </c>
      <c r="M328" s="6">
        <f t="shared" si="76"/>
        <v>1501234.5799999998</v>
      </c>
      <c r="N328" s="6">
        <f t="shared" si="75"/>
        <v>285234.57</v>
      </c>
      <c r="O328" s="6">
        <f t="shared" si="67"/>
        <v>1786469.15</v>
      </c>
      <c r="P328" s="6">
        <v>1786469.15</v>
      </c>
      <c r="Q328" s="6"/>
      <c r="R328" s="6">
        <f t="shared" si="72"/>
        <v>0</v>
      </c>
      <c r="T328"/>
    </row>
    <row r="329" spans="2:22" s="5" customFormat="1" x14ac:dyDescent="0.3">
      <c r="B329" s="5" t="s">
        <v>16</v>
      </c>
      <c r="C329" s="5" t="s">
        <v>835</v>
      </c>
      <c r="D329" s="5" t="s">
        <v>794</v>
      </c>
      <c r="E329" s="5" t="s">
        <v>836</v>
      </c>
      <c r="F329" s="5" t="s">
        <v>796</v>
      </c>
      <c r="G329" s="5" t="s">
        <v>797</v>
      </c>
      <c r="H329" s="6">
        <f t="shared" si="73"/>
        <v>-1.6842105287651066E-2</v>
      </c>
      <c r="I329" s="6">
        <f t="shared" si="65"/>
        <v>210954.73684210528</v>
      </c>
      <c r="J329" s="6">
        <v>40081.4</v>
      </c>
      <c r="K329" s="6">
        <v>0</v>
      </c>
      <c r="L329" s="6">
        <v>0</v>
      </c>
      <c r="M329" s="6">
        <f t="shared" si="76"/>
        <v>210954.72</v>
      </c>
      <c r="N329" s="6">
        <f t="shared" si="75"/>
        <v>40081.4</v>
      </c>
      <c r="O329" s="6">
        <f t="shared" si="67"/>
        <v>251036.12</v>
      </c>
      <c r="P329" s="6">
        <v>251036.12</v>
      </c>
      <c r="Q329" s="6"/>
      <c r="R329" s="6">
        <f t="shared" si="72"/>
        <v>0</v>
      </c>
      <c r="T329"/>
      <c r="U329"/>
      <c r="V329"/>
    </row>
    <row r="330" spans="2:22" s="5" customFormat="1" x14ac:dyDescent="0.3">
      <c r="B330" s="5" t="s">
        <v>16</v>
      </c>
      <c r="C330" s="5" t="s">
        <v>837</v>
      </c>
      <c r="D330" s="5" t="s">
        <v>794</v>
      </c>
      <c r="E330" s="5" t="s">
        <v>836</v>
      </c>
      <c r="F330" s="5" t="s">
        <v>796</v>
      </c>
      <c r="G330" s="5" t="s">
        <v>797</v>
      </c>
      <c r="H330" s="6">
        <f t="shared" si="73"/>
        <v>-5.7894735946319997E-3</v>
      </c>
      <c r="I330" s="6">
        <f t="shared" si="65"/>
        <v>693950.31578947359</v>
      </c>
      <c r="J330" s="6">
        <v>131850.56</v>
      </c>
      <c r="K330" s="6">
        <v>0</v>
      </c>
      <c r="L330" s="6">
        <v>0</v>
      </c>
      <c r="M330" s="6">
        <f t="shared" si="76"/>
        <v>693950.31</v>
      </c>
      <c r="N330" s="6">
        <f t="shared" si="75"/>
        <v>131850.56</v>
      </c>
      <c r="O330" s="6">
        <f t="shared" si="67"/>
        <v>825800.87000000011</v>
      </c>
      <c r="P330" s="6">
        <v>825800.87</v>
      </c>
      <c r="Q330" s="6"/>
      <c r="R330" s="6">
        <f t="shared" si="72"/>
        <v>0</v>
      </c>
      <c r="T330"/>
    </row>
    <row r="331" spans="2:22" s="5" customFormat="1" x14ac:dyDescent="0.3">
      <c r="B331" s="5" t="s">
        <v>16</v>
      </c>
      <c r="C331" s="5" t="s">
        <v>838</v>
      </c>
      <c r="D331" s="5" t="s">
        <v>794</v>
      </c>
      <c r="E331" s="5" t="s">
        <v>836</v>
      </c>
      <c r="F331" s="5" t="s">
        <v>796</v>
      </c>
      <c r="G331" s="5" t="s">
        <v>797</v>
      </c>
      <c r="H331" s="6">
        <f t="shared" si="73"/>
        <v>-2.3684210609644651E-2</v>
      </c>
      <c r="I331" s="6">
        <f t="shared" si="65"/>
        <v>538912.47368421056</v>
      </c>
      <c r="J331" s="6">
        <v>102393.37</v>
      </c>
      <c r="K331" s="6">
        <v>0</v>
      </c>
      <c r="L331" s="6">
        <v>0</v>
      </c>
      <c r="M331" s="6">
        <f t="shared" si="76"/>
        <v>538912.44999999995</v>
      </c>
      <c r="N331" s="6">
        <f t="shared" si="75"/>
        <v>102393.37</v>
      </c>
      <c r="O331" s="6">
        <f t="shared" si="67"/>
        <v>641305.81999999995</v>
      </c>
      <c r="P331" s="6">
        <v>641305.81999999995</v>
      </c>
      <c r="Q331" s="6"/>
      <c r="R331" s="6">
        <f t="shared" si="72"/>
        <v>0</v>
      </c>
      <c r="T331"/>
      <c r="V331"/>
    </row>
    <row r="332" spans="2:22" s="5" customFormat="1" x14ac:dyDescent="0.3">
      <c r="B332" s="5" t="s">
        <v>16</v>
      </c>
      <c r="C332" s="5" t="s">
        <v>839</v>
      </c>
      <c r="D332" s="5" t="s">
        <v>794</v>
      </c>
      <c r="E332" s="5" t="s">
        <v>840</v>
      </c>
      <c r="F332" s="5" t="s">
        <v>796</v>
      </c>
      <c r="G332" s="5" t="s">
        <v>797</v>
      </c>
      <c r="H332" s="6">
        <f t="shared" si="73"/>
        <v>0</v>
      </c>
      <c r="I332" s="6">
        <f t="shared" si="65"/>
        <v>5596766</v>
      </c>
      <c r="J332" s="6">
        <v>1063385.54</v>
      </c>
      <c r="K332" s="6">
        <v>0</v>
      </c>
      <c r="L332" s="6">
        <v>0</v>
      </c>
      <c r="M332" s="6">
        <f t="shared" si="76"/>
        <v>5596766</v>
      </c>
      <c r="N332" s="6">
        <f t="shared" si="75"/>
        <v>1063385.54</v>
      </c>
      <c r="O332" s="6">
        <f t="shared" si="67"/>
        <v>6660151.54</v>
      </c>
      <c r="P332" s="6">
        <v>6660151.54</v>
      </c>
      <c r="Q332" s="6">
        <v>0</v>
      </c>
      <c r="R332" s="6">
        <f t="shared" si="72"/>
        <v>0</v>
      </c>
      <c r="T332"/>
    </row>
    <row r="333" spans="2:22" s="5" customFormat="1" x14ac:dyDescent="0.3">
      <c r="B333" s="5" t="s">
        <v>16</v>
      </c>
      <c r="C333" s="5" t="s">
        <v>841</v>
      </c>
      <c r="D333" s="5" t="s">
        <v>794</v>
      </c>
      <c r="E333" s="5" t="s">
        <v>840</v>
      </c>
      <c r="F333" s="5" t="s">
        <v>796</v>
      </c>
      <c r="G333" s="5" t="s">
        <v>797</v>
      </c>
      <c r="H333" s="6">
        <f t="shared" si="73"/>
        <v>746697.74</v>
      </c>
      <c r="I333" s="6">
        <f t="shared" si="65"/>
        <v>0</v>
      </c>
      <c r="J333" s="6">
        <v>0</v>
      </c>
      <c r="K333" s="6">
        <v>0</v>
      </c>
      <c r="L333" s="6">
        <v>0</v>
      </c>
      <c r="M333" s="6">
        <f t="shared" si="76"/>
        <v>746697.74</v>
      </c>
      <c r="N333" s="6">
        <f t="shared" si="75"/>
        <v>0</v>
      </c>
      <c r="O333" s="6">
        <f t="shared" si="67"/>
        <v>746697.74</v>
      </c>
      <c r="P333" s="6">
        <v>746697.74</v>
      </c>
      <c r="Q333" s="6">
        <v>0</v>
      </c>
      <c r="R333" s="6">
        <f t="shared" si="72"/>
        <v>0</v>
      </c>
      <c r="T333"/>
    </row>
    <row r="334" spans="2:22" s="5" customFormat="1" x14ac:dyDescent="0.3">
      <c r="B334" s="5" t="s">
        <v>16</v>
      </c>
      <c r="C334" s="5" t="s">
        <v>842</v>
      </c>
      <c r="D334" s="5" t="s">
        <v>794</v>
      </c>
      <c r="E334" s="5" t="s">
        <v>840</v>
      </c>
      <c r="F334" s="5" t="s">
        <v>796</v>
      </c>
      <c r="G334" s="5" t="s">
        <v>797</v>
      </c>
      <c r="H334" s="6">
        <f t="shared" si="73"/>
        <v>-2.5263157935114577E-2</v>
      </c>
      <c r="I334" s="6">
        <f t="shared" si="65"/>
        <v>1012630.105263158</v>
      </c>
      <c r="J334" s="6">
        <v>192399.72</v>
      </c>
      <c r="K334" s="6">
        <v>0</v>
      </c>
      <c r="L334" s="6">
        <v>0</v>
      </c>
      <c r="M334" s="6">
        <f t="shared" si="76"/>
        <v>1012630.0800000001</v>
      </c>
      <c r="N334" s="6">
        <f t="shared" si="75"/>
        <v>192399.72</v>
      </c>
      <c r="O334" s="6">
        <f t="shared" si="67"/>
        <v>1205029.8</v>
      </c>
      <c r="P334" s="6">
        <v>1205029.8</v>
      </c>
      <c r="Q334" s="6">
        <v>0</v>
      </c>
      <c r="R334" s="6">
        <f t="shared" si="72"/>
        <v>0</v>
      </c>
      <c r="T334"/>
      <c r="U334" s="7"/>
      <c r="V334" s="7"/>
    </row>
    <row r="335" spans="2:22" s="5" customFormat="1" x14ac:dyDescent="0.3">
      <c r="B335" s="5" t="s">
        <v>16</v>
      </c>
      <c r="C335" s="5" t="s">
        <v>843</v>
      </c>
      <c r="D335" s="5" t="s">
        <v>794</v>
      </c>
      <c r="E335" s="5" t="s">
        <v>456</v>
      </c>
      <c r="F335" s="5" t="s">
        <v>796</v>
      </c>
      <c r="G335" s="5" t="s">
        <v>797</v>
      </c>
      <c r="H335" s="6">
        <f t="shared" si="73"/>
        <v>5.2631585858762264E-3</v>
      </c>
      <c r="I335" s="6">
        <f t="shared" si="65"/>
        <v>9861983.8947368413</v>
      </c>
      <c r="J335" s="6">
        <v>1873776.94</v>
      </c>
      <c r="K335" s="6">
        <v>0</v>
      </c>
      <c r="L335" s="6">
        <v>0</v>
      </c>
      <c r="M335" s="6">
        <f t="shared" si="76"/>
        <v>9861983.9000000004</v>
      </c>
      <c r="N335" s="6">
        <f t="shared" si="75"/>
        <v>1873776.94</v>
      </c>
      <c r="O335" s="6">
        <f t="shared" si="67"/>
        <v>11735760.84</v>
      </c>
      <c r="P335" s="6">
        <v>11735760.84</v>
      </c>
      <c r="Q335" s="6">
        <v>0</v>
      </c>
      <c r="R335" s="6">
        <f t="shared" si="72"/>
        <v>0</v>
      </c>
      <c r="T335"/>
      <c r="U335" s="7"/>
      <c r="V335" s="7"/>
    </row>
    <row r="336" spans="2:22" s="5" customFormat="1" x14ac:dyDescent="0.3">
      <c r="B336" s="5" t="s">
        <v>16</v>
      </c>
      <c r="C336" s="5" t="s">
        <v>844</v>
      </c>
      <c r="D336" s="5" t="s">
        <v>794</v>
      </c>
      <c r="E336" s="5" t="s">
        <v>845</v>
      </c>
      <c r="F336" s="5" t="s">
        <v>796</v>
      </c>
      <c r="G336" s="5" t="s">
        <v>797</v>
      </c>
      <c r="H336" s="6">
        <f t="shared" si="73"/>
        <v>-1.9473683787509799E-2</v>
      </c>
      <c r="I336" s="6">
        <f t="shared" si="65"/>
        <v>7657429.7894736836</v>
      </c>
      <c r="J336" s="6">
        <v>1454911.66</v>
      </c>
      <c r="K336" s="6">
        <v>0</v>
      </c>
      <c r="L336" s="6">
        <v>0</v>
      </c>
      <c r="M336" s="6">
        <f t="shared" si="76"/>
        <v>7657429.7699999996</v>
      </c>
      <c r="N336" s="6">
        <f>J336+L336</f>
        <v>1454911.66</v>
      </c>
      <c r="O336" s="6">
        <f t="shared" si="67"/>
        <v>9112341.4299999997</v>
      </c>
      <c r="P336" s="6">
        <v>9112341.4299999997</v>
      </c>
      <c r="Q336" s="6">
        <v>0</v>
      </c>
      <c r="R336" s="6">
        <f t="shared" si="72"/>
        <v>0</v>
      </c>
      <c r="T336"/>
      <c r="U336" s="7"/>
      <c r="V336" s="7"/>
    </row>
    <row r="337" spans="2:22" s="5" customFormat="1" x14ac:dyDescent="0.3">
      <c r="B337" s="5" t="s">
        <v>16</v>
      </c>
      <c r="C337" s="5" t="s">
        <v>846</v>
      </c>
      <c r="D337" s="5" t="s">
        <v>794</v>
      </c>
      <c r="E337" s="5" t="s">
        <v>845</v>
      </c>
      <c r="F337" s="5" t="s">
        <v>796</v>
      </c>
      <c r="G337" s="5" t="s">
        <v>797</v>
      </c>
      <c r="H337" s="6">
        <f t="shared" si="73"/>
        <v>2.3157894640462473E-2</v>
      </c>
      <c r="I337" s="6">
        <f t="shared" si="65"/>
        <v>701537.7368421054</v>
      </c>
      <c r="J337" s="6">
        <v>133292.17000000001</v>
      </c>
      <c r="K337" s="6">
        <v>0</v>
      </c>
      <c r="L337" s="6">
        <v>0</v>
      </c>
      <c r="M337" s="6">
        <f t="shared" si="76"/>
        <v>701537.76</v>
      </c>
      <c r="N337" s="6">
        <f>J337+L337</f>
        <v>133292.17000000001</v>
      </c>
      <c r="O337" s="6">
        <f t="shared" si="67"/>
        <v>834829.93</v>
      </c>
      <c r="P337" s="6">
        <v>834829.93</v>
      </c>
      <c r="Q337" s="6">
        <v>0</v>
      </c>
      <c r="R337" s="6">
        <f t="shared" si="72"/>
        <v>0</v>
      </c>
      <c r="T337"/>
    </row>
    <row r="338" spans="2:22" s="5" customFormat="1" x14ac:dyDescent="0.3">
      <c r="B338" s="5" t="s">
        <v>16</v>
      </c>
      <c r="C338" s="5" t="s">
        <v>847</v>
      </c>
      <c r="D338" s="5" t="s">
        <v>794</v>
      </c>
      <c r="E338" s="5" t="s">
        <v>845</v>
      </c>
      <c r="F338" s="5" t="s">
        <v>796</v>
      </c>
      <c r="G338" s="5" t="s">
        <v>797</v>
      </c>
      <c r="H338" s="6">
        <f t="shared" si="73"/>
        <v>476471.16</v>
      </c>
      <c r="I338" s="6">
        <f t="shared" si="65"/>
        <v>0</v>
      </c>
      <c r="J338" s="6">
        <v>0</v>
      </c>
      <c r="K338" s="6">
        <v>0</v>
      </c>
      <c r="L338" s="6">
        <v>0</v>
      </c>
      <c r="M338" s="6">
        <f t="shared" si="76"/>
        <v>476471.16</v>
      </c>
      <c r="N338" s="6">
        <f>J338+L338</f>
        <v>0</v>
      </c>
      <c r="O338" s="6">
        <f t="shared" si="67"/>
        <v>476471.16</v>
      </c>
      <c r="P338" s="6">
        <v>476471.16</v>
      </c>
      <c r="Q338" s="6">
        <v>0</v>
      </c>
      <c r="R338" s="6">
        <f t="shared" si="72"/>
        <v>0</v>
      </c>
      <c r="T338"/>
    </row>
    <row r="339" spans="2:22" s="5" customFormat="1" x14ac:dyDescent="0.3">
      <c r="B339" s="5" t="s">
        <v>16</v>
      </c>
      <c r="C339" s="5" t="s">
        <v>848</v>
      </c>
      <c r="D339" s="5" t="s">
        <v>849</v>
      </c>
      <c r="E339" s="5" t="s">
        <v>19</v>
      </c>
      <c r="F339" s="5" t="s">
        <v>796</v>
      </c>
      <c r="G339" s="5" t="s">
        <v>797</v>
      </c>
      <c r="H339" s="6">
        <f t="shared" si="73"/>
        <v>-2.4736841674894094E-2</v>
      </c>
      <c r="I339" s="6">
        <f t="shared" si="65"/>
        <v>4028341.8947368418</v>
      </c>
      <c r="J339" s="6">
        <v>765384.96</v>
      </c>
      <c r="K339" s="6">
        <v>0</v>
      </c>
      <c r="L339" s="6">
        <v>0</v>
      </c>
      <c r="M339" s="6">
        <f t="shared" si="76"/>
        <v>4028341.87</v>
      </c>
      <c r="N339" s="6">
        <f t="shared" ref="N339:N391" si="77">+J339+L339</f>
        <v>765384.96</v>
      </c>
      <c r="O339" s="6">
        <f t="shared" si="67"/>
        <v>4793726.83</v>
      </c>
      <c r="P339" s="6">
        <v>4793726.83</v>
      </c>
      <c r="Q339" s="6">
        <v>0</v>
      </c>
      <c r="R339" s="6">
        <f t="shared" si="72"/>
        <v>0</v>
      </c>
      <c r="T339"/>
    </row>
    <row r="340" spans="2:22" x14ac:dyDescent="0.3">
      <c r="B340" s="5" t="s">
        <v>16</v>
      </c>
      <c r="C340" s="5" t="s">
        <v>850</v>
      </c>
      <c r="D340" s="5" t="s">
        <v>794</v>
      </c>
      <c r="E340" s="5" t="s">
        <v>767</v>
      </c>
      <c r="F340" s="5" t="s">
        <v>796</v>
      </c>
      <c r="G340" s="5" t="s">
        <v>797</v>
      </c>
      <c r="H340" s="6">
        <f t="shared" si="73"/>
        <v>-1.2105263071134686E-2</v>
      </c>
      <c r="I340" s="6">
        <f t="shared" si="65"/>
        <v>3347791.8421052629</v>
      </c>
      <c r="J340" s="6">
        <v>636080.44999999995</v>
      </c>
      <c r="K340" s="6">
        <v>0</v>
      </c>
      <c r="L340" s="6">
        <v>0</v>
      </c>
      <c r="M340" s="6">
        <f t="shared" si="76"/>
        <v>3347791.83</v>
      </c>
      <c r="N340" s="6">
        <f t="shared" si="77"/>
        <v>636080.44999999995</v>
      </c>
      <c r="O340" s="6">
        <f t="shared" si="67"/>
        <v>3983872.2800000003</v>
      </c>
      <c r="P340" s="6">
        <v>3983872.28</v>
      </c>
      <c r="Q340" s="6">
        <v>0</v>
      </c>
      <c r="R340" s="6">
        <f t="shared" si="72"/>
        <v>0</v>
      </c>
      <c r="S340" s="5"/>
      <c r="U340" s="5"/>
      <c r="V340" s="5"/>
    </row>
    <row r="341" spans="2:22" x14ac:dyDescent="0.3">
      <c r="B341" s="5" t="s">
        <v>16</v>
      </c>
      <c r="C341" s="5" t="s">
        <v>851</v>
      </c>
      <c r="D341" s="5" t="s">
        <v>794</v>
      </c>
      <c r="E341" s="5" t="s">
        <v>767</v>
      </c>
      <c r="F341" s="5" t="s">
        <v>796</v>
      </c>
      <c r="G341" s="5" t="s">
        <v>797</v>
      </c>
      <c r="H341" s="6">
        <f t="shared" si="73"/>
        <v>1.0526315309107304E-2</v>
      </c>
      <c r="I341" s="6">
        <f t="shared" si="65"/>
        <v>3236006.7894736845</v>
      </c>
      <c r="J341" s="6">
        <v>614841.29</v>
      </c>
      <c r="K341" s="6">
        <v>0</v>
      </c>
      <c r="L341" s="6">
        <v>0</v>
      </c>
      <c r="M341" s="6">
        <f t="shared" si="76"/>
        <v>3236006.8</v>
      </c>
      <c r="N341" s="6">
        <f t="shared" si="77"/>
        <v>614841.29</v>
      </c>
      <c r="O341" s="6">
        <f t="shared" si="67"/>
        <v>3850848.09</v>
      </c>
      <c r="P341" s="6">
        <v>3850848.09</v>
      </c>
      <c r="Q341" s="6">
        <v>0</v>
      </c>
      <c r="R341" s="6">
        <f t="shared" si="72"/>
        <v>0</v>
      </c>
      <c r="S341" s="5"/>
      <c r="U341" s="5"/>
      <c r="V341" s="5"/>
    </row>
    <row r="342" spans="2:22" s="7" customFormat="1" x14ac:dyDescent="0.3">
      <c r="B342" s="5" t="s">
        <v>16</v>
      </c>
      <c r="C342" s="5" t="s">
        <v>852</v>
      </c>
      <c r="D342" s="5" t="s">
        <v>794</v>
      </c>
      <c r="E342" s="5" t="s">
        <v>767</v>
      </c>
      <c r="F342" s="5" t="s">
        <v>796</v>
      </c>
      <c r="G342" s="5" t="s">
        <v>797</v>
      </c>
      <c r="H342" s="6">
        <f t="shared" si="73"/>
        <v>361342.35157894756</v>
      </c>
      <c r="I342" s="6">
        <f t="shared" si="65"/>
        <v>1469786.3684210523</v>
      </c>
      <c r="J342" s="6">
        <v>279259.40999999997</v>
      </c>
      <c r="K342" s="6">
        <v>0</v>
      </c>
      <c r="L342" s="6">
        <v>0</v>
      </c>
      <c r="M342" s="6">
        <f t="shared" si="76"/>
        <v>1831128.72</v>
      </c>
      <c r="N342" s="6">
        <f t="shared" si="77"/>
        <v>279259.40999999997</v>
      </c>
      <c r="O342" s="6">
        <f t="shared" si="67"/>
        <v>2110388.13</v>
      </c>
      <c r="P342" s="6">
        <v>2110388.13</v>
      </c>
      <c r="Q342" s="6">
        <v>0</v>
      </c>
      <c r="R342" s="6">
        <f t="shared" si="72"/>
        <v>0</v>
      </c>
      <c r="S342" s="5"/>
      <c r="T342"/>
      <c r="U342" s="5"/>
      <c r="V342" s="5"/>
    </row>
    <row r="343" spans="2:22" s="7" customFormat="1" x14ac:dyDescent="0.3">
      <c r="B343" s="5" t="s">
        <v>16</v>
      </c>
      <c r="C343" s="5" t="s">
        <v>853</v>
      </c>
      <c r="D343" s="5" t="s">
        <v>794</v>
      </c>
      <c r="E343" s="5" t="s">
        <v>767</v>
      </c>
      <c r="F343" s="5" t="s">
        <v>796</v>
      </c>
      <c r="G343" s="5" t="s">
        <v>797</v>
      </c>
      <c r="H343" s="6">
        <f t="shared" si="73"/>
        <v>2.473684205324389E-2</v>
      </c>
      <c r="I343" s="6">
        <f t="shared" si="65"/>
        <v>720181.10526315798</v>
      </c>
      <c r="J343" s="6">
        <v>136834.41</v>
      </c>
      <c r="K343" s="6">
        <v>0</v>
      </c>
      <c r="L343" s="6">
        <v>0</v>
      </c>
      <c r="M343" s="6">
        <f t="shared" si="76"/>
        <v>720181.13</v>
      </c>
      <c r="N343" s="6">
        <f t="shared" si="77"/>
        <v>136834.41</v>
      </c>
      <c r="O343" s="6">
        <f t="shared" si="67"/>
        <v>857015.54</v>
      </c>
      <c r="P343" s="6">
        <v>857015.54</v>
      </c>
      <c r="Q343" s="6">
        <v>0</v>
      </c>
      <c r="R343" s="6">
        <f t="shared" si="72"/>
        <v>0</v>
      </c>
      <c r="S343" s="5"/>
      <c r="T343"/>
      <c r="U343" s="5"/>
      <c r="V343" s="5"/>
    </row>
    <row r="344" spans="2:22" x14ac:dyDescent="0.3">
      <c r="B344" s="5" t="s">
        <v>16</v>
      </c>
      <c r="C344" s="5" t="s">
        <v>854</v>
      </c>
      <c r="D344" s="5" t="s">
        <v>794</v>
      </c>
      <c r="E344" s="5" t="s">
        <v>767</v>
      </c>
      <c r="F344" s="5" t="s">
        <v>796</v>
      </c>
      <c r="G344" s="5" t="s">
        <v>797</v>
      </c>
      <c r="H344" s="6">
        <f t="shared" si="73"/>
        <v>2.5263157847803086E-2</v>
      </c>
      <c r="I344" s="6">
        <f t="shared" si="65"/>
        <v>913408.89473684225</v>
      </c>
      <c r="J344" s="6">
        <v>173547.69</v>
      </c>
      <c r="K344" s="6">
        <v>0</v>
      </c>
      <c r="L344" s="6">
        <v>0</v>
      </c>
      <c r="M344" s="6">
        <f t="shared" si="76"/>
        <v>913408.92000000016</v>
      </c>
      <c r="N344" s="6">
        <f t="shared" si="77"/>
        <v>173547.69</v>
      </c>
      <c r="O344" s="6">
        <f t="shared" si="67"/>
        <v>1086956.6100000001</v>
      </c>
      <c r="P344" s="6">
        <v>1086956.6100000001</v>
      </c>
      <c r="Q344" s="6">
        <v>0</v>
      </c>
      <c r="R344" s="6">
        <f t="shared" si="72"/>
        <v>0</v>
      </c>
      <c r="S344" s="5"/>
    </row>
    <row r="345" spans="2:22" s="7" customFormat="1" x14ac:dyDescent="0.3">
      <c r="B345" s="5" t="s">
        <v>16</v>
      </c>
      <c r="C345" s="5" t="s">
        <v>855</v>
      </c>
      <c r="D345" s="5" t="s">
        <v>794</v>
      </c>
      <c r="E345" s="5" t="s">
        <v>117</v>
      </c>
      <c r="F345" s="5" t="s">
        <v>796</v>
      </c>
      <c r="G345" s="5" t="s">
        <v>797</v>
      </c>
      <c r="H345" s="6">
        <f t="shared" si="73"/>
        <v>737497.89473684214</v>
      </c>
      <c r="I345" s="6">
        <f t="shared" si="65"/>
        <v>263392.10526315786</v>
      </c>
      <c r="J345" s="6">
        <v>50044.5</v>
      </c>
      <c r="K345" s="6">
        <v>0</v>
      </c>
      <c r="L345" s="6">
        <v>0</v>
      </c>
      <c r="M345" s="6">
        <f t="shared" si="76"/>
        <v>1000890</v>
      </c>
      <c r="N345" s="6">
        <f t="shared" si="77"/>
        <v>50044.5</v>
      </c>
      <c r="O345" s="6">
        <f t="shared" si="67"/>
        <v>1050934.5</v>
      </c>
      <c r="P345" s="6">
        <v>1050934.5</v>
      </c>
      <c r="Q345" s="6">
        <v>0</v>
      </c>
      <c r="R345" s="6">
        <f t="shared" si="72"/>
        <v>0</v>
      </c>
      <c r="S345" s="5"/>
      <c r="T345"/>
      <c r="U345"/>
      <c r="V345"/>
    </row>
    <row r="346" spans="2:22" x14ac:dyDescent="0.3">
      <c r="B346" s="5" t="s">
        <v>16</v>
      </c>
      <c r="C346" s="5" t="s">
        <v>856</v>
      </c>
      <c r="D346" s="5" t="s">
        <v>794</v>
      </c>
      <c r="E346" s="5" t="s">
        <v>397</v>
      </c>
      <c r="F346" s="5" t="s">
        <v>796</v>
      </c>
      <c r="G346" s="5" t="s">
        <v>797</v>
      </c>
      <c r="H346" s="6">
        <f t="shared" si="73"/>
        <v>8.421052829362452E-3</v>
      </c>
      <c r="I346" s="6">
        <f t="shared" si="65"/>
        <v>1538242.6315789472</v>
      </c>
      <c r="J346" s="6">
        <v>292266.09999999998</v>
      </c>
      <c r="K346" s="6">
        <v>0</v>
      </c>
      <c r="L346" s="6">
        <v>0</v>
      </c>
      <c r="M346" s="6">
        <f t="shared" si="76"/>
        <v>1538242.6400000001</v>
      </c>
      <c r="N346" s="6">
        <f t="shared" si="77"/>
        <v>292266.09999999998</v>
      </c>
      <c r="O346" s="6">
        <f t="shared" si="67"/>
        <v>1830508.7400000002</v>
      </c>
      <c r="P346" s="6">
        <v>1830508.74</v>
      </c>
      <c r="Q346" s="6">
        <v>0</v>
      </c>
      <c r="R346" s="6">
        <f t="shared" si="72"/>
        <v>0</v>
      </c>
      <c r="S346" s="5"/>
      <c r="U346" s="5"/>
      <c r="V346" s="5"/>
    </row>
    <row r="347" spans="2:22" x14ac:dyDescent="0.3">
      <c r="B347" s="5" t="s">
        <v>16</v>
      </c>
      <c r="C347" s="5" t="s">
        <v>857</v>
      </c>
      <c r="D347" s="5" t="s">
        <v>794</v>
      </c>
      <c r="E347" s="5" t="s">
        <v>397</v>
      </c>
      <c r="F347" s="5" t="s">
        <v>796</v>
      </c>
      <c r="G347" s="5" t="s">
        <v>797</v>
      </c>
      <c r="H347" s="6">
        <f t="shared" si="73"/>
        <v>-2.0526315958704799E-2</v>
      </c>
      <c r="I347" s="6">
        <f t="shared" si="65"/>
        <v>984337.21052631596</v>
      </c>
      <c r="J347" s="6">
        <v>187024.07</v>
      </c>
      <c r="K347" s="6">
        <v>0</v>
      </c>
      <c r="L347" s="6">
        <v>0</v>
      </c>
      <c r="M347" s="6">
        <f t="shared" si="76"/>
        <v>984337.19</v>
      </c>
      <c r="N347" s="6">
        <f t="shared" si="77"/>
        <v>187024.07</v>
      </c>
      <c r="O347" s="6">
        <f t="shared" si="67"/>
        <v>1171361.26</v>
      </c>
      <c r="P347" s="6">
        <v>1171361.26</v>
      </c>
      <c r="Q347" s="6">
        <v>0</v>
      </c>
      <c r="R347" s="6">
        <f t="shared" si="72"/>
        <v>0</v>
      </c>
      <c r="S347" s="5"/>
      <c r="U347" s="5"/>
      <c r="V347" s="5"/>
    </row>
    <row r="348" spans="2:22" s="7" customFormat="1" x14ac:dyDescent="0.3">
      <c r="B348" s="5" t="s">
        <v>16</v>
      </c>
      <c r="C348" s="5" t="s">
        <v>858</v>
      </c>
      <c r="D348" s="5" t="s">
        <v>794</v>
      </c>
      <c r="E348" s="5" t="s">
        <v>859</v>
      </c>
      <c r="F348" s="5" t="s">
        <v>796</v>
      </c>
      <c r="G348" s="5" t="s">
        <v>797</v>
      </c>
      <c r="H348" s="6">
        <f t="shared" si="73"/>
        <v>-1.0526315309107304E-2</v>
      </c>
      <c r="I348" s="6">
        <f t="shared" si="65"/>
        <v>8793493.2105263155</v>
      </c>
      <c r="J348" s="6">
        <v>1670763.71</v>
      </c>
      <c r="K348" s="6">
        <v>0</v>
      </c>
      <c r="L348" s="6">
        <v>0</v>
      </c>
      <c r="M348" s="6">
        <f t="shared" si="76"/>
        <v>8793493.1999999993</v>
      </c>
      <c r="N348" s="6">
        <f t="shared" si="77"/>
        <v>1670763.71</v>
      </c>
      <c r="O348" s="6">
        <f t="shared" si="67"/>
        <v>10464256.91</v>
      </c>
      <c r="P348" s="6">
        <v>10464256.91</v>
      </c>
      <c r="Q348" s="6">
        <v>0</v>
      </c>
      <c r="R348" s="6">
        <f t="shared" si="72"/>
        <v>0</v>
      </c>
      <c r="S348" s="5"/>
      <c r="T348"/>
      <c r="U348" s="5"/>
      <c r="V348" s="5"/>
    </row>
    <row r="349" spans="2:22" x14ac:dyDescent="0.3">
      <c r="B349" s="5" t="s">
        <v>16</v>
      </c>
      <c r="C349" s="5" t="s">
        <v>860</v>
      </c>
      <c r="D349" s="5" t="s">
        <v>849</v>
      </c>
      <c r="E349" s="5" t="s">
        <v>222</v>
      </c>
      <c r="F349" s="5" t="s">
        <v>796</v>
      </c>
      <c r="G349" s="5" t="s">
        <v>797</v>
      </c>
      <c r="H349" s="6">
        <f t="shared" si="73"/>
        <v>1.9999999785795808E-2</v>
      </c>
      <c r="I349" s="6">
        <f t="shared" si="65"/>
        <v>2768004</v>
      </c>
      <c r="J349" s="6">
        <v>525920.76</v>
      </c>
      <c r="K349" s="6">
        <v>0</v>
      </c>
      <c r="L349" s="6">
        <v>0</v>
      </c>
      <c r="M349" s="6">
        <f t="shared" si="76"/>
        <v>2768004.0199999996</v>
      </c>
      <c r="N349" s="6">
        <f t="shared" si="77"/>
        <v>525920.76</v>
      </c>
      <c r="O349" s="6">
        <f t="shared" si="67"/>
        <v>3293924.7799999993</v>
      </c>
      <c r="P349" s="6">
        <v>3293924.78</v>
      </c>
      <c r="Q349" s="6">
        <v>0</v>
      </c>
      <c r="R349" s="6">
        <f t="shared" si="72"/>
        <v>0</v>
      </c>
      <c r="U349" s="5"/>
      <c r="V349" s="5"/>
    </row>
    <row r="350" spans="2:22" x14ac:dyDescent="0.3">
      <c r="B350" s="5" t="s">
        <v>16</v>
      </c>
      <c r="C350" s="5" t="s">
        <v>861</v>
      </c>
      <c r="D350" s="5" t="s">
        <v>794</v>
      </c>
      <c r="E350" s="5" t="s">
        <v>222</v>
      </c>
      <c r="F350" s="5" t="s">
        <v>796</v>
      </c>
      <c r="G350" s="5" t="s">
        <v>797</v>
      </c>
      <c r="H350" s="6">
        <f t="shared" si="73"/>
        <v>2.1578947373200208E-2</v>
      </c>
      <c r="I350" s="6">
        <f t="shared" ref="I350:I413" si="78">+J350/19*100</f>
        <v>1560321.3684210526</v>
      </c>
      <c r="J350" s="6">
        <v>296461.06</v>
      </c>
      <c r="K350" s="6">
        <v>0</v>
      </c>
      <c r="L350" s="6">
        <v>0</v>
      </c>
      <c r="M350" s="6">
        <f t="shared" si="76"/>
        <v>1560321.39</v>
      </c>
      <c r="N350" s="6">
        <f t="shared" si="77"/>
        <v>296461.06</v>
      </c>
      <c r="O350" s="6">
        <f t="shared" ref="O350:O413" si="79">+M350+N350</f>
        <v>1856782.45</v>
      </c>
      <c r="P350" s="6">
        <v>1856782.45</v>
      </c>
      <c r="Q350" s="6">
        <v>0</v>
      </c>
      <c r="R350" s="6">
        <f t="shared" si="72"/>
        <v>0</v>
      </c>
      <c r="S350" s="5"/>
      <c r="U350" s="5"/>
      <c r="V350" s="5"/>
    </row>
    <row r="351" spans="2:22" x14ac:dyDescent="0.3">
      <c r="B351" s="5" t="s">
        <v>16</v>
      </c>
      <c r="C351" s="5" t="s">
        <v>862</v>
      </c>
      <c r="D351" s="5" t="s">
        <v>794</v>
      </c>
      <c r="E351" s="5" t="s">
        <v>349</v>
      </c>
      <c r="F351" s="5" t="s">
        <v>796</v>
      </c>
      <c r="G351" s="5" t="s">
        <v>797</v>
      </c>
      <c r="H351" s="6">
        <f t="shared" si="73"/>
        <v>-2.1052631622296758E-2</v>
      </c>
      <c r="I351" s="6">
        <f t="shared" si="78"/>
        <v>259475.4210526316</v>
      </c>
      <c r="J351" s="6">
        <v>49300.33</v>
      </c>
      <c r="K351" s="6">
        <v>0</v>
      </c>
      <c r="L351" s="6">
        <v>0</v>
      </c>
      <c r="M351" s="6">
        <f t="shared" si="76"/>
        <v>259475.39999999997</v>
      </c>
      <c r="N351" s="6">
        <f t="shared" si="77"/>
        <v>49300.33</v>
      </c>
      <c r="O351" s="6">
        <f t="shared" si="79"/>
        <v>308775.73</v>
      </c>
      <c r="P351" s="6">
        <v>308775.73</v>
      </c>
      <c r="Q351" s="6">
        <v>0</v>
      </c>
      <c r="R351" s="6">
        <f t="shared" si="72"/>
        <v>0</v>
      </c>
      <c r="S351" s="5"/>
    </row>
    <row r="352" spans="2:22" x14ac:dyDescent="0.3">
      <c r="B352" s="5" t="s">
        <v>16</v>
      </c>
      <c r="C352" s="5" t="s">
        <v>863</v>
      </c>
      <c r="D352" s="5" t="s">
        <v>794</v>
      </c>
      <c r="E352" s="5" t="s">
        <v>864</v>
      </c>
      <c r="F352" s="5" t="s">
        <v>796</v>
      </c>
      <c r="G352" s="5" t="s">
        <v>797</v>
      </c>
      <c r="H352" s="6">
        <f t="shared" si="73"/>
        <v>-1.2105263162084157E-2</v>
      </c>
      <c r="I352" s="6">
        <f t="shared" si="78"/>
        <v>128185.84210526317</v>
      </c>
      <c r="J352" s="6">
        <v>24355.31</v>
      </c>
      <c r="K352" s="6">
        <v>0</v>
      </c>
      <c r="L352" s="6">
        <v>0</v>
      </c>
      <c r="M352" s="6">
        <f t="shared" si="76"/>
        <v>128185.83000000002</v>
      </c>
      <c r="N352" s="6">
        <f t="shared" si="77"/>
        <v>24355.31</v>
      </c>
      <c r="O352" s="6">
        <f t="shared" si="79"/>
        <v>152541.14000000001</v>
      </c>
      <c r="P352" s="6">
        <v>152541.14000000001</v>
      </c>
      <c r="Q352" s="6">
        <v>0</v>
      </c>
      <c r="R352" s="6">
        <f t="shared" si="72"/>
        <v>0</v>
      </c>
      <c r="S352" s="5"/>
      <c r="U352" s="5"/>
      <c r="V352" s="5"/>
    </row>
    <row r="353" spans="2:22" x14ac:dyDescent="0.3">
      <c r="B353" s="5" t="s">
        <v>16</v>
      </c>
      <c r="C353" s="5" t="s">
        <v>865</v>
      </c>
      <c r="D353" s="5" t="s">
        <v>794</v>
      </c>
      <c r="E353" s="5" t="s">
        <v>245</v>
      </c>
      <c r="F353" s="5" t="s">
        <v>796</v>
      </c>
      <c r="G353" s="5" t="s">
        <v>797</v>
      </c>
      <c r="H353" s="6">
        <f t="shared" si="73"/>
        <v>1.4736842247657478E-2</v>
      </c>
      <c r="I353" s="6">
        <f t="shared" si="78"/>
        <v>904715.10526315775</v>
      </c>
      <c r="J353" s="6">
        <v>171895.87</v>
      </c>
      <c r="K353" s="6">
        <v>0</v>
      </c>
      <c r="L353" s="6">
        <v>0</v>
      </c>
      <c r="M353" s="6">
        <f t="shared" si="76"/>
        <v>904715.12</v>
      </c>
      <c r="N353" s="6">
        <f t="shared" si="77"/>
        <v>171895.87</v>
      </c>
      <c r="O353" s="6">
        <f t="shared" si="79"/>
        <v>1076610.99</v>
      </c>
      <c r="P353" s="6">
        <v>1076610.99</v>
      </c>
      <c r="Q353" s="6">
        <v>0</v>
      </c>
      <c r="R353" s="6">
        <f t="shared" si="72"/>
        <v>0</v>
      </c>
      <c r="S353" s="5"/>
      <c r="U353" s="5"/>
      <c r="V353" s="5"/>
    </row>
    <row r="354" spans="2:22" x14ac:dyDescent="0.3">
      <c r="B354" s="5" t="s">
        <v>16</v>
      </c>
      <c r="C354" s="5" t="s">
        <v>866</v>
      </c>
      <c r="D354" s="5" t="s">
        <v>794</v>
      </c>
      <c r="E354" s="5" t="s">
        <v>52</v>
      </c>
      <c r="F354" s="5" t="s">
        <v>796</v>
      </c>
      <c r="G354" s="5" t="s">
        <v>797</v>
      </c>
      <c r="H354" s="6">
        <f t="shared" si="73"/>
        <v>1.0526315825700294E-2</v>
      </c>
      <c r="I354" s="6">
        <f t="shared" si="78"/>
        <v>182536.78947368418</v>
      </c>
      <c r="J354" s="6">
        <v>34681.99</v>
      </c>
      <c r="K354" s="6">
        <v>0</v>
      </c>
      <c r="L354" s="6">
        <v>0</v>
      </c>
      <c r="M354" s="6">
        <f t="shared" si="76"/>
        <v>182536.80000000002</v>
      </c>
      <c r="N354" s="6">
        <f t="shared" si="77"/>
        <v>34681.99</v>
      </c>
      <c r="O354" s="6">
        <f t="shared" si="79"/>
        <v>217218.79</v>
      </c>
      <c r="P354" s="6">
        <v>217218.79</v>
      </c>
      <c r="Q354" s="6">
        <v>0</v>
      </c>
      <c r="R354" s="6">
        <f t="shared" si="72"/>
        <v>0</v>
      </c>
      <c r="S354" s="5"/>
      <c r="U354" s="5"/>
      <c r="V354" s="5"/>
    </row>
    <row r="355" spans="2:22" s="7" customFormat="1" x14ac:dyDescent="0.3">
      <c r="B355" s="5" t="s">
        <v>16</v>
      </c>
      <c r="C355" s="5" t="s">
        <v>867</v>
      </c>
      <c r="D355" s="5" t="s">
        <v>794</v>
      </c>
      <c r="E355" s="5" t="s">
        <v>52</v>
      </c>
      <c r="F355" s="5" t="s">
        <v>796</v>
      </c>
      <c r="G355" s="5" t="s">
        <v>797</v>
      </c>
      <c r="H355" s="6">
        <f t="shared" si="73"/>
        <v>1.3157894660253078E-2</v>
      </c>
      <c r="I355" s="6">
        <f t="shared" si="78"/>
        <v>618095.73684210528</v>
      </c>
      <c r="J355" s="6">
        <v>117438.19</v>
      </c>
      <c r="K355" s="6">
        <v>0</v>
      </c>
      <c r="L355" s="6">
        <v>0</v>
      </c>
      <c r="M355" s="6">
        <f t="shared" si="76"/>
        <v>618095.75</v>
      </c>
      <c r="N355" s="6">
        <f t="shared" si="77"/>
        <v>117438.19</v>
      </c>
      <c r="O355" s="6">
        <f t="shared" si="79"/>
        <v>735533.94</v>
      </c>
      <c r="P355" s="6">
        <v>735533.94</v>
      </c>
      <c r="Q355" s="6">
        <v>0</v>
      </c>
      <c r="R355" s="6">
        <f t="shared" si="72"/>
        <v>0</v>
      </c>
      <c r="S355" s="5"/>
      <c r="T355"/>
      <c r="U355" s="5"/>
      <c r="V355" s="5"/>
    </row>
    <row r="356" spans="2:22" s="7" customFormat="1" x14ac:dyDescent="0.3">
      <c r="B356" s="5" t="s">
        <v>16</v>
      </c>
      <c r="C356" s="5" t="s">
        <v>868</v>
      </c>
      <c r="D356" s="5" t="s">
        <v>794</v>
      </c>
      <c r="E356" s="5" t="s">
        <v>869</v>
      </c>
      <c r="F356" s="5" t="s">
        <v>796</v>
      </c>
      <c r="G356" s="5" t="s">
        <v>797</v>
      </c>
      <c r="H356" s="6">
        <f t="shared" si="73"/>
        <v>-1.7368419794365764E-2</v>
      </c>
      <c r="I356" s="6">
        <f t="shared" si="78"/>
        <v>10684008.947368421</v>
      </c>
      <c r="J356" s="6">
        <v>2029961.7</v>
      </c>
      <c r="K356" s="6">
        <v>0</v>
      </c>
      <c r="L356" s="6">
        <v>0</v>
      </c>
      <c r="M356" s="6">
        <f t="shared" si="76"/>
        <v>10684008.930000002</v>
      </c>
      <c r="N356" s="6">
        <f t="shared" si="77"/>
        <v>2029961.7</v>
      </c>
      <c r="O356" s="6">
        <f t="shared" si="79"/>
        <v>12713970.630000001</v>
      </c>
      <c r="P356" s="6">
        <v>12713970.630000001</v>
      </c>
      <c r="Q356" s="6">
        <v>0</v>
      </c>
      <c r="R356" s="6">
        <f t="shared" si="72"/>
        <v>0</v>
      </c>
      <c r="S356" s="5"/>
      <c r="T356"/>
      <c r="U356" s="5"/>
      <c r="V356" s="5"/>
    </row>
    <row r="357" spans="2:22" s="7" customFormat="1" x14ac:dyDescent="0.3">
      <c r="B357" s="5" t="s">
        <v>16</v>
      </c>
      <c r="C357" s="5" t="s">
        <v>870</v>
      </c>
      <c r="D357" s="5" t="s">
        <v>794</v>
      </c>
      <c r="E357" s="5" t="s">
        <v>724</v>
      </c>
      <c r="F357" s="5" t="s">
        <v>796</v>
      </c>
      <c r="G357" s="5" t="s">
        <v>797</v>
      </c>
      <c r="H357" s="6">
        <f t="shared" si="73"/>
        <v>2.1052631549537182E-2</v>
      </c>
      <c r="I357" s="6">
        <f t="shared" si="78"/>
        <v>374109.57894736843</v>
      </c>
      <c r="J357" s="6">
        <v>71080.820000000007</v>
      </c>
      <c r="K357" s="6">
        <v>0</v>
      </c>
      <c r="L357" s="6">
        <v>0</v>
      </c>
      <c r="M357" s="6">
        <f t="shared" si="76"/>
        <v>374109.6</v>
      </c>
      <c r="N357" s="6">
        <f t="shared" si="77"/>
        <v>71080.820000000007</v>
      </c>
      <c r="O357" s="6">
        <f t="shared" si="79"/>
        <v>445190.42</v>
      </c>
      <c r="P357" s="6">
        <v>445190.42</v>
      </c>
      <c r="Q357" s="6">
        <v>0</v>
      </c>
      <c r="R357" s="6">
        <f t="shared" si="72"/>
        <v>0</v>
      </c>
      <c r="S357" s="5"/>
      <c r="T357"/>
      <c r="U357" s="5"/>
      <c r="V357" s="5"/>
    </row>
    <row r="358" spans="2:22" s="7" customFormat="1" x14ac:dyDescent="0.3">
      <c r="B358" s="5" t="s">
        <v>16</v>
      </c>
      <c r="C358" s="5" t="s">
        <v>871</v>
      </c>
      <c r="D358" s="5" t="s">
        <v>794</v>
      </c>
      <c r="E358" s="5" t="s">
        <v>121</v>
      </c>
      <c r="F358" s="5" t="s">
        <v>796</v>
      </c>
      <c r="G358" s="5" t="s">
        <v>797</v>
      </c>
      <c r="H358" s="6">
        <f t="shared" si="73"/>
        <v>1.3684210629435256E-2</v>
      </c>
      <c r="I358" s="6">
        <f t="shared" si="78"/>
        <v>1124747.5263157894</v>
      </c>
      <c r="J358" s="6">
        <v>213702.03</v>
      </c>
      <c r="K358" s="6">
        <v>0</v>
      </c>
      <c r="L358" s="6">
        <v>0</v>
      </c>
      <c r="M358" s="6">
        <f t="shared" si="76"/>
        <v>1124747.54</v>
      </c>
      <c r="N358" s="6">
        <f t="shared" si="77"/>
        <v>213702.03</v>
      </c>
      <c r="O358" s="6">
        <f t="shared" si="79"/>
        <v>1338449.57</v>
      </c>
      <c r="P358" s="6">
        <v>1338449.57</v>
      </c>
      <c r="Q358" s="6">
        <v>0</v>
      </c>
      <c r="R358" s="6">
        <f t="shared" si="72"/>
        <v>0</v>
      </c>
      <c r="S358" s="5"/>
      <c r="T358"/>
      <c r="U358" s="5"/>
      <c r="V358" s="5"/>
    </row>
    <row r="359" spans="2:22" s="7" customFormat="1" x14ac:dyDescent="0.3">
      <c r="B359" s="5" t="s">
        <v>16</v>
      </c>
      <c r="C359" s="5" t="s">
        <v>872</v>
      </c>
      <c r="D359" s="5" t="s">
        <v>794</v>
      </c>
      <c r="E359" s="5" t="s">
        <v>121</v>
      </c>
      <c r="F359" s="5" t="s">
        <v>796</v>
      </c>
      <c r="G359" s="5" t="s">
        <v>797</v>
      </c>
      <c r="H359" s="6">
        <f t="shared" si="73"/>
        <v>590780.39</v>
      </c>
      <c r="I359" s="6">
        <f t="shared" si="78"/>
        <v>0</v>
      </c>
      <c r="J359" s="6">
        <v>0</v>
      </c>
      <c r="K359" s="6">
        <v>0</v>
      </c>
      <c r="L359" s="6">
        <v>0</v>
      </c>
      <c r="M359" s="6">
        <f t="shared" si="76"/>
        <v>590780.39</v>
      </c>
      <c r="N359" s="6">
        <f t="shared" si="77"/>
        <v>0</v>
      </c>
      <c r="O359" s="6">
        <f t="shared" si="79"/>
        <v>590780.39</v>
      </c>
      <c r="P359" s="6">
        <v>590780.39</v>
      </c>
      <c r="Q359" s="6">
        <v>0</v>
      </c>
      <c r="R359" s="6">
        <f t="shared" si="72"/>
        <v>0</v>
      </c>
      <c r="S359" s="5"/>
      <c r="T359"/>
      <c r="U359" s="5"/>
      <c r="V359" s="5"/>
    </row>
    <row r="360" spans="2:22" s="7" customFormat="1" x14ac:dyDescent="0.3">
      <c r="B360" s="5" t="s">
        <v>16</v>
      </c>
      <c r="C360" s="5" t="s">
        <v>873</v>
      </c>
      <c r="D360" s="5" t="s">
        <v>794</v>
      </c>
      <c r="E360" s="5" t="s">
        <v>874</v>
      </c>
      <c r="F360" s="5" t="s">
        <v>796</v>
      </c>
      <c r="G360" s="5" t="s">
        <v>797</v>
      </c>
      <c r="H360" s="6">
        <f t="shared" si="73"/>
        <v>3.1578942434862256E-3</v>
      </c>
      <c r="I360" s="6">
        <f t="shared" si="78"/>
        <v>3930141.7368421056</v>
      </c>
      <c r="J360" s="6">
        <v>746726.93</v>
      </c>
      <c r="K360" s="6">
        <v>0</v>
      </c>
      <c r="L360" s="6">
        <v>0</v>
      </c>
      <c r="M360" s="6">
        <f t="shared" si="76"/>
        <v>3930141.7399999998</v>
      </c>
      <c r="N360" s="6">
        <f t="shared" si="77"/>
        <v>746726.93</v>
      </c>
      <c r="O360" s="6">
        <f t="shared" si="79"/>
        <v>4676868.67</v>
      </c>
      <c r="P360" s="6">
        <v>4676868.67</v>
      </c>
      <c r="Q360" s="6">
        <v>0</v>
      </c>
      <c r="R360" s="6">
        <f t="shared" si="72"/>
        <v>0</v>
      </c>
      <c r="S360" s="5"/>
      <c r="T360"/>
      <c r="U360" s="5"/>
      <c r="V360" s="5"/>
    </row>
    <row r="361" spans="2:22" s="7" customFormat="1" x14ac:dyDescent="0.3">
      <c r="B361" s="5" t="s">
        <v>16</v>
      </c>
      <c r="C361" s="5" t="s">
        <v>875</v>
      </c>
      <c r="D361" s="5" t="s">
        <v>794</v>
      </c>
      <c r="E361" s="5" t="s">
        <v>312</v>
      </c>
      <c r="F361" s="5" t="s">
        <v>796</v>
      </c>
      <c r="G361" s="5" t="s">
        <v>797</v>
      </c>
      <c r="H361" s="6">
        <f t="shared" si="73"/>
        <v>0</v>
      </c>
      <c r="I361" s="6">
        <f t="shared" si="78"/>
        <v>997119.99999999988</v>
      </c>
      <c r="J361" s="6">
        <v>189452.79999999999</v>
      </c>
      <c r="K361" s="6">
        <v>0</v>
      </c>
      <c r="L361" s="6">
        <v>0</v>
      </c>
      <c r="M361" s="6">
        <f t="shared" si="76"/>
        <v>997119.99999999988</v>
      </c>
      <c r="N361" s="6">
        <f t="shared" si="77"/>
        <v>189452.79999999999</v>
      </c>
      <c r="O361" s="6">
        <f t="shared" si="79"/>
        <v>1186572.7999999998</v>
      </c>
      <c r="P361" s="6">
        <v>1186572.8</v>
      </c>
      <c r="Q361" s="6">
        <v>0</v>
      </c>
      <c r="R361" s="6">
        <f t="shared" si="72"/>
        <v>0</v>
      </c>
      <c r="S361" s="5"/>
      <c r="T361"/>
      <c r="U361" s="5"/>
      <c r="V361" s="5"/>
    </row>
    <row r="362" spans="2:22" s="7" customFormat="1" x14ac:dyDescent="0.3">
      <c r="B362" s="5" t="s">
        <v>16</v>
      </c>
      <c r="C362" s="5" t="s">
        <v>876</v>
      </c>
      <c r="D362" s="5" t="s">
        <v>794</v>
      </c>
      <c r="E362" s="5" t="s">
        <v>312</v>
      </c>
      <c r="F362" s="5" t="s">
        <v>796</v>
      </c>
      <c r="G362" s="5" t="s">
        <v>797</v>
      </c>
      <c r="H362" s="6">
        <f t="shared" si="73"/>
        <v>1.5263157663866878E-2</v>
      </c>
      <c r="I362" s="6">
        <f t="shared" si="78"/>
        <v>1391432.8947368423</v>
      </c>
      <c r="J362" s="6">
        <v>264372.25</v>
      </c>
      <c r="K362" s="6">
        <v>0</v>
      </c>
      <c r="L362" s="6">
        <v>0</v>
      </c>
      <c r="M362" s="6">
        <f t="shared" si="76"/>
        <v>1391432.91</v>
      </c>
      <c r="N362" s="6">
        <f t="shared" si="77"/>
        <v>264372.25</v>
      </c>
      <c r="O362" s="6">
        <f t="shared" si="79"/>
        <v>1655805.16</v>
      </c>
      <c r="P362" s="6">
        <v>1655805.16</v>
      </c>
      <c r="Q362" s="6">
        <v>0</v>
      </c>
      <c r="R362" s="6">
        <f t="shared" si="72"/>
        <v>0</v>
      </c>
      <c r="S362" s="5"/>
      <c r="T362"/>
      <c r="U362" s="5"/>
      <c r="V362" s="5"/>
    </row>
    <row r="363" spans="2:22" x14ac:dyDescent="0.3">
      <c r="B363" s="5" t="s">
        <v>16</v>
      </c>
      <c r="C363" s="5" t="s">
        <v>877</v>
      </c>
      <c r="D363" s="5" t="s">
        <v>794</v>
      </c>
      <c r="E363" s="5" t="s">
        <v>212</v>
      </c>
      <c r="F363" s="5" t="s">
        <v>796</v>
      </c>
      <c r="G363" s="5" t="s">
        <v>797</v>
      </c>
      <c r="H363" s="6">
        <f t="shared" si="73"/>
        <v>-6.8421053001657128E-3</v>
      </c>
      <c r="I363" s="6">
        <f t="shared" si="78"/>
        <v>508996.73684210528</v>
      </c>
      <c r="J363" s="6">
        <v>96709.38</v>
      </c>
      <c r="K363" s="6">
        <v>0</v>
      </c>
      <c r="L363" s="6">
        <v>0</v>
      </c>
      <c r="M363" s="6">
        <f t="shared" si="76"/>
        <v>508996.73</v>
      </c>
      <c r="N363" s="6">
        <f t="shared" si="77"/>
        <v>96709.38</v>
      </c>
      <c r="O363" s="6">
        <f t="shared" si="79"/>
        <v>605706.11</v>
      </c>
      <c r="P363" s="6">
        <v>605706.11</v>
      </c>
      <c r="Q363" s="6">
        <v>0</v>
      </c>
      <c r="R363" s="6">
        <f t="shared" si="72"/>
        <v>0</v>
      </c>
      <c r="S363" s="5"/>
      <c r="U363" s="5"/>
    </row>
    <row r="364" spans="2:22" x14ac:dyDescent="0.3">
      <c r="B364" s="5" t="s">
        <v>16</v>
      </c>
      <c r="C364" s="5" t="s">
        <v>878</v>
      </c>
      <c r="D364" s="5" t="s">
        <v>794</v>
      </c>
      <c r="E364" s="5" t="s">
        <v>541</v>
      </c>
      <c r="F364" s="5" t="s">
        <v>796</v>
      </c>
      <c r="G364" s="5" t="s">
        <v>797</v>
      </c>
      <c r="H364" s="6">
        <f t="shared" si="73"/>
        <v>2.0000000018626451E-2</v>
      </c>
      <c r="I364" s="6">
        <f t="shared" si="78"/>
        <v>1106700</v>
      </c>
      <c r="J364" s="6">
        <v>210273</v>
      </c>
      <c r="K364" s="6">
        <v>0</v>
      </c>
      <c r="L364" s="6">
        <v>0</v>
      </c>
      <c r="M364" s="6">
        <f t="shared" si="76"/>
        <v>1106700.02</v>
      </c>
      <c r="N364" s="6">
        <f t="shared" si="77"/>
        <v>210273</v>
      </c>
      <c r="O364" s="6">
        <f t="shared" si="79"/>
        <v>1316973.02</v>
      </c>
      <c r="P364" s="6">
        <v>1316973.02</v>
      </c>
      <c r="Q364" s="6">
        <v>0</v>
      </c>
      <c r="R364" s="6">
        <f t="shared" si="72"/>
        <v>0</v>
      </c>
      <c r="S364" s="5"/>
      <c r="U364" s="5"/>
    </row>
    <row r="365" spans="2:22" s="7" customFormat="1" x14ac:dyDescent="0.3">
      <c r="B365" s="5" t="s">
        <v>16</v>
      </c>
      <c r="C365" s="5" t="s">
        <v>879</v>
      </c>
      <c r="D365" s="5" t="s">
        <v>794</v>
      </c>
      <c r="E365" s="5" t="s">
        <v>541</v>
      </c>
      <c r="F365" s="5" t="s">
        <v>796</v>
      </c>
      <c r="G365" s="5" t="s">
        <v>797</v>
      </c>
      <c r="H365" s="6">
        <f t="shared" si="73"/>
        <v>-6371.0242105263169</v>
      </c>
      <c r="I365" s="6">
        <f t="shared" si="78"/>
        <v>1112201.6842105263</v>
      </c>
      <c r="J365" s="6">
        <v>211318.32</v>
      </c>
      <c r="K365" s="6">
        <v>0</v>
      </c>
      <c r="L365" s="6">
        <v>0</v>
      </c>
      <c r="M365" s="6">
        <f t="shared" si="76"/>
        <v>1105830.6599999999</v>
      </c>
      <c r="N365" s="6">
        <f t="shared" si="77"/>
        <v>211318.32</v>
      </c>
      <c r="O365" s="6">
        <f t="shared" si="79"/>
        <v>1317148.98</v>
      </c>
      <c r="P365" s="6">
        <v>1317148.98</v>
      </c>
      <c r="Q365" s="6">
        <v>0</v>
      </c>
      <c r="R365" s="6">
        <f t="shared" si="72"/>
        <v>0</v>
      </c>
      <c r="S365" s="5"/>
      <c r="T365"/>
      <c r="U365" s="5"/>
      <c r="V365" s="5"/>
    </row>
    <row r="366" spans="2:22" s="7" customFormat="1" x14ac:dyDescent="0.3">
      <c r="B366" s="5" t="s">
        <v>16</v>
      </c>
      <c r="C366" s="5" t="s">
        <v>880</v>
      </c>
      <c r="D366" s="5" t="s">
        <v>794</v>
      </c>
      <c r="E366" s="5" t="s">
        <v>610</v>
      </c>
      <c r="F366" s="5" t="s">
        <v>796</v>
      </c>
      <c r="G366" s="5" t="s">
        <v>797</v>
      </c>
      <c r="H366" s="6">
        <f t="shared" si="73"/>
        <v>1.0526315541937947E-2</v>
      </c>
      <c r="I366" s="6">
        <f t="shared" si="78"/>
        <v>5737918.7894736845</v>
      </c>
      <c r="J366" s="6">
        <v>1090204.57</v>
      </c>
      <c r="K366" s="6">
        <v>0</v>
      </c>
      <c r="L366" s="6">
        <v>0</v>
      </c>
      <c r="M366" s="6">
        <f t="shared" si="76"/>
        <v>5737918.7999999998</v>
      </c>
      <c r="N366" s="6">
        <f t="shared" si="77"/>
        <v>1090204.57</v>
      </c>
      <c r="O366" s="6">
        <f t="shared" si="79"/>
        <v>6828123.3700000001</v>
      </c>
      <c r="P366" s="6">
        <v>6828123.3700000001</v>
      </c>
      <c r="Q366" s="6">
        <v>0</v>
      </c>
      <c r="R366" s="6">
        <f t="shared" si="72"/>
        <v>0</v>
      </c>
      <c r="S366" s="5"/>
      <c r="T366"/>
      <c r="U366"/>
      <c r="V366"/>
    </row>
    <row r="367" spans="2:22" s="7" customFormat="1" x14ac:dyDescent="0.3">
      <c r="B367" s="5" t="s">
        <v>16</v>
      </c>
      <c r="C367" s="5" t="s">
        <v>881</v>
      </c>
      <c r="D367" s="5" t="s">
        <v>794</v>
      </c>
      <c r="E367" s="5" t="s">
        <v>882</v>
      </c>
      <c r="F367" s="5" t="s">
        <v>796</v>
      </c>
      <c r="G367" s="5" t="s">
        <v>797</v>
      </c>
      <c r="H367" s="6">
        <f>+P367-I367-J367-K367-L367</f>
        <v>-165125.99684210494</v>
      </c>
      <c r="I367" s="6">
        <f t="shared" si="78"/>
        <v>8751951.7368421052</v>
      </c>
      <c r="J367" s="6">
        <v>1662870.83</v>
      </c>
      <c r="K367" s="6">
        <v>0</v>
      </c>
      <c r="L367" s="6">
        <v>0</v>
      </c>
      <c r="M367" s="6">
        <f t="shared" si="76"/>
        <v>8586825.7400000002</v>
      </c>
      <c r="N367" s="6">
        <f t="shared" si="77"/>
        <v>1662870.83</v>
      </c>
      <c r="O367" s="6">
        <f t="shared" si="79"/>
        <v>10249696.57</v>
      </c>
      <c r="P367" s="6">
        <v>10249696.57</v>
      </c>
      <c r="Q367" s="6">
        <v>0</v>
      </c>
      <c r="R367" s="6">
        <f t="shared" si="72"/>
        <v>0</v>
      </c>
      <c r="S367" s="5"/>
      <c r="T367"/>
      <c r="U367" s="5"/>
      <c r="V367" s="5"/>
    </row>
    <row r="368" spans="2:22" s="7" customFormat="1" x14ac:dyDescent="0.3">
      <c r="B368" s="5" t="s">
        <v>16</v>
      </c>
      <c r="C368" s="5" t="s">
        <v>883</v>
      </c>
      <c r="D368" s="5" t="s">
        <v>794</v>
      </c>
      <c r="E368" s="5" t="s">
        <v>337</v>
      </c>
      <c r="F368" s="5" t="s">
        <v>796</v>
      </c>
      <c r="G368" s="5" t="s">
        <v>797</v>
      </c>
      <c r="H368" s="6">
        <f>+P368-I368-J368-K368-L368</f>
        <v>707997.98105263175</v>
      </c>
      <c r="I368" s="6">
        <f t="shared" si="78"/>
        <v>1468728.5789473685</v>
      </c>
      <c r="J368" s="6">
        <v>279058.43</v>
      </c>
      <c r="K368" s="6">
        <v>0</v>
      </c>
      <c r="L368" s="6">
        <v>0</v>
      </c>
      <c r="M368" s="6">
        <f t="shared" si="76"/>
        <v>2176726.5600000005</v>
      </c>
      <c r="N368" s="6">
        <f t="shared" si="77"/>
        <v>279058.43</v>
      </c>
      <c r="O368" s="6">
        <f t="shared" si="79"/>
        <v>2455784.9900000007</v>
      </c>
      <c r="P368" s="6">
        <v>2455784.9900000002</v>
      </c>
      <c r="Q368" s="6">
        <v>0</v>
      </c>
      <c r="R368" s="6">
        <f t="shared" si="72"/>
        <v>0</v>
      </c>
      <c r="S368" s="5"/>
      <c r="T368"/>
      <c r="U368" s="5"/>
      <c r="V368" s="5"/>
    </row>
    <row r="369" spans="2:22" s="7" customFormat="1" x14ac:dyDescent="0.3">
      <c r="B369" s="5" t="s">
        <v>16</v>
      </c>
      <c r="C369" s="5" t="s">
        <v>884</v>
      </c>
      <c r="D369" s="5" t="s">
        <v>794</v>
      </c>
      <c r="E369" s="5" t="s">
        <v>885</v>
      </c>
      <c r="F369" s="5" t="s">
        <v>796</v>
      </c>
      <c r="G369" s="5" t="s">
        <v>797</v>
      </c>
      <c r="H369" s="6">
        <f>+P369-I369-J369-K369-L369</f>
        <v>5.789473740151152E-3</v>
      </c>
      <c r="I369" s="6">
        <f t="shared" si="78"/>
        <v>927313.68421052629</v>
      </c>
      <c r="J369" s="6">
        <v>176189.6</v>
      </c>
      <c r="K369" s="6">
        <v>0</v>
      </c>
      <c r="L369" s="6">
        <v>0</v>
      </c>
      <c r="M369" s="6">
        <f t="shared" si="76"/>
        <v>927313.69000000006</v>
      </c>
      <c r="N369" s="6">
        <f t="shared" si="77"/>
        <v>176189.6</v>
      </c>
      <c r="O369" s="6">
        <f t="shared" si="79"/>
        <v>1103503.29</v>
      </c>
      <c r="P369" s="6">
        <v>1103503.29</v>
      </c>
      <c r="Q369" s="6">
        <v>0</v>
      </c>
      <c r="R369" s="6">
        <f t="shared" si="72"/>
        <v>0</v>
      </c>
      <c r="S369"/>
      <c r="T369"/>
      <c r="U369" s="5"/>
      <c r="V369" s="5"/>
    </row>
    <row r="370" spans="2:22" s="7" customFormat="1" x14ac:dyDescent="0.3">
      <c r="B370" s="5" t="s">
        <v>16</v>
      </c>
      <c r="C370" s="5" t="s">
        <v>886</v>
      </c>
      <c r="D370" s="5" t="s">
        <v>794</v>
      </c>
      <c r="E370" s="5" t="s">
        <v>885</v>
      </c>
      <c r="F370" s="5" t="s">
        <v>796</v>
      </c>
      <c r="G370" s="5" t="s">
        <v>797</v>
      </c>
      <c r="H370" s="6">
        <f>+P370-I370-J370-K370-L370</f>
        <v>599700.19999999995</v>
      </c>
      <c r="I370" s="6">
        <f t="shared" si="78"/>
        <v>0</v>
      </c>
      <c r="J370" s="6">
        <v>0</v>
      </c>
      <c r="K370" s="6">
        <v>0</v>
      </c>
      <c r="L370" s="6">
        <v>0</v>
      </c>
      <c r="M370" s="6">
        <f t="shared" si="76"/>
        <v>599700.19999999995</v>
      </c>
      <c r="N370" s="6">
        <f t="shared" si="77"/>
        <v>0</v>
      </c>
      <c r="O370" s="6">
        <f t="shared" si="79"/>
        <v>599700.19999999995</v>
      </c>
      <c r="P370" s="6">
        <v>599700.19999999995</v>
      </c>
      <c r="Q370" s="6">
        <v>0</v>
      </c>
      <c r="R370" s="6">
        <f t="shared" si="72"/>
        <v>0</v>
      </c>
      <c r="S370" s="5"/>
      <c r="T370"/>
      <c r="U370" s="5"/>
      <c r="V370" s="5"/>
    </row>
    <row r="371" spans="2:22" s="7" customFormat="1" x14ac:dyDescent="0.3">
      <c r="B371" s="5" t="s">
        <v>16</v>
      </c>
      <c r="C371" s="5" t="s">
        <v>887</v>
      </c>
      <c r="D371" s="5" t="s">
        <v>794</v>
      </c>
      <c r="E371" s="5" t="s">
        <v>302</v>
      </c>
      <c r="F371" s="5" t="s">
        <v>796</v>
      </c>
      <c r="G371" s="5" t="s">
        <v>797</v>
      </c>
      <c r="H371" s="6">
        <v>0</v>
      </c>
      <c r="I371" s="6">
        <f t="shared" si="78"/>
        <v>697012.31578947359</v>
      </c>
      <c r="J371" s="6">
        <v>132432.34</v>
      </c>
      <c r="K371" s="6">
        <v>0</v>
      </c>
      <c r="L371" s="6">
        <v>0</v>
      </c>
      <c r="M371" s="6">
        <f t="shared" si="76"/>
        <v>697012.31578947359</v>
      </c>
      <c r="N371" s="6">
        <f t="shared" si="77"/>
        <v>132432.34</v>
      </c>
      <c r="O371" s="6">
        <f t="shared" si="79"/>
        <v>829444.65578947356</v>
      </c>
      <c r="P371" s="6">
        <v>829444.66</v>
      </c>
      <c r="Q371" s="6">
        <v>0</v>
      </c>
      <c r="R371" s="6">
        <f t="shared" si="72"/>
        <v>0</v>
      </c>
      <c r="S371" s="5"/>
      <c r="T371"/>
      <c r="U371"/>
      <c r="V371"/>
    </row>
    <row r="372" spans="2:22" s="7" customFormat="1" x14ac:dyDescent="0.3">
      <c r="B372" s="5" t="s">
        <v>16</v>
      </c>
      <c r="C372" s="5" t="s">
        <v>888</v>
      </c>
      <c r="D372" s="5" t="s">
        <v>794</v>
      </c>
      <c r="E372" s="5" t="s">
        <v>302</v>
      </c>
      <c r="F372" s="5" t="s">
        <v>796</v>
      </c>
      <c r="G372" s="5" t="s">
        <v>797</v>
      </c>
      <c r="H372" s="6">
        <v>0</v>
      </c>
      <c r="I372" s="6">
        <f t="shared" si="78"/>
        <v>1639935.5789473683</v>
      </c>
      <c r="J372" s="6">
        <v>311587.76</v>
      </c>
      <c r="K372" s="6">
        <v>0</v>
      </c>
      <c r="L372" s="6">
        <v>0</v>
      </c>
      <c r="M372" s="6">
        <f t="shared" si="76"/>
        <v>1639935.5789473683</v>
      </c>
      <c r="N372" s="6">
        <f t="shared" si="77"/>
        <v>311587.76</v>
      </c>
      <c r="O372" s="6">
        <f t="shared" si="79"/>
        <v>1951523.3389473683</v>
      </c>
      <c r="P372" s="6">
        <v>1951523.32</v>
      </c>
      <c r="Q372" s="6">
        <v>0</v>
      </c>
      <c r="R372" s="6">
        <f t="shared" ref="R372:R435" si="80">+Q372*2.5/100</f>
        <v>0</v>
      </c>
      <c r="S372" s="5"/>
      <c r="T372"/>
      <c r="U372"/>
      <c r="V372" s="5"/>
    </row>
    <row r="373" spans="2:22" s="7" customFormat="1" x14ac:dyDescent="0.3">
      <c r="B373" s="5" t="s">
        <v>16</v>
      </c>
      <c r="C373" s="5" t="s">
        <v>889</v>
      </c>
      <c r="D373" s="5" t="s">
        <v>794</v>
      </c>
      <c r="E373" s="5" t="s">
        <v>890</v>
      </c>
      <c r="F373" s="5" t="s">
        <v>796</v>
      </c>
      <c r="G373" s="5" t="s">
        <v>797</v>
      </c>
      <c r="H373" s="6">
        <v>0</v>
      </c>
      <c r="I373" s="6">
        <f t="shared" si="78"/>
        <v>8772031.5263157897</v>
      </c>
      <c r="J373" s="6">
        <v>1666685.99</v>
      </c>
      <c r="K373" s="6">
        <v>0</v>
      </c>
      <c r="L373" s="6">
        <v>0</v>
      </c>
      <c r="M373" s="6">
        <f t="shared" si="76"/>
        <v>8772031.5263157897</v>
      </c>
      <c r="N373" s="6">
        <f t="shared" si="77"/>
        <v>1666685.99</v>
      </c>
      <c r="O373" s="6">
        <f t="shared" si="79"/>
        <v>10438717.51631579</v>
      </c>
      <c r="P373" s="6">
        <v>10438717.52</v>
      </c>
      <c r="Q373" s="6">
        <v>0</v>
      </c>
      <c r="R373" s="6">
        <f t="shared" si="80"/>
        <v>0</v>
      </c>
      <c r="S373" s="5"/>
      <c r="T373"/>
    </row>
    <row r="374" spans="2:22" s="7" customFormat="1" x14ac:dyDescent="0.3">
      <c r="B374" s="5" t="s">
        <v>16</v>
      </c>
      <c r="C374" s="5" t="s">
        <v>891</v>
      </c>
      <c r="D374" s="5" t="s">
        <v>794</v>
      </c>
      <c r="E374" s="5" t="s">
        <v>892</v>
      </c>
      <c r="F374" s="5" t="s">
        <v>796</v>
      </c>
      <c r="G374" s="5" t="s">
        <v>797</v>
      </c>
      <c r="H374" s="6">
        <f t="shared" ref="H374:H385" si="81">+P374-I374-J374</f>
        <v>8.4210526547394693E-3</v>
      </c>
      <c r="I374" s="6">
        <f t="shared" si="78"/>
        <v>1733186.6315789474</v>
      </c>
      <c r="J374" s="6">
        <v>329305.46000000002</v>
      </c>
      <c r="K374" s="6">
        <v>0</v>
      </c>
      <c r="L374" s="6">
        <v>0</v>
      </c>
      <c r="M374" s="6">
        <f t="shared" si="76"/>
        <v>1733186.6400000001</v>
      </c>
      <c r="N374" s="6">
        <f t="shared" si="77"/>
        <v>329305.46000000002</v>
      </c>
      <c r="O374" s="6">
        <f t="shared" si="79"/>
        <v>2062492.1</v>
      </c>
      <c r="P374" s="6">
        <v>2062492.1</v>
      </c>
      <c r="Q374" s="6">
        <v>0</v>
      </c>
      <c r="R374" s="6">
        <f t="shared" si="80"/>
        <v>0</v>
      </c>
      <c r="S374" s="5"/>
      <c r="T374"/>
    </row>
    <row r="375" spans="2:22" s="7" customFormat="1" x14ac:dyDescent="0.3">
      <c r="B375" s="5" t="s">
        <v>16</v>
      </c>
      <c r="C375" s="5" t="s">
        <v>893</v>
      </c>
      <c r="D375" s="5" t="s">
        <v>794</v>
      </c>
      <c r="E375" s="5" t="s">
        <v>427</v>
      </c>
      <c r="F375" s="5" t="s">
        <v>796</v>
      </c>
      <c r="G375" s="5" t="s">
        <v>797</v>
      </c>
      <c r="H375" s="6">
        <f t="shared" si="81"/>
        <v>1619398.28</v>
      </c>
      <c r="I375" s="6">
        <f t="shared" si="78"/>
        <v>0</v>
      </c>
      <c r="J375" s="6">
        <v>0</v>
      </c>
      <c r="K375" s="6">
        <v>0</v>
      </c>
      <c r="L375" s="6">
        <v>0</v>
      </c>
      <c r="M375" s="6">
        <f t="shared" si="76"/>
        <v>1619398.28</v>
      </c>
      <c r="N375" s="6">
        <f t="shared" si="77"/>
        <v>0</v>
      </c>
      <c r="O375" s="6">
        <f t="shared" si="79"/>
        <v>1619398.28</v>
      </c>
      <c r="P375" s="6">
        <v>1619398.28</v>
      </c>
      <c r="Q375" s="6">
        <v>0</v>
      </c>
      <c r="R375" s="6">
        <f t="shared" si="80"/>
        <v>0</v>
      </c>
      <c r="S375" s="5"/>
      <c r="T375"/>
      <c r="U375"/>
      <c r="V375"/>
    </row>
    <row r="376" spans="2:22" s="7" customFormat="1" x14ac:dyDescent="0.3">
      <c r="B376" s="5" t="s">
        <v>16</v>
      </c>
      <c r="C376" s="5" t="s">
        <v>894</v>
      </c>
      <c r="D376" s="5" t="s">
        <v>794</v>
      </c>
      <c r="E376" s="5" t="s">
        <v>427</v>
      </c>
      <c r="F376" s="5" t="s">
        <v>796</v>
      </c>
      <c r="G376" s="5" t="s">
        <v>797</v>
      </c>
      <c r="H376" s="6">
        <f t="shared" si="81"/>
        <v>0</v>
      </c>
      <c r="I376" s="6">
        <f t="shared" si="78"/>
        <v>499500</v>
      </c>
      <c r="J376" s="6">
        <v>94905</v>
      </c>
      <c r="K376" s="6">
        <v>0</v>
      </c>
      <c r="L376" s="6">
        <v>0</v>
      </c>
      <c r="M376" s="6">
        <f t="shared" si="76"/>
        <v>499500</v>
      </c>
      <c r="N376" s="6">
        <f t="shared" si="77"/>
        <v>94905</v>
      </c>
      <c r="O376" s="6">
        <f t="shared" si="79"/>
        <v>594405</v>
      </c>
      <c r="P376" s="6">
        <v>594405</v>
      </c>
      <c r="Q376" s="6">
        <v>0</v>
      </c>
      <c r="R376" s="6">
        <f t="shared" si="80"/>
        <v>0</v>
      </c>
      <c r="S376" s="5"/>
      <c r="T376"/>
      <c r="U376" s="5"/>
      <c r="V376" s="5"/>
    </row>
    <row r="377" spans="2:22" s="7" customFormat="1" x14ac:dyDescent="0.3">
      <c r="B377" s="5" t="s">
        <v>16</v>
      </c>
      <c r="C377" s="5" t="s">
        <v>895</v>
      </c>
      <c r="D377" s="5" t="s">
        <v>794</v>
      </c>
      <c r="E377" s="5" t="s">
        <v>427</v>
      </c>
      <c r="F377" s="5" t="s">
        <v>796</v>
      </c>
      <c r="G377" s="5" t="s">
        <v>797</v>
      </c>
      <c r="H377" s="6">
        <f t="shared" si="81"/>
        <v>-1.6842105338582769E-2</v>
      </c>
      <c r="I377" s="6">
        <f t="shared" si="78"/>
        <v>946632.73684210528</v>
      </c>
      <c r="J377" s="6">
        <v>179860.22</v>
      </c>
      <c r="K377" s="6">
        <v>0</v>
      </c>
      <c r="L377" s="6">
        <v>0</v>
      </c>
      <c r="M377" s="6">
        <f t="shared" si="76"/>
        <v>946632.72</v>
      </c>
      <c r="N377" s="6">
        <f t="shared" si="77"/>
        <v>179860.22</v>
      </c>
      <c r="O377" s="6">
        <f t="shared" si="79"/>
        <v>1126492.94</v>
      </c>
      <c r="P377" s="6">
        <v>1126492.94</v>
      </c>
      <c r="Q377" s="6">
        <v>0</v>
      </c>
      <c r="R377" s="6">
        <f t="shared" si="80"/>
        <v>0</v>
      </c>
      <c r="S377"/>
      <c r="T377"/>
      <c r="U377" s="5"/>
      <c r="V377" s="5"/>
    </row>
    <row r="378" spans="2:22" s="7" customFormat="1" x14ac:dyDescent="0.3">
      <c r="B378" s="5" t="s">
        <v>16</v>
      </c>
      <c r="C378" s="5" t="s">
        <v>896</v>
      </c>
      <c r="D378" s="5" t="s">
        <v>794</v>
      </c>
      <c r="E378" s="5" t="s">
        <v>249</v>
      </c>
      <c r="F378" s="5" t="s">
        <v>796</v>
      </c>
      <c r="G378" s="5" t="s">
        <v>797</v>
      </c>
      <c r="H378" s="6">
        <f t="shared" si="81"/>
        <v>-1.0526315658353269E-2</v>
      </c>
      <c r="I378" s="6">
        <f t="shared" si="78"/>
        <v>1065307.2105263157</v>
      </c>
      <c r="J378" s="6">
        <v>202408.37</v>
      </c>
      <c r="K378" s="6">
        <v>0</v>
      </c>
      <c r="L378" s="6">
        <v>0</v>
      </c>
      <c r="M378" s="6">
        <f t="shared" si="76"/>
        <v>1065307.2000000002</v>
      </c>
      <c r="N378" s="6">
        <f t="shared" si="77"/>
        <v>202408.37</v>
      </c>
      <c r="O378" s="6">
        <f t="shared" si="79"/>
        <v>1267715.5700000003</v>
      </c>
      <c r="P378" s="6">
        <v>1267715.57</v>
      </c>
      <c r="Q378" s="6">
        <v>0</v>
      </c>
      <c r="R378" s="6">
        <f t="shared" si="80"/>
        <v>0</v>
      </c>
      <c r="S378" s="5"/>
      <c r="T378"/>
      <c r="U378" s="5"/>
      <c r="V378" s="5"/>
    </row>
    <row r="379" spans="2:22" s="7" customFormat="1" x14ac:dyDescent="0.3">
      <c r="B379" s="5" t="s">
        <v>16</v>
      </c>
      <c r="C379" s="5" t="s">
        <v>897</v>
      </c>
      <c r="D379" s="5" t="s">
        <v>485</v>
      </c>
      <c r="E379" s="5" t="s">
        <v>245</v>
      </c>
      <c r="F379" s="5" t="s">
        <v>358</v>
      </c>
      <c r="G379" s="5" t="s">
        <v>359</v>
      </c>
      <c r="H379" s="6">
        <f t="shared" si="81"/>
        <v>-1.2631579302251339E-2</v>
      </c>
      <c r="I379" s="6">
        <f t="shared" si="78"/>
        <v>6387605.0526315793</v>
      </c>
      <c r="J379" s="6">
        <v>1213644.96</v>
      </c>
      <c r="K379" s="6">
        <v>0</v>
      </c>
      <c r="L379" s="6">
        <v>0</v>
      </c>
      <c r="M379" s="6">
        <f t="shared" si="76"/>
        <v>6387605.04</v>
      </c>
      <c r="N379" s="6">
        <f t="shared" si="77"/>
        <v>1213644.96</v>
      </c>
      <c r="O379" s="6">
        <f t="shared" si="79"/>
        <v>7601250</v>
      </c>
      <c r="P379" s="6">
        <v>7601250</v>
      </c>
      <c r="Q379" s="6">
        <f>+M379-738454</f>
        <v>5649151.04</v>
      </c>
      <c r="R379" s="6">
        <f t="shared" si="80"/>
        <v>141228.77599999998</v>
      </c>
      <c r="S379" s="5"/>
      <c r="T379"/>
      <c r="U379" s="5"/>
      <c r="V379" s="5"/>
    </row>
    <row r="380" spans="2:22" s="7" customFormat="1" x14ac:dyDescent="0.3">
      <c r="B380" s="5" t="s">
        <v>16</v>
      </c>
      <c r="C380" s="5" t="s">
        <v>898</v>
      </c>
      <c r="D380" s="5" t="s">
        <v>156</v>
      </c>
      <c r="E380" s="5" t="s">
        <v>328</v>
      </c>
      <c r="F380" s="5" t="s">
        <v>318</v>
      </c>
      <c r="G380" s="5" t="s">
        <v>319</v>
      </c>
      <c r="H380" s="6">
        <f t="shared" si="81"/>
        <v>-1</v>
      </c>
      <c r="I380" s="6">
        <f t="shared" si="78"/>
        <v>6395800</v>
      </c>
      <c r="J380" s="6">
        <v>1215202</v>
      </c>
      <c r="K380" s="6">
        <v>0</v>
      </c>
      <c r="L380" s="6">
        <v>0</v>
      </c>
      <c r="M380" s="6">
        <f t="shared" si="76"/>
        <v>6395799</v>
      </c>
      <c r="N380" s="6">
        <f t="shared" si="77"/>
        <v>1215202</v>
      </c>
      <c r="O380" s="6">
        <f t="shared" si="79"/>
        <v>7611001</v>
      </c>
      <c r="P380" s="6">
        <v>7611001</v>
      </c>
      <c r="Q380" s="6">
        <f>+M380</f>
        <v>6395799</v>
      </c>
      <c r="R380" s="6">
        <f t="shared" si="80"/>
        <v>159894.97500000001</v>
      </c>
      <c r="S380" s="5"/>
      <c r="T380"/>
      <c r="U380" s="5"/>
      <c r="V380" s="5"/>
    </row>
    <row r="381" spans="2:22" s="7" customFormat="1" x14ac:dyDescent="0.3">
      <c r="B381" s="5" t="s">
        <v>16</v>
      </c>
      <c r="C381" s="5" t="s">
        <v>899</v>
      </c>
      <c r="D381" s="5" t="s">
        <v>156</v>
      </c>
      <c r="E381" s="5" t="s">
        <v>577</v>
      </c>
      <c r="F381" s="5" t="s">
        <v>318</v>
      </c>
      <c r="G381" s="5" t="s">
        <v>319</v>
      </c>
      <c r="H381" s="6">
        <f t="shared" si="81"/>
        <v>0.94736842112615705</v>
      </c>
      <c r="I381" s="6">
        <f t="shared" si="78"/>
        <v>2954621.0526315789</v>
      </c>
      <c r="J381" s="6">
        <v>561378</v>
      </c>
      <c r="K381" s="6">
        <v>0</v>
      </c>
      <c r="L381" s="6">
        <v>0</v>
      </c>
      <c r="M381" s="6">
        <f t="shared" si="76"/>
        <v>2954622</v>
      </c>
      <c r="N381" s="6">
        <f t="shared" si="77"/>
        <v>561378</v>
      </c>
      <c r="O381" s="6">
        <f t="shared" si="79"/>
        <v>3516000</v>
      </c>
      <c r="P381" s="6">
        <v>3516000</v>
      </c>
      <c r="Q381" s="6">
        <f>+M381</f>
        <v>2954622</v>
      </c>
      <c r="R381" s="6">
        <f t="shared" si="80"/>
        <v>73865.55</v>
      </c>
      <c r="S381" s="5"/>
      <c r="T381"/>
      <c r="U381"/>
      <c r="V381"/>
    </row>
    <row r="382" spans="2:22" s="7" customFormat="1" x14ac:dyDescent="0.3">
      <c r="B382" s="5" t="s">
        <v>16</v>
      </c>
      <c r="C382" s="5" t="s">
        <v>900</v>
      </c>
      <c r="D382" s="5" t="s">
        <v>156</v>
      </c>
      <c r="E382" s="5" t="s">
        <v>901</v>
      </c>
      <c r="F382" s="5" t="s">
        <v>318</v>
      </c>
      <c r="G382" s="5" t="s">
        <v>319</v>
      </c>
      <c r="H382" s="6">
        <f t="shared" si="81"/>
        <v>-2</v>
      </c>
      <c r="I382" s="6">
        <f t="shared" si="78"/>
        <v>4283700</v>
      </c>
      <c r="J382" s="6">
        <v>813903</v>
      </c>
      <c r="K382" s="6">
        <v>0</v>
      </c>
      <c r="L382" s="6">
        <v>0</v>
      </c>
      <c r="M382" s="6">
        <f t="shared" si="76"/>
        <v>4283698</v>
      </c>
      <c r="N382" s="6">
        <f t="shared" si="77"/>
        <v>813903</v>
      </c>
      <c r="O382" s="6">
        <f t="shared" si="79"/>
        <v>5097601</v>
      </c>
      <c r="P382" s="6">
        <v>5097601</v>
      </c>
      <c r="Q382" s="6">
        <f>+M382</f>
        <v>4283698</v>
      </c>
      <c r="R382" s="6">
        <f t="shared" si="80"/>
        <v>107092.45</v>
      </c>
      <c r="T382"/>
      <c r="U382" s="5"/>
      <c r="V382" s="5"/>
    </row>
    <row r="383" spans="2:22" s="7" customFormat="1" x14ac:dyDescent="0.3">
      <c r="B383" s="5" t="s">
        <v>16</v>
      </c>
      <c r="C383" s="5" t="s">
        <v>902</v>
      </c>
      <c r="D383" s="5" t="s">
        <v>156</v>
      </c>
      <c r="E383" s="5" t="s">
        <v>98</v>
      </c>
      <c r="F383" s="5" t="s">
        <v>318</v>
      </c>
      <c r="G383" s="5" t="s">
        <v>319</v>
      </c>
      <c r="H383" s="6">
        <f t="shared" si="81"/>
        <v>-0.31578947370871902</v>
      </c>
      <c r="I383" s="6">
        <f t="shared" si="78"/>
        <v>1815126.3157894737</v>
      </c>
      <c r="J383" s="6">
        <v>344874</v>
      </c>
      <c r="K383" s="6">
        <v>0</v>
      </c>
      <c r="L383" s="6">
        <v>0</v>
      </c>
      <c r="M383" s="6">
        <f t="shared" si="76"/>
        <v>1815126</v>
      </c>
      <c r="N383" s="6">
        <f t="shared" si="77"/>
        <v>344874</v>
      </c>
      <c r="O383" s="6">
        <f t="shared" si="79"/>
        <v>2160000</v>
      </c>
      <c r="P383" s="6">
        <v>2160000</v>
      </c>
      <c r="Q383" s="6">
        <f>+M383</f>
        <v>1815126</v>
      </c>
      <c r="R383" s="6">
        <f t="shared" si="80"/>
        <v>45378.15</v>
      </c>
      <c r="T383"/>
      <c r="U383" s="5"/>
      <c r="V383" s="5"/>
    </row>
    <row r="384" spans="2:22" s="7" customFormat="1" x14ac:dyDescent="0.3">
      <c r="B384" s="5" t="s">
        <v>16</v>
      </c>
      <c r="C384" s="5" t="s">
        <v>903</v>
      </c>
      <c r="D384" s="5" t="s">
        <v>156</v>
      </c>
      <c r="E384" s="5" t="s">
        <v>904</v>
      </c>
      <c r="F384" s="5" t="s">
        <v>318</v>
      </c>
      <c r="G384" s="5" t="s">
        <v>319</v>
      </c>
      <c r="H384" s="6">
        <f t="shared" si="81"/>
        <v>-1.9473684210679494</v>
      </c>
      <c r="I384" s="6">
        <f t="shared" si="78"/>
        <v>141178.94736842107</v>
      </c>
      <c r="J384" s="6">
        <v>26824</v>
      </c>
      <c r="K384" s="6">
        <v>0</v>
      </c>
      <c r="L384" s="6">
        <v>0</v>
      </c>
      <c r="M384" s="6">
        <f t="shared" si="76"/>
        <v>141177</v>
      </c>
      <c r="N384" s="6">
        <f t="shared" si="77"/>
        <v>26824</v>
      </c>
      <c r="O384" s="6">
        <f t="shared" si="79"/>
        <v>168001</v>
      </c>
      <c r="P384" s="6">
        <v>168001</v>
      </c>
      <c r="Q384" s="6">
        <v>0</v>
      </c>
      <c r="R384" s="6">
        <f t="shared" si="80"/>
        <v>0</v>
      </c>
      <c r="T384"/>
      <c r="U384"/>
      <c r="V384"/>
    </row>
    <row r="385" spans="2:22" s="7" customFormat="1" x14ac:dyDescent="0.3">
      <c r="B385" s="5" t="s">
        <v>16</v>
      </c>
      <c r="C385" s="5" t="s">
        <v>905</v>
      </c>
      <c r="D385" s="5" t="s">
        <v>156</v>
      </c>
      <c r="E385" s="5" t="s">
        <v>904</v>
      </c>
      <c r="F385" s="5" t="s">
        <v>318</v>
      </c>
      <c r="G385" s="5" t="s">
        <v>319</v>
      </c>
      <c r="H385" s="6">
        <f t="shared" si="81"/>
        <v>1</v>
      </c>
      <c r="I385" s="6">
        <f t="shared" si="78"/>
        <v>3252100</v>
      </c>
      <c r="J385" s="6">
        <v>617899</v>
      </c>
      <c r="K385" s="6">
        <v>0</v>
      </c>
      <c r="L385" s="6">
        <v>0</v>
      </c>
      <c r="M385" s="6">
        <f t="shared" si="76"/>
        <v>3252101</v>
      </c>
      <c r="N385" s="6">
        <f t="shared" si="77"/>
        <v>617899</v>
      </c>
      <c r="O385" s="6">
        <f t="shared" si="79"/>
        <v>3870000</v>
      </c>
      <c r="P385" s="6">
        <v>3870000</v>
      </c>
      <c r="Q385" s="6">
        <f>+M385</f>
        <v>3252101</v>
      </c>
      <c r="R385" s="6">
        <f t="shared" si="80"/>
        <v>81302.524999999994</v>
      </c>
      <c r="S385" s="5"/>
      <c r="T385"/>
      <c r="U385" s="5"/>
      <c r="V385" s="5"/>
    </row>
    <row r="386" spans="2:22" s="7" customFormat="1" x14ac:dyDescent="0.3">
      <c r="B386" s="5" t="s">
        <v>16</v>
      </c>
      <c r="C386" s="5" t="s">
        <v>906</v>
      </c>
      <c r="D386" s="5" t="s">
        <v>156</v>
      </c>
      <c r="E386" s="5" t="s">
        <v>885</v>
      </c>
      <c r="F386" s="5" t="s">
        <v>318</v>
      </c>
      <c r="G386" s="5" t="s">
        <v>319</v>
      </c>
      <c r="H386" s="6">
        <f>+P386-I386-J386-K386-L386</f>
        <v>2.4210526314564049</v>
      </c>
      <c r="I386" s="6">
        <f t="shared" si="78"/>
        <v>4071931.5789473685</v>
      </c>
      <c r="J386" s="6">
        <v>773667</v>
      </c>
      <c r="K386" s="6">
        <v>0</v>
      </c>
      <c r="L386" s="6">
        <v>0</v>
      </c>
      <c r="M386" s="6">
        <f t="shared" ref="M386:M391" si="82">+H386+I386+K386</f>
        <v>4071934</v>
      </c>
      <c r="N386" s="6">
        <f t="shared" si="77"/>
        <v>773667</v>
      </c>
      <c r="O386" s="6">
        <f t="shared" si="79"/>
        <v>4845601</v>
      </c>
      <c r="P386" s="6">
        <v>4845601</v>
      </c>
      <c r="Q386" s="6">
        <f>+M386</f>
        <v>4071934</v>
      </c>
      <c r="R386" s="6">
        <f t="shared" si="80"/>
        <v>101798.35</v>
      </c>
      <c r="S386" s="5"/>
      <c r="T386"/>
      <c r="U386" s="5"/>
      <c r="V386" s="5"/>
    </row>
    <row r="387" spans="2:22" s="7" customFormat="1" x14ac:dyDescent="0.3">
      <c r="B387" s="5" t="s">
        <v>16</v>
      </c>
      <c r="C387" s="5" t="s">
        <v>907</v>
      </c>
      <c r="D387" s="5" t="s">
        <v>156</v>
      </c>
      <c r="E387" s="5" t="s">
        <v>337</v>
      </c>
      <c r="F387" s="5" t="s">
        <v>318</v>
      </c>
      <c r="G387" s="5" t="s">
        <v>319</v>
      </c>
      <c r="H387" s="6">
        <f>+P387-I387-J387-K387-L387</f>
        <v>2.1578947370871902</v>
      </c>
      <c r="I387" s="6">
        <f t="shared" si="78"/>
        <v>5236636.8421052629</v>
      </c>
      <c r="J387" s="6">
        <v>994961</v>
      </c>
      <c r="K387" s="6">
        <v>0</v>
      </c>
      <c r="L387" s="6">
        <v>0</v>
      </c>
      <c r="M387" s="6">
        <f t="shared" si="82"/>
        <v>5236639</v>
      </c>
      <c r="N387" s="6">
        <f t="shared" si="77"/>
        <v>994961</v>
      </c>
      <c r="O387" s="6">
        <f t="shared" si="79"/>
        <v>6231600</v>
      </c>
      <c r="P387" s="6">
        <v>6231600</v>
      </c>
      <c r="Q387" s="6">
        <f>+M387</f>
        <v>5236639</v>
      </c>
      <c r="R387" s="6">
        <f t="shared" si="80"/>
        <v>130915.97500000001</v>
      </c>
      <c r="S387" s="5"/>
      <c r="T387"/>
      <c r="U387"/>
      <c r="V387"/>
    </row>
    <row r="388" spans="2:22" s="7" customFormat="1" x14ac:dyDescent="0.3">
      <c r="B388" s="5" t="s">
        <v>16</v>
      </c>
      <c r="C388" s="5" t="s">
        <v>908</v>
      </c>
      <c r="D388" s="5" t="s">
        <v>156</v>
      </c>
      <c r="E388" s="5" t="s">
        <v>909</v>
      </c>
      <c r="F388" s="5" t="s">
        <v>318</v>
      </c>
      <c r="G388" s="5" t="s">
        <v>319</v>
      </c>
      <c r="H388" s="6">
        <v>0</v>
      </c>
      <c r="I388" s="6">
        <f t="shared" si="78"/>
        <v>267226.31578947365</v>
      </c>
      <c r="J388" s="6">
        <v>50773</v>
      </c>
      <c r="K388" s="6">
        <v>0</v>
      </c>
      <c r="L388" s="6">
        <v>0</v>
      </c>
      <c r="M388" s="6">
        <f t="shared" si="82"/>
        <v>267226.31578947365</v>
      </c>
      <c r="N388" s="6">
        <f t="shared" si="77"/>
        <v>50773</v>
      </c>
      <c r="O388" s="6">
        <f t="shared" si="79"/>
        <v>317999.31578947365</v>
      </c>
      <c r="P388" s="6">
        <v>318000</v>
      </c>
      <c r="Q388" s="6">
        <v>0</v>
      </c>
      <c r="R388" s="6">
        <f t="shared" si="80"/>
        <v>0</v>
      </c>
      <c r="S388" s="5"/>
      <c r="T388"/>
      <c r="U388" s="5"/>
      <c r="V388" s="5"/>
    </row>
    <row r="389" spans="2:22" s="7" customFormat="1" x14ac:dyDescent="0.3">
      <c r="B389" s="5" t="s">
        <v>16</v>
      </c>
      <c r="C389" s="5" t="s">
        <v>910</v>
      </c>
      <c r="D389" s="5" t="s">
        <v>156</v>
      </c>
      <c r="E389" s="5" t="s">
        <v>911</v>
      </c>
      <c r="F389" s="5" t="s">
        <v>318</v>
      </c>
      <c r="G389" s="5" t="s">
        <v>319</v>
      </c>
      <c r="H389" s="6">
        <f>+P389-I389-J389</f>
        <v>2.3684210535138845</v>
      </c>
      <c r="I389" s="6">
        <f t="shared" si="78"/>
        <v>13506552.631578946</v>
      </c>
      <c r="J389" s="6">
        <v>2566245</v>
      </c>
      <c r="K389" s="6">
        <v>0</v>
      </c>
      <c r="L389" s="6">
        <v>0</v>
      </c>
      <c r="M389" s="6">
        <f t="shared" si="82"/>
        <v>13506555</v>
      </c>
      <c r="N389" s="6">
        <f t="shared" si="77"/>
        <v>2566245</v>
      </c>
      <c r="O389" s="6">
        <f t="shared" si="79"/>
        <v>16072800</v>
      </c>
      <c r="P389" s="6">
        <v>16072800</v>
      </c>
      <c r="Q389" s="6">
        <f>+M389</f>
        <v>13506555</v>
      </c>
      <c r="R389" s="6">
        <f t="shared" si="80"/>
        <v>337663.875</v>
      </c>
      <c r="S389" s="5"/>
      <c r="T389"/>
      <c r="U389" s="5"/>
      <c r="V389" s="5"/>
    </row>
    <row r="390" spans="2:22" s="7" customFormat="1" x14ac:dyDescent="0.3">
      <c r="B390" s="5" t="s">
        <v>16</v>
      </c>
      <c r="C390" s="5" t="s">
        <v>912</v>
      </c>
      <c r="D390" s="5" t="s">
        <v>913</v>
      </c>
      <c r="E390" s="5" t="s">
        <v>914</v>
      </c>
      <c r="F390" s="5" t="s">
        <v>313</v>
      </c>
      <c r="G390" s="5" t="s">
        <v>314</v>
      </c>
      <c r="H390" s="6">
        <v>0</v>
      </c>
      <c r="I390" s="6">
        <f t="shared" si="78"/>
        <v>432000</v>
      </c>
      <c r="J390" s="6">
        <v>82080</v>
      </c>
      <c r="K390" s="6">
        <v>0</v>
      </c>
      <c r="L390" s="6">
        <v>0</v>
      </c>
      <c r="M390" s="6">
        <f t="shared" si="82"/>
        <v>432000</v>
      </c>
      <c r="N390" s="6">
        <f t="shared" si="77"/>
        <v>82080</v>
      </c>
      <c r="O390" s="6">
        <f t="shared" si="79"/>
        <v>514080</v>
      </c>
      <c r="P390" s="6">
        <v>514080</v>
      </c>
      <c r="Q390" s="6">
        <v>0</v>
      </c>
      <c r="R390" s="6">
        <f t="shared" si="80"/>
        <v>0</v>
      </c>
      <c r="S390" s="5"/>
      <c r="T390"/>
      <c r="U390"/>
      <c r="V390"/>
    </row>
    <row r="391" spans="2:22" x14ac:dyDescent="0.3">
      <c r="B391" s="5" t="s">
        <v>16</v>
      </c>
      <c r="C391" s="5" t="s">
        <v>915</v>
      </c>
      <c r="D391" s="5" t="s">
        <v>913</v>
      </c>
      <c r="E391" s="5" t="s">
        <v>549</v>
      </c>
      <c r="F391" s="5" t="s">
        <v>313</v>
      </c>
      <c r="G391" s="5" t="s">
        <v>314</v>
      </c>
      <c r="H391" s="6">
        <v>64848</v>
      </c>
      <c r="I391" s="6">
        <f t="shared" si="78"/>
        <v>1370184</v>
      </c>
      <c r="J391" s="6">
        <v>260334.96</v>
      </c>
      <c r="K391" s="6">
        <v>0</v>
      </c>
      <c r="L391" s="6">
        <v>0</v>
      </c>
      <c r="M391" s="6">
        <f t="shared" si="82"/>
        <v>1435032</v>
      </c>
      <c r="N391" s="6">
        <f t="shared" si="77"/>
        <v>260334.96</v>
      </c>
      <c r="O391" s="6">
        <f t="shared" si="79"/>
        <v>1695366.96</v>
      </c>
      <c r="P391" s="6">
        <v>1695366.96</v>
      </c>
      <c r="Q391" s="6">
        <f t="shared" ref="Q391:Q398" si="83">+M391</f>
        <v>1435032</v>
      </c>
      <c r="R391" s="6">
        <f t="shared" si="80"/>
        <v>35875.800000000003</v>
      </c>
      <c r="S391" s="5"/>
      <c r="U391" s="5"/>
      <c r="V391" s="5"/>
    </row>
    <row r="392" spans="2:22" s="7" customFormat="1" x14ac:dyDescent="0.3">
      <c r="B392" s="5" t="s">
        <v>16</v>
      </c>
      <c r="C392" s="5" t="s">
        <v>916</v>
      </c>
      <c r="D392" s="5" t="s">
        <v>917</v>
      </c>
      <c r="E392" s="5" t="s">
        <v>918</v>
      </c>
      <c r="F392" s="5" t="s">
        <v>295</v>
      </c>
      <c r="G392" s="5" t="s">
        <v>296</v>
      </c>
      <c r="H392" s="6">
        <v>-0.39000000013038516</v>
      </c>
      <c r="I392" s="6">
        <f t="shared" si="78"/>
        <v>13533881</v>
      </c>
      <c r="J392" s="6">
        <v>2571437.39</v>
      </c>
      <c r="K392" s="6"/>
      <c r="L392" s="6"/>
      <c r="M392" s="6">
        <f>+H392+I392</f>
        <v>13533880.609999999</v>
      </c>
      <c r="N392" s="6">
        <f>+J392</f>
        <v>2571437.39</v>
      </c>
      <c r="O392" s="6">
        <f t="shared" si="79"/>
        <v>16105318</v>
      </c>
      <c r="P392" s="6">
        <v>16105318</v>
      </c>
      <c r="Q392" s="6">
        <f t="shared" si="83"/>
        <v>13533880.609999999</v>
      </c>
      <c r="R392" s="6">
        <f t="shared" si="80"/>
        <v>338347.01525</v>
      </c>
      <c r="S392"/>
      <c r="T392"/>
      <c r="U392" s="5"/>
      <c r="V392" s="5"/>
    </row>
    <row r="393" spans="2:22" s="7" customFormat="1" x14ac:dyDescent="0.3">
      <c r="B393" s="5" t="s">
        <v>16</v>
      </c>
      <c r="C393" s="5" t="s">
        <v>919</v>
      </c>
      <c r="D393" s="5" t="s">
        <v>917</v>
      </c>
      <c r="E393" s="5" t="s">
        <v>920</v>
      </c>
      <c r="F393" s="5" t="s">
        <v>295</v>
      </c>
      <c r="G393" s="5" t="s">
        <v>296</v>
      </c>
      <c r="H393" s="6">
        <f>+P393-I393-J393</f>
        <v>0.15999999997438863</v>
      </c>
      <c r="I393" s="6">
        <f t="shared" si="78"/>
        <v>2426336</v>
      </c>
      <c r="J393" s="6">
        <v>461003.84</v>
      </c>
      <c r="K393" s="6">
        <v>0</v>
      </c>
      <c r="L393" s="6">
        <v>0</v>
      </c>
      <c r="M393" s="6">
        <f t="shared" ref="M393:M399" si="84">+H393+I393+K393</f>
        <v>2426336.16</v>
      </c>
      <c r="N393" s="6">
        <f t="shared" ref="N393:N399" si="85">+J393+L393</f>
        <v>461003.84</v>
      </c>
      <c r="O393" s="6">
        <f t="shared" si="79"/>
        <v>2887340</v>
      </c>
      <c r="P393" s="6">
        <v>2887340</v>
      </c>
      <c r="Q393" s="6">
        <f t="shared" si="83"/>
        <v>2426336.16</v>
      </c>
      <c r="R393" s="6">
        <f t="shared" si="80"/>
        <v>60658.404000000002</v>
      </c>
      <c r="S393"/>
      <c r="T393"/>
      <c r="U393" s="5"/>
      <c r="V393" s="5"/>
    </row>
    <row r="394" spans="2:22" s="7" customFormat="1" x14ac:dyDescent="0.3">
      <c r="B394" s="5" t="s">
        <v>16</v>
      </c>
      <c r="C394" s="5" t="s">
        <v>921</v>
      </c>
      <c r="D394" s="5" t="s">
        <v>917</v>
      </c>
      <c r="E394" s="5" t="s">
        <v>922</v>
      </c>
      <c r="F394" s="5" t="s">
        <v>295</v>
      </c>
      <c r="G394" s="5" t="s">
        <v>296</v>
      </c>
      <c r="H394" s="6">
        <f>+P394-I394-J394</f>
        <v>-0.15000000002328306</v>
      </c>
      <c r="I394" s="6">
        <f t="shared" si="78"/>
        <v>3596185</v>
      </c>
      <c r="J394" s="6">
        <v>683275.15</v>
      </c>
      <c r="K394" s="6">
        <v>0</v>
      </c>
      <c r="L394" s="6">
        <v>0</v>
      </c>
      <c r="M394" s="6">
        <f t="shared" si="84"/>
        <v>3596184.85</v>
      </c>
      <c r="N394" s="6">
        <f t="shared" si="85"/>
        <v>683275.15</v>
      </c>
      <c r="O394" s="6">
        <f t="shared" si="79"/>
        <v>4279460</v>
      </c>
      <c r="P394" s="6">
        <v>4279460</v>
      </c>
      <c r="Q394" s="6">
        <f t="shared" si="83"/>
        <v>3596184.85</v>
      </c>
      <c r="R394" s="6">
        <f t="shared" si="80"/>
        <v>89904.621249999997</v>
      </c>
      <c r="S394" s="5"/>
      <c r="T394"/>
      <c r="U394" s="5"/>
      <c r="V394" s="5"/>
    </row>
    <row r="395" spans="2:22" x14ac:dyDescent="0.3">
      <c r="B395" s="5" t="s">
        <v>16</v>
      </c>
      <c r="C395" s="5" t="s">
        <v>923</v>
      </c>
      <c r="D395" s="5" t="s">
        <v>924</v>
      </c>
      <c r="E395" s="5" t="s">
        <v>389</v>
      </c>
      <c r="F395" s="5" t="s">
        <v>309</v>
      </c>
      <c r="G395" s="5" t="s">
        <v>310</v>
      </c>
      <c r="H395" s="6">
        <f>+P395-I395-J395</f>
        <v>-0.16315789450891316</v>
      </c>
      <c r="I395" s="6">
        <f t="shared" si="78"/>
        <v>6582941.2631578948</v>
      </c>
      <c r="J395" s="6">
        <v>1250758.8400000001</v>
      </c>
      <c r="K395" s="6">
        <v>0</v>
      </c>
      <c r="L395" s="6">
        <v>0</v>
      </c>
      <c r="M395" s="6">
        <f t="shared" si="84"/>
        <v>6582941.1000000006</v>
      </c>
      <c r="N395" s="6">
        <f t="shared" si="85"/>
        <v>1250758.8400000001</v>
      </c>
      <c r="O395" s="6">
        <f t="shared" si="79"/>
        <v>7833699.9400000004</v>
      </c>
      <c r="P395" s="6">
        <v>7833699.9400000004</v>
      </c>
      <c r="Q395" s="6">
        <f t="shared" si="83"/>
        <v>6582941.1000000006</v>
      </c>
      <c r="R395" s="6">
        <f t="shared" si="80"/>
        <v>164573.52750000003</v>
      </c>
      <c r="S395" s="5"/>
      <c r="U395" s="5"/>
      <c r="V395" s="5"/>
    </row>
    <row r="396" spans="2:22" x14ac:dyDescent="0.3">
      <c r="B396" s="5" t="s">
        <v>16</v>
      </c>
      <c r="C396" s="5" t="s">
        <v>925</v>
      </c>
      <c r="D396" s="5" t="s">
        <v>924</v>
      </c>
      <c r="E396" s="5" t="s">
        <v>24</v>
      </c>
      <c r="F396" s="5" t="s">
        <v>309</v>
      </c>
      <c r="G396" s="5" t="s">
        <v>310</v>
      </c>
      <c r="H396" s="6">
        <f>+P396-I396-J396</f>
        <v>0.16052631428465247</v>
      </c>
      <c r="I396" s="6">
        <f t="shared" si="78"/>
        <v>12079637.789473686</v>
      </c>
      <c r="J396" s="6">
        <v>2295131.1800000002</v>
      </c>
      <c r="K396" s="6">
        <v>0</v>
      </c>
      <c r="L396" s="6">
        <v>0</v>
      </c>
      <c r="M396" s="6">
        <f t="shared" si="84"/>
        <v>12079637.950000001</v>
      </c>
      <c r="N396" s="6">
        <f t="shared" si="85"/>
        <v>2295131.1800000002</v>
      </c>
      <c r="O396" s="6">
        <f t="shared" si="79"/>
        <v>14374769.130000001</v>
      </c>
      <c r="P396" s="6">
        <v>14374769.130000001</v>
      </c>
      <c r="Q396" s="6">
        <f t="shared" si="83"/>
        <v>12079637.950000001</v>
      </c>
      <c r="R396" s="6">
        <f t="shared" si="80"/>
        <v>301990.94875000004</v>
      </c>
      <c r="S396" s="5"/>
      <c r="U396" s="5"/>
      <c r="V396" s="5"/>
    </row>
    <row r="397" spans="2:22" x14ac:dyDescent="0.3">
      <c r="B397" s="5" t="s">
        <v>16</v>
      </c>
      <c r="C397" s="5" t="s">
        <v>926</v>
      </c>
      <c r="D397" s="5" t="s">
        <v>924</v>
      </c>
      <c r="E397" s="5" t="s">
        <v>543</v>
      </c>
      <c r="F397" s="5" t="s">
        <v>309</v>
      </c>
      <c r="G397" s="5" t="s">
        <v>310</v>
      </c>
      <c r="H397" s="6">
        <f>+P397-I397-J397</f>
        <v>5.2631578873842955E-2</v>
      </c>
      <c r="I397" s="6">
        <f t="shared" si="78"/>
        <v>745209.94736842113</v>
      </c>
      <c r="J397" s="6">
        <v>141589.89000000001</v>
      </c>
      <c r="K397" s="6">
        <v>0</v>
      </c>
      <c r="L397" s="6">
        <v>0</v>
      </c>
      <c r="M397" s="6">
        <f t="shared" si="84"/>
        <v>745210</v>
      </c>
      <c r="N397" s="6">
        <f t="shared" si="85"/>
        <v>141589.89000000001</v>
      </c>
      <c r="O397" s="6">
        <f t="shared" si="79"/>
        <v>886799.89</v>
      </c>
      <c r="P397" s="6">
        <v>886799.89</v>
      </c>
      <c r="Q397" s="6">
        <f t="shared" si="83"/>
        <v>745210</v>
      </c>
      <c r="R397" s="6">
        <f t="shared" si="80"/>
        <v>18630.25</v>
      </c>
      <c r="S397" s="5"/>
      <c r="U397" s="5"/>
      <c r="V397" s="5"/>
    </row>
    <row r="398" spans="2:22" x14ac:dyDescent="0.3">
      <c r="B398" s="5" t="s">
        <v>16</v>
      </c>
      <c r="C398" s="5" t="s">
        <v>927</v>
      </c>
      <c r="D398" s="5" t="s">
        <v>35</v>
      </c>
      <c r="E398" s="5" t="s">
        <v>928</v>
      </c>
      <c r="F398" s="5" t="s">
        <v>488</v>
      </c>
      <c r="G398" s="5" t="s">
        <v>489</v>
      </c>
      <c r="H398" s="6">
        <v>0</v>
      </c>
      <c r="I398" s="6">
        <f t="shared" si="78"/>
        <v>2270599.7368421052</v>
      </c>
      <c r="J398" s="6">
        <v>431413.95</v>
      </c>
      <c r="K398" s="6">
        <v>0</v>
      </c>
      <c r="L398" s="6">
        <v>0</v>
      </c>
      <c r="M398" s="6">
        <f t="shared" si="84"/>
        <v>2270599.7368421052</v>
      </c>
      <c r="N398" s="6">
        <f t="shared" si="85"/>
        <v>431413.95</v>
      </c>
      <c r="O398" s="6">
        <f t="shared" si="79"/>
        <v>2702013.6868421054</v>
      </c>
      <c r="P398" s="6">
        <v>2702013.68</v>
      </c>
      <c r="Q398" s="6">
        <f t="shared" si="83"/>
        <v>2270599.7368421052</v>
      </c>
      <c r="R398" s="6">
        <f t="shared" si="80"/>
        <v>56764.993421052626</v>
      </c>
      <c r="S398" s="5"/>
    </row>
    <row r="399" spans="2:22" x14ac:dyDescent="0.3">
      <c r="B399" s="5" t="s">
        <v>16</v>
      </c>
      <c r="C399" s="5" t="s">
        <v>929</v>
      </c>
      <c r="D399" s="5" t="s">
        <v>35</v>
      </c>
      <c r="E399" s="5" t="s">
        <v>735</v>
      </c>
      <c r="F399" s="5" t="s">
        <v>488</v>
      </c>
      <c r="G399" s="5" t="s">
        <v>489</v>
      </c>
      <c r="H399" s="6">
        <f>+P399-I399-J399-K399-L399</f>
        <v>2.1052631534985267E-2</v>
      </c>
      <c r="I399" s="6">
        <f t="shared" si="78"/>
        <v>435825.57894736849</v>
      </c>
      <c r="J399" s="6">
        <v>82806.86</v>
      </c>
      <c r="K399" s="6">
        <v>0</v>
      </c>
      <c r="L399" s="6">
        <v>0</v>
      </c>
      <c r="M399" s="6">
        <f t="shared" si="84"/>
        <v>435825.60000000003</v>
      </c>
      <c r="N399" s="6">
        <f t="shared" si="85"/>
        <v>82806.86</v>
      </c>
      <c r="O399" s="6">
        <f t="shared" si="79"/>
        <v>518632.46</v>
      </c>
      <c r="P399" s="6">
        <v>518632.46</v>
      </c>
      <c r="Q399" s="6">
        <v>0</v>
      </c>
      <c r="R399" s="6">
        <f t="shared" si="80"/>
        <v>0</v>
      </c>
    </row>
    <row r="400" spans="2:22" x14ac:dyDescent="0.3">
      <c r="B400" s="5" t="s">
        <v>16</v>
      </c>
      <c r="C400" s="5" t="s">
        <v>930</v>
      </c>
      <c r="D400" s="5" t="s">
        <v>931</v>
      </c>
      <c r="E400" s="5" t="s">
        <v>932</v>
      </c>
      <c r="F400" s="5" t="s">
        <v>933</v>
      </c>
      <c r="G400" s="5" t="s">
        <v>934</v>
      </c>
      <c r="H400" s="6">
        <v>7.000000003608875E-2</v>
      </c>
      <c r="I400" s="6">
        <f t="shared" si="78"/>
        <v>852690</v>
      </c>
      <c r="J400" s="6">
        <v>162011.1</v>
      </c>
      <c r="K400" s="6"/>
      <c r="L400" s="6"/>
      <c r="M400" s="6">
        <f>+H400+I400</f>
        <v>852690.07000000007</v>
      </c>
      <c r="N400" s="6">
        <f>+J400</f>
        <v>162011.1</v>
      </c>
      <c r="O400" s="6">
        <f t="shared" si="79"/>
        <v>1014701.17</v>
      </c>
      <c r="P400" s="6">
        <v>1014701.17</v>
      </c>
      <c r="Q400" s="6"/>
      <c r="R400" s="6">
        <f t="shared" si="80"/>
        <v>0</v>
      </c>
      <c r="S400" s="5"/>
      <c r="U400" s="5"/>
      <c r="V400" s="5"/>
    </row>
    <row r="401" spans="2:22" x14ac:dyDescent="0.3">
      <c r="B401" s="5" t="s">
        <v>16</v>
      </c>
      <c r="C401" s="5" t="s">
        <v>935</v>
      </c>
      <c r="D401" s="5" t="s">
        <v>931</v>
      </c>
      <c r="E401" s="5" t="s">
        <v>936</v>
      </c>
      <c r="F401" s="5" t="s">
        <v>933</v>
      </c>
      <c r="G401" s="5" t="s">
        <v>934</v>
      </c>
      <c r="H401" s="6">
        <v>7.000000003608875E-2</v>
      </c>
      <c r="I401" s="6">
        <f t="shared" si="78"/>
        <v>852690</v>
      </c>
      <c r="J401" s="6">
        <v>162011.1</v>
      </c>
      <c r="K401" s="6"/>
      <c r="L401" s="6"/>
      <c r="M401" s="6">
        <f>+H401+I401</f>
        <v>852690.07000000007</v>
      </c>
      <c r="N401" s="6">
        <f>+J401</f>
        <v>162011.1</v>
      </c>
      <c r="O401" s="6">
        <f t="shared" si="79"/>
        <v>1014701.17</v>
      </c>
      <c r="P401" s="6">
        <v>1014701.17</v>
      </c>
      <c r="Q401" s="6"/>
      <c r="R401" s="6">
        <f t="shared" si="80"/>
        <v>0</v>
      </c>
      <c r="S401" s="5"/>
      <c r="U401" s="5"/>
      <c r="V401" s="5"/>
    </row>
    <row r="402" spans="2:22" x14ac:dyDescent="0.3">
      <c r="B402" s="5" t="s">
        <v>16</v>
      </c>
      <c r="C402" s="5" t="s">
        <v>937</v>
      </c>
      <c r="D402" s="5" t="s">
        <v>931</v>
      </c>
      <c r="E402" s="5" t="s">
        <v>938</v>
      </c>
      <c r="F402" s="5" t="s">
        <v>933</v>
      </c>
      <c r="G402" s="5" t="s">
        <v>934</v>
      </c>
      <c r="H402" s="6">
        <v>5.4210526461247355E-2</v>
      </c>
      <c r="I402" s="6">
        <f t="shared" si="78"/>
        <v>2377650.3157894737</v>
      </c>
      <c r="J402" s="6">
        <v>451753.56</v>
      </c>
      <c r="K402" s="6"/>
      <c r="L402" s="6"/>
      <c r="M402" s="6">
        <f>+H402+I402</f>
        <v>2377650.37</v>
      </c>
      <c r="N402" s="6">
        <f>+J402</f>
        <v>451753.56</v>
      </c>
      <c r="O402" s="6">
        <f t="shared" si="79"/>
        <v>2829403.93</v>
      </c>
      <c r="P402" s="6">
        <v>2829403.93</v>
      </c>
      <c r="Q402" s="6"/>
      <c r="R402" s="6">
        <f t="shared" si="80"/>
        <v>0</v>
      </c>
      <c r="S402" s="5"/>
      <c r="U402" s="5"/>
      <c r="V402" s="5"/>
    </row>
    <row r="403" spans="2:22" x14ac:dyDescent="0.3">
      <c r="B403" s="5" t="s">
        <v>16</v>
      </c>
      <c r="C403" s="5" t="s">
        <v>939</v>
      </c>
      <c r="D403" s="5" t="s">
        <v>931</v>
      </c>
      <c r="E403" s="5" t="s">
        <v>551</v>
      </c>
      <c r="F403" s="5" t="s">
        <v>933</v>
      </c>
      <c r="G403" s="5" t="s">
        <v>934</v>
      </c>
      <c r="H403" s="6">
        <v>1.7894736665766686E-2</v>
      </c>
      <c r="I403" s="6">
        <f t="shared" si="78"/>
        <v>1653716.8421052634</v>
      </c>
      <c r="J403" s="6">
        <v>314206.2</v>
      </c>
      <c r="K403" s="6"/>
      <c r="L403" s="6"/>
      <c r="M403" s="6">
        <f>+H403+I403</f>
        <v>1653716.86</v>
      </c>
      <c r="N403" s="6">
        <f>+J403</f>
        <v>314206.2</v>
      </c>
      <c r="O403" s="6">
        <f t="shared" si="79"/>
        <v>1967923.06</v>
      </c>
      <c r="P403" s="6">
        <v>1967923.06</v>
      </c>
      <c r="Q403" s="6"/>
      <c r="R403" s="6">
        <f t="shared" si="80"/>
        <v>0</v>
      </c>
      <c r="S403" s="5"/>
    </row>
    <row r="404" spans="2:22" x14ac:dyDescent="0.3">
      <c r="B404" s="7" t="s">
        <v>16</v>
      </c>
      <c r="C404" s="7" t="s">
        <v>940</v>
      </c>
      <c r="D404" s="7" t="s">
        <v>931</v>
      </c>
      <c r="E404" s="7" t="s">
        <v>941</v>
      </c>
      <c r="F404" s="7" t="s">
        <v>933</v>
      </c>
      <c r="G404" s="7" t="s">
        <v>934</v>
      </c>
      <c r="H404" s="8">
        <f t="shared" ref="H404:H411" si="86">+P404-I404-J404</f>
        <v>-2.2105263255070895E-2</v>
      </c>
      <c r="I404" s="8">
        <f t="shared" si="78"/>
        <v>1405772.8421052631</v>
      </c>
      <c r="J404" s="8">
        <v>267096.84000000003</v>
      </c>
      <c r="K404" s="8">
        <v>0</v>
      </c>
      <c r="L404" s="8">
        <v>0</v>
      </c>
      <c r="M404" s="8">
        <f>+I404+H404</f>
        <v>1405772.8199999998</v>
      </c>
      <c r="N404" s="8">
        <f>+J404+L404</f>
        <v>267096.84000000003</v>
      </c>
      <c r="O404" s="8">
        <f t="shared" si="79"/>
        <v>1672869.66</v>
      </c>
      <c r="P404" s="8">
        <v>1672869.66</v>
      </c>
      <c r="Q404" s="8">
        <v>0</v>
      </c>
      <c r="R404" s="8">
        <f t="shared" si="80"/>
        <v>0</v>
      </c>
      <c r="S404" s="5"/>
      <c r="V404" s="5"/>
    </row>
    <row r="405" spans="2:22" x14ac:dyDescent="0.3">
      <c r="B405" s="5" t="s">
        <v>16</v>
      </c>
      <c r="C405" s="5" t="s">
        <v>942</v>
      </c>
      <c r="D405" s="5" t="s">
        <v>931</v>
      </c>
      <c r="E405" s="5" t="s">
        <v>675</v>
      </c>
      <c r="F405" s="5" t="s">
        <v>933</v>
      </c>
      <c r="G405" s="5" t="s">
        <v>934</v>
      </c>
      <c r="H405" s="6">
        <f t="shared" si="86"/>
        <v>-1.6315789544023573E-2</v>
      </c>
      <c r="I405" s="6">
        <f t="shared" si="78"/>
        <v>2288129.5263157897</v>
      </c>
      <c r="J405" s="6">
        <v>434744.61</v>
      </c>
      <c r="K405" s="6">
        <v>0</v>
      </c>
      <c r="L405" s="6">
        <v>0</v>
      </c>
      <c r="M405" s="6">
        <f t="shared" ref="M405:M421" si="87">+H405+I405+K405</f>
        <v>2288129.5100000002</v>
      </c>
      <c r="N405" s="6">
        <f>+J405+L405</f>
        <v>434744.61</v>
      </c>
      <c r="O405" s="6">
        <f t="shared" si="79"/>
        <v>2722874.12</v>
      </c>
      <c r="P405" s="6">
        <v>2722874.12</v>
      </c>
      <c r="Q405" s="6">
        <v>0</v>
      </c>
      <c r="R405" s="6">
        <f t="shared" si="80"/>
        <v>0</v>
      </c>
      <c r="S405" s="5"/>
      <c r="U405" s="5"/>
      <c r="V405" s="5"/>
    </row>
    <row r="406" spans="2:22" x14ac:dyDescent="0.3">
      <c r="B406" s="5" t="s">
        <v>16</v>
      </c>
      <c r="C406" s="5" t="s">
        <v>943</v>
      </c>
      <c r="D406" s="5" t="s">
        <v>931</v>
      </c>
      <c r="E406" s="5" t="s">
        <v>944</v>
      </c>
      <c r="F406" s="5" t="s">
        <v>933</v>
      </c>
      <c r="G406" s="5" t="s">
        <v>934</v>
      </c>
      <c r="H406" s="6">
        <f t="shared" si="86"/>
        <v>0.35473684081807733</v>
      </c>
      <c r="I406" s="6">
        <f t="shared" si="78"/>
        <v>13252741.105263159</v>
      </c>
      <c r="J406" s="6">
        <v>2518020.81</v>
      </c>
      <c r="K406" s="6">
        <v>0</v>
      </c>
      <c r="L406" s="6">
        <v>0</v>
      </c>
      <c r="M406" s="6">
        <f t="shared" si="87"/>
        <v>13252741.459999999</v>
      </c>
      <c r="N406" s="6">
        <f>J406+L406</f>
        <v>2518020.81</v>
      </c>
      <c r="O406" s="6">
        <f t="shared" si="79"/>
        <v>15770762.27</v>
      </c>
      <c r="P406" s="6">
        <v>15770762.27</v>
      </c>
      <c r="Q406" s="6">
        <v>0</v>
      </c>
      <c r="R406" s="6">
        <f t="shared" si="80"/>
        <v>0</v>
      </c>
      <c r="S406" s="5"/>
      <c r="U406" s="5"/>
      <c r="V406" s="5"/>
    </row>
    <row r="407" spans="2:22" x14ac:dyDescent="0.3">
      <c r="B407" s="5" t="s">
        <v>16</v>
      </c>
      <c r="C407" s="5" t="s">
        <v>945</v>
      </c>
      <c r="D407" s="5" t="s">
        <v>931</v>
      </c>
      <c r="E407" s="5" t="s">
        <v>845</v>
      </c>
      <c r="F407" s="5" t="s">
        <v>933</v>
      </c>
      <c r="G407" s="5" t="s">
        <v>934</v>
      </c>
      <c r="H407" s="6">
        <f t="shared" si="86"/>
        <v>-8.842105302028358E-2</v>
      </c>
      <c r="I407" s="6">
        <f t="shared" si="78"/>
        <v>5623091.3684210526</v>
      </c>
      <c r="J407" s="6">
        <v>1068387.3600000001</v>
      </c>
      <c r="K407" s="6">
        <v>0</v>
      </c>
      <c r="L407" s="6">
        <v>0</v>
      </c>
      <c r="M407" s="6">
        <f t="shared" si="87"/>
        <v>5623091.2799999993</v>
      </c>
      <c r="N407" s="6">
        <f>J407+L407</f>
        <v>1068387.3600000001</v>
      </c>
      <c r="O407" s="6">
        <f t="shared" si="79"/>
        <v>6691478.6399999997</v>
      </c>
      <c r="P407" s="6">
        <v>6691478.6399999997</v>
      </c>
      <c r="Q407" s="6">
        <v>0</v>
      </c>
      <c r="R407" s="6">
        <f t="shared" si="80"/>
        <v>0</v>
      </c>
      <c r="S407" s="5"/>
      <c r="U407" s="5"/>
      <c r="V407" s="5"/>
    </row>
    <row r="408" spans="2:22" x14ac:dyDescent="0.3">
      <c r="B408" s="5" t="s">
        <v>16</v>
      </c>
      <c r="C408" s="5" t="s">
        <v>946</v>
      </c>
      <c r="D408" s="5" t="s">
        <v>931</v>
      </c>
      <c r="E408" s="5" t="s">
        <v>117</v>
      </c>
      <c r="F408" s="5" t="s">
        <v>933</v>
      </c>
      <c r="G408" s="5" t="s">
        <v>934</v>
      </c>
      <c r="H408" s="6">
        <f t="shared" si="86"/>
        <v>-6.3157894182950258E-3</v>
      </c>
      <c r="I408" s="6">
        <f t="shared" si="78"/>
        <v>1380977.5263157894</v>
      </c>
      <c r="J408" s="6">
        <v>262385.73</v>
      </c>
      <c r="K408" s="6">
        <v>0</v>
      </c>
      <c r="L408" s="6">
        <v>0</v>
      </c>
      <c r="M408" s="6">
        <f t="shared" si="87"/>
        <v>1380977.52</v>
      </c>
      <c r="N408" s="6">
        <f t="shared" ref="N408:N421" si="88">+J408+L408</f>
        <v>262385.73</v>
      </c>
      <c r="O408" s="6">
        <f t="shared" si="79"/>
        <v>1643363.25</v>
      </c>
      <c r="P408" s="6">
        <v>1643363.25</v>
      </c>
      <c r="Q408" s="6">
        <v>0</v>
      </c>
      <c r="R408" s="6">
        <f t="shared" si="80"/>
        <v>0</v>
      </c>
      <c r="S408" s="5"/>
      <c r="U408" s="5"/>
      <c r="V408" s="5"/>
    </row>
    <row r="409" spans="2:22" x14ac:dyDescent="0.3">
      <c r="B409" s="5" t="s">
        <v>16</v>
      </c>
      <c r="C409" s="5" t="s">
        <v>947</v>
      </c>
      <c r="D409" s="5" t="s">
        <v>931</v>
      </c>
      <c r="E409" s="5" t="s">
        <v>216</v>
      </c>
      <c r="F409" s="5" t="s">
        <v>933</v>
      </c>
      <c r="G409" s="5" t="s">
        <v>934</v>
      </c>
      <c r="H409" s="6">
        <f t="shared" si="86"/>
        <v>1.3684210716746747E-2</v>
      </c>
      <c r="I409" s="6">
        <f t="shared" si="78"/>
        <v>3528404.5263157897</v>
      </c>
      <c r="J409" s="6">
        <v>670396.86</v>
      </c>
      <c r="K409" s="6">
        <v>0</v>
      </c>
      <c r="L409" s="6">
        <v>0</v>
      </c>
      <c r="M409" s="6">
        <f t="shared" si="87"/>
        <v>3528404.5400000005</v>
      </c>
      <c r="N409" s="6">
        <f t="shared" si="88"/>
        <v>670396.86</v>
      </c>
      <c r="O409" s="6">
        <f t="shared" si="79"/>
        <v>4198801.4000000004</v>
      </c>
      <c r="P409" s="6">
        <v>4198801.4000000004</v>
      </c>
      <c r="Q409" s="6">
        <v>0</v>
      </c>
      <c r="R409" s="6">
        <f t="shared" si="80"/>
        <v>0</v>
      </c>
      <c r="S409" s="5"/>
      <c r="U409" s="5"/>
      <c r="V409" s="5"/>
    </row>
    <row r="410" spans="2:22" x14ac:dyDescent="0.3">
      <c r="B410" s="5" t="s">
        <v>16</v>
      </c>
      <c r="C410" s="5" t="s">
        <v>948</v>
      </c>
      <c r="D410" s="5" t="s">
        <v>931</v>
      </c>
      <c r="E410" s="5" t="s">
        <v>949</v>
      </c>
      <c r="F410" s="5" t="s">
        <v>933</v>
      </c>
      <c r="G410" s="5" t="s">
        <v>934</v>
      </c>
      <c r="H410" s="6">
        <f t="shared" si="86"/>
        <v>3.6842104978859425E-2</v>
      </c>
      <c r="I410" s="6">
        <f t="shared" si="78"/>
        <v>13513707.263157895</v>
      </c>
      <c r="J410" s="6">
        <v>2567604.38</v>
      </c>
      <c r="K410" s="6">
        <v>0</v>
      </c>
      <c r="L410" s="6">
        <v>0</v>
      </c>
      <c r="M410" s="6">
        <f t="shared" si="87"/>
        <v>13513707.300000001</v>
      </c>
      <c r="N410" s="6">
        <f t="shared" si="88"/>
        <v>2567604.38</v>
      </c>
      <c r="O410" s="6">
        <f t="shared" si="79"/>
        <v>16081311.68</v>
      </c>
      <c r="P410" s="6">
        <v>16081311.68</v>
      </c>
      <c r="Q410" s="6">
        <v>0</v>
      </c>
      <c r="R410" s="6">
        <f t="shared" si="80"/>
        <v>0</v>
      </c>
      <c r="S410" s="5"/>
      <c r="U410" s="5"/>
      <c r="V410" s="5"/>
    </row>
    <row r="411" spans="2:22" x14ac:dyDescent="0.3">
      <c r="B411" s="5" t="s">
        <v>16</v>
      </c>
      <c r="C411" s="5" t="s">
        <v>950</v>
      </c>
      <c r="D411" s="5" t="s">
        <v>931</v>
      </c>
      <c r="E411" s="5" t="s">
        <v>949</v>
      </c>
      <c r="F411" s="5" t="s">
        <v>933</v>
      </c>
      <c r="G411" s="5" t="s">
        <v>934</v>
      </c>
      <c r="H411" s="6">
        <f t="shared" si="86"/>
        <v>2.6842105260584503E-2</v>
      </c>
      <c r="I411" s="6">
        <f t="shared" si="78"/>
        <v>1460537.2631578948</v>
      </c>
      <c r="J411" s="6">
        <v>277502.08000000002</v>
      </c>
      <c r="K411" s="6">
        <v>0</v>
      </c>
      <c r="L411" s="6">
        <v>0</v>
      </c>
      <c r="M411" s="6">
        <f t="shared" si="87"/>
        <v>1460537.29</v>
      </c>
      <c r="N411" s="6">
        <f t="shared" si="88"/>
        <v>277502.08000000002</v>
      </c>
      <c r="O411" s="6">
        <f t="shared" si="79"/>
        <v>1738039.37</v>
      </c>
      <c r="P411" s="6">
        <v>1738039.37</v>
      </c>
      <c r="Q411" s="6">
        <v>0</v>
      </c>
      <c r="R411" s="6">
        <f t="shared" si="80"/>
        <v>0</v>
      </c>
      <c r="S411" s="5"/>
      <c r="U411" s="5"/>
      <c r="V411" s="5"/>
    </row>
    <row r="412" spans="2:22" x14ac:dyDescent="0.3">
      <c r="B412" s="5" t="s">
        <v>16</v>
      </c>
      <c r="C412" s="5" t="s">
        <v>951</v>
      </c>
      <c r="D412" s="5" t="s">
        <v>931</v>
      </c>
      <c r="E412" s="5" t="s">
        <v>337</v>
      </c>
      <c r="F412" s="5" t="s">
        <v>933</v>
      </c>
      <c r="G412" s="5" t="s">
        <v>934</v>
      </c>
      <c r="H412" s="6">
        <f>+P412-I412-J412-K412-L412</f>
        <v>1.9473683962132782E-2</v>
      </c>
      <c r="I412" s="6">
        <f t="shared" si="78"/>
        <v>2302868.210526316</v>
      </c>
      <c r="J412" s="6">
        <v>437544.96000000002</v>
      </c>
      <c r="K412" s="6">
        <v>0</v>
      </c>
      <c r="L412" s="6">
        <v>0</v>
      </c>
      <c r="M412" s="6">
        <f t="shared" si="87"/>
        <v>2302868.23</v>
      </c>
      <c r="N412" s="6">
        <f t="shared" si="88"/>
        <v>437544.96000000002</v>
      </c>
      <c r="O412" s="6">
        <f t="shared" si="79"/>
        <v>2740413.19</v>
      </c>
      <c r="P412" s="6">
        <v>2740413.19</v>
      </c>
      <c r="Q412" s="6">
        <v>0</v>
      </c>
      <c r="R412" s="6">
        <f t="shared" si="80"/>
        <v>0</v>
      </c>
      <c r="S412" s="5"/>
      <c r="U412" s="5"/>
      <c r="V412" s="5"/>
    </row>
    <row r="413" spans="2:22" x14ac:dyDescent="0.3">
      <c r="B413" s="5" t="s">
        <v>16</v>
      </c>
      <c r="C413" s="5" t="s">
        <v>952</v>
      </c>
      <c r="D413" s="5" t="s">
        <v>953</v>
      </c>
      <c r="E413" s="5" t="s">
        <v>549</v>
      </c>
      <c r="F413" s="5" t="s">
        <v>954</v>
      </c>
      <c r="G413" s="5" t="s">
        <v>955</v>
      </c>
      <c r="H413" s="6">
        <v>185748</v>
      </c>
      <c r="I413" s="6">
        <f t="shared" si="78"/>
        <v>103754</v>
      </c>
      <c r="J413" s="6">
        <v>19713.259999999998</v>
      </c>
      <c r="K413" s="6">
        <v>0</v>
      </c>
      <c r="L413" s="6">
        <v>0</v>
      </c>
      <c r="M413" s="6">
        <f t="shared" si="87"/>
        <v>289502</v>
      </c>
      <c r="N413" s="6">
        <f t="shared" si="88"/>
        <v>19713.259999999998</v>
      </c>
      <c r="O413" s="6">
        <f t="shared" si="79"/>
        <v>309215.26</v>
      </c>
      <c r="P413" s="6">
        <v>309215.26</v>
      </c>
      <c r="Q413" s="6">
        <f>+P413-O413</f>
        <v>0</v>
      </c>
      <c r="R413" s="6">
        <f t="shared" si="80"/>
        <v>0</v>
      </c>
      <c r="S413" s="5"/>
      <c r="U413" s="5"/>
      <c r="V413" s="5"/>
    </row>
    <row r="414" spans="2:22" x14ac:dyDescent="0.3">
      <c r="B414" s="5" t="s">
        <v>16</v>
      </c>
      <c r="C414" s="5" t="s">
        <v>956</v>
      </c>
      <c r="D414" s="5" t="s">
        <v>957</v>
      </c>
      <c r="E414" s="5" t="s">
        <v>549</v>
      </c>
      <c r="F414" s="5" t="s">
        <v>954</v>
      </c>
      <c r="G414" s="5" t="s">
        <v>955</v>
      </c>
      <c r="H414" s="6">
        <v>0</v>
      </c>
      <c r="I414" s="6">
        <f t="shared" ref="I414:I477" si="89">+J414/19*100</f>
        <v>83161</v>
      </c>
      <c r="J414" s="6">
        <v>15800.59</v>
      </c>
      <c r="K414" s="6">
        <v>0</v>
      </c>
      <c r="L414" s="6">
        <v>0</v>
      </c>
      <c r="M414" s="6">
        <f t="shared" si="87"/>
        <v>83161</v>
      </c>
      <c r="N414" s="6">
        <f t="shared" si="88"/>
        <v>15800.59</v>
      </c>
      <c r="O414" s="6">
        <f t="shared" ref="O414:O477" si="90">+M414+N414</f>
        <v>98961.59</v>
      </c>
      <c r="P414" s="6">
        <v>98961.59</v>
      </c>
      <c r="Q414" s="6">
        <f>+P414-O414</f>
        <v>0</v>
      </c>
      <c r="R414" s="6">
        <f t="shared" si="80"/>
        <v>0</v>
      </c>
      <c r="U414" s="5"/>
      <c r="V414" s="5"/>
    </row>
    <row r="415" spans="2:22" x14ac:dyDescent="0.3">
      <c r="B415" s="5" t="s">
        <v>16</v>
      </c>
      <c r="C415" s="5" t="s">
        <v>958</v>
      </c>
      <c r="D415" s="5" t="s">
        <v>953</v>
      </c>
      <c r="E415" s="5" t="s">
        <v>959</v>
      </c>
      <c r="F415" s="5" t="s">
        <v>954</v>
      </c>
      <c r="G415" s="5" t="s">
        <v>955</v>
      </c>
      <c r="H415" s="6">
        <v>0</v>
      </c>
      <c r="I415" s="6">
        <f t="shared" si="89"/>
        <v>79110</v>
      </c>
      <c r="J415" s="6">
        <v>15030.9</v>
      </c>
      <c r="K415" s="6">
        <v>0</v>
      </c>
      <c r="L415" s="6">
        <v>0</v>
      </c>
      <c r="M415" s="6">
        <f t="shared" si="87"/>
        <v>79110</v>
      </c>
      <c r="N415" s="6">
        <f t="shared" si="88"/>
        <v>15030.9</v>
      </c>
      <c r="O415" s="6">
        <f t="shared" si="90"/>
        <v>94140.9</v>
      </c>
      <c r="P415" s="6">
        <v>94140.9</v>
      </c>
      <c r="Q415" s="6">
        <v>0</v>
      </c>
      <c r="R415" s="6">
        <f t="shared" si="80"/>
        <v>0</v>
      </c>
      <c r="S415" s="5"/>
      <c r="U415" s="5"/>
      <c r="V415" s="5"/>
    </row>
    <row r="416" spans="2:22" x14ac:dyDescent="0.3">
      <c r="B416" s="5" t="s">
        <v>16</v>
      </c>
      <c r="C416" s="5" t="s">
        <v>960</v>
      </c>
      <c r="D416" s="5" t="s">
        <v>957</v>
      </c>
      <c r="E416" s="5" t="s">
        <v>526</v>
      </c>
      <c r="F416" s="5" t="s">
        <v>954</v>
      </c>
      <c r="G416" s="5" t="s">
        <v>955</v>
      </c>
      <c r="H416" s="6">
        <v>0</v>
      </c>
      <c r="I416" s="6">
        <f t="shared" si="89"/>
        <v>127727</v>
      </c>
      <c r="J416" s="6">
        <v>24268.13</v>
      </c>
      <c r="K416" s="6">
        <v>0</v>
      </c>
      <c r="L416" s="6">
        <v>0</v>
      </c>
      <c r="M416" s="6">
        <f t="shared" si="87"/>
        <v>127727</v>
      </c>
      <c r="N416" s="6">
        <f t="shared" si="88"/>
        <v>24268.13</v>
      </c>
      <c r="O416" s="6">
        <f t="shared" si="90"/>
        <v>151995.13</v>
      </c>
      <c r="P416" s="6">
        <v>151995.13</v>
      </c>
      <c r="Q416" s="6">
        <v>0</v>
      </c>
      <c r="R416" s="6">
        <f t="shared" si="80"/>
        <v>0</v>
      </c>
      <c r="S416" s="5"/>
      <c r="U416" s="5"/>
      <c r="V416" s="5"/>
    </row>
    <row r="417" spans="2:22" x14ac:dyDescent="0.3">
      <c r="B417" s="5" t="s">
        <v>16</v>
      </c>
      <c r="C417" s="5" t="s">
        <v>961</v>
      </c>
      <c r="D417" s="5" t="s">
        <v>953</v>
      </c>
      <c r="E417" s="5" t="s">
        <v>526</v>
      </c>
      <c r="F417" s="5" t="s">
        <v>954</v>
      </c>
      <c r="G417" s="5" t="s">
        <v>955</v>
      </c>
      <c r="H417" s="6">
        <v>127937.99999999999</v>
      </c>
      <c r="I417" s="6">
        <f t="shared" si="89"/>
        <v>88802.000000000015</v>
      </c>
      <c r="J417" s="6">
        <v>16872.38</v>
      </c>
      <c r="K417" s="6">
        <v>0</v>
      </c>
      <c r="L417" s="6">
        <v>0</v>
      </c>
      <c r="M417" s="6">
        <f t="shared" si="87"/>
        <v>216740</v>
      </c>
      <c r="N417" s="6">
        <f t="shared" si="88"/>
        <v>16872.38</v>
      </c>
      <c r="O417" s="6">
        <f t="shared" si="90"/>
        <v>233612.38</v>
      </c>
      <c r="P417" s="6">
        <v>233612.38</v>
      </c>
      <c r="Q417" s="6">
        <v>0</v>
      </c>
      <c r="R417" s="6">
        <f t="shared" si="80"/>
        <v>0</v>
      </c>
      <c r="S417" s="5"/>
    </row>
    <row r="418" spans="2:22" x14ac:dyDescent="0.3">
      <c r="B418" s="5" t="s">
        <v>16</v>
      </c>
      <c r="C418" s="5" t="s">
        <v>962</v>
      </c>
      <c r="D418" s="5" t="s">
        <v>953</v>
      </c>
      <c r="E418" s="5" t="s">
        <v>533</v>
      </c>
      <c r="F418" s="5" t="s">
        <v>954</v>
      </c>
      <c r="G418" s="5" t="s">
        <v>955</v>
      </c>
      <c r="H418" s="6">
        <v>5061</v>
      </c>
      <c r="I418" s="6">
        <f t="shared" si="89"/>
        <v>69340</v>
      </c>
      <c r="J418" s="6">
        <v>13174.6</v>
      </c>
      <c r="K418" s="6">
        <v>0</v>
      </c>
      <c r="L418" s="6">
        <v>0</v>
      </c>
      <c r="M418" s="6">
        <f t="shared" si="87"/>
        <v>74401</v>
      </c>
      <c r="N418" s="6">
        <f t="shared" si="88"/>
        <v>13174.6</v>
      </c>
      <c r="O418" s="6">
        <f t="shared" si="90"/>
        <v>87575.6</v>
      </c>
      <c r="P418" s="6">
        <v>87575.6</v>
      </c>
      <c r="Q418" s="6">
        <v>0</v>
      </c>
      <c r="R418" s="6">
        <f t="shared" si="80"/>
        <v>0</v>
      </c>
      <c r="S418" s="5"/>
      <c r="U418" s="5"/>
      <c r="V418" s="5"/>
    </row>
    <row r="419" spans="2:22" x14ac:dyDescent="0.3">
      <c r="B419" s="5" t="s">
        <v>16</v>
      </c>
      <c r="C419" s="5" t="s">
        <v>963</v>
      </c>
      <c r="D419" s="5" t="s">
        <v>957</v>
      </c>
      <c r="E419" s="5" t="s">
        <v>533</v>
      </c>
      <c r="F419" s="5" t="s">
        <v>954</v>
      </c>
      <c r="G419" s="5" t="s">
        <v>955</v>
      </c>
      <c r="H419" s="6">
        <v>0</v>
      </c>
      <c r="I419" s="6">
        <f t="shared" si="89"/>
        <v>96075</v>
      </c>
      <c r="J419" s="6">
        <v>18254.25</v>
      </c>
      <c r="K419" s="6">
        <v>0</v>
      </c>
      <c r="L419" s="6">
        <v>0</v>
      </c>
      <c r="M419" s="6">
        <f t="shared" si="87"/>
        <v>96075</v>
      </c>
      <c r="N419" s="6">
        <f t="shared" si="88"/>
        <v>18254.25</v>
      </c>
      <c r="O419" s="6">
        <f t="shared" si="90"/>
        <v>114329.25</v>
      </c>
      <c r="P419" s="6">
        <v>114329.25</v>
      </c>
      <c r="Q419" s="6">
        <v>0</v>
      </c>
      <c r="R419" s="6">
        <f t="shared" si="80"/>
        <v>0</v>
      </c>
      <c r="U419" s="5"/>
      <c r="V419" s="5"/>
    </row>
    <row r="420" spans="2:22" x14ac:dyDescent="0.3">
      <c r="B420" s="5" t="s">
        <v>16</v>
      </c>
      <c r="C420" s="5" t="s">
        <v>964</v>
      </c>
      <c r="D420" s="5" t="s">
        <v>953</v>
      </c>
      <c r="E420" s="5" t="s">
        <v>204</v>
      </c>
      <c r="F420" s="5" t="s">
        <v>954</v>
      </c>
      <c r="G420" s="5" t="s">
        <v>955</v>
      </c>
      <c r="H420" s="6">
        <v>16755.000000000015</v>
      </c>
      <c r="I420" s="6">
        <f t="shared" si="89"/>
        <v>84758.999999999985</v>
      </c>
      <c r="J420" s="6">
        <v>16104.21</v>
      </c>
      <c r="K420" s="6">
        <v>0</v>
      </c>
      <c r="L420" s="6">
        <v>0</v>
      </c>
      <c r="M420" s="6">
        <f t="shared" si="87"/>
        <v>101514</v>
      </c>
      <c r="N420" s="6">
        <f t="shared" si="88"/>
        <v>16104.21</v>
      </c>
      <c r="O420" s="6">
        <f t="shared" si="90"/>
        <v>117618.20999999999</v>
      </c>
      <c r="P420" s="6">
        <v>117618.21</v>
      </c>
      <c r="Q420" s="6">
        <v>0</v>
      </c>
      <c r="R420" s="6">
        <f t="shared" si="80"/>
        <v>0</v>
      </c>
      <c r="U420" s="5"/>
      <c r="V420" s="5"/>
    </row>
    <row r="421" spans="2:22" x14ac:dyDescent="0.3">
      <c r="B421" s="5" t="s">
        <v>16</v>
      </c>
      <c r="C421" s="5" t="s">
        <v>965</v>
      </c>
      <c r="D421" s="5" t="s">
        <v>957</v>
      </c>
      <c r="E421" s="5" t="s">
        <v>204</v>
      </c>
      <c r="F421" s="5" t="s">
        <v>954</v>
      </c>
      <c r="G421" s="5" t="s">
        <v>955</v>
      </c>
      <c r="H421" s="6">
        <v>10234.736842105252</v>
      </c>
      <c r="I421" s="6">
        <f t="shared" si="89"/>
        <v>166921.26315789475</v>
      </c>
      <c r="J421" s="6">
        <v>31715.040000000001</v>
      </c>
      <c r="K421" s="6">
        <v>0</v>
      </c>
      <c r="L421" s="6">
        <v>0</v>
      </c>
      <c r="M421" s="6">
        <f t="shared" si="87"/>
        <v>177156</v>
      </c>
      <c r="N421" s="6">
        <f t="shared" si="88"/>
        <v>31715.040000000001</v>
      </c>
      <c r="O421" s="6">
        <f t="shared" si="90"/>
        <v>208871.04000000001</v>
      </c>
      <c r="P421" s="6">
        <v>208871.04000000001</v>
      </c>
      <c r="Q421" s="6">
        <v>0</v>
      </c>
      <c r="R421" s="6">
        <f t="shared" si="80"/>
        <v>0</v>
      </c>
      <c r="S421" s="7"/>
      <c r="U421" s="5"/>
      <c r="V421" s="5"/>
    </row>
    <row r="422" spans="2:22" x14ac:dyDescent="0.3">
      <c r="B422" s="5" t="s">
        <v>16</v>
      </c>
      <c r="C422" s="5" t="s">
        <v>966</v>
      </c>
      <c r="D422" s="5" t="s">
        <v>953</v>
      </c>
      <c r="E422" s="5" t="s">
        <v>633</v>
      </c>
      <c r="F422" s="5" t="s">
        <v>954</v>
      </c>
      <c r="G422" s="5" t="s">
        <v>955</v>
      </c>
      <c r="H422" s="6">
        <v>10121.999999999996</v>
      </c>
      <c r="I422" s="6">
        <f t="shared" si="89"/>
        <v>79330</v>
      </c>
      <c r="J422" s="6">
        <v>15072.7</v>
      </c>
      <c r="K422" s="6"/>
      <c r="L422" s="6"/>
      <c r="M422" s="6">
        <f t="shared" ref="M422:M428" si="91">+H422+I422</f>
        <v>89452</v>
      </c>
      <c r="N422" s="6">
        <f t="shared" ref="N422:N428" si="92">+J422</f>
        <v>15072.7</v>
      </c>
      <c r="O422" s="6">
        <f t="shared" si="90"/>
        <v>104524.7</v>
      </c>
      <c r="P422" s="6">
        <v>104524.7</v>
      </c>
      <c r="Q422" s="6"/>
      <c r="R422" s="6">
        <f t="shared" si="80"/>
        <v>0</v>
      </c>
      <c r="S422" s="7"/>
      <c r="U422" s="5"/>
      <c r="V422" s="5"/>
    </row>
    <row r="423" spans="2:22" x14ac:dyDescent="0.3">
      <c r="B423" s="5" t="s">
        <v>16</v>
      </c>
      <c r="C423" s="5" t="s">
        <v>967</v>
      </c>
      <c r="D423" s="5" t="s">
        <v>957</v>
      </c>
      <c r="E423" s="5" t="s">
        <v>633</v>
      </c>
      <c r="F423" s="5" t="s">
        <v>954</v>
      </c>
      <c r="G423" s="5" t="s">
        <v>955</v>
      </c>
      <c r="H423" s="6">
        <v>0</v>
      </c>
      <c r="I423" s="6">
        <f t="shared" si="89"/>
        <v>102942</v>
      </c>
      <c r="J423" s="6">
        <v>19558.98</v>
      </c>
      <c r="K423" s="6"/>
      <c r="L423" s="6"/>
      <c r="M423" s="6">
        <f t="shared" si="91"/>
        <v>102942</v>
      </c>
      <c r="N423" s="6">
        <f t="shared" si="92"/>
        <v>19558.98</v>
      </c>
      <c r="O423" s="6">
        <f t="shared" si="90"/>
        <v>122500.98</v>
      </c>
      <c r="P423" s="6">
        <v>122500.98</v>
      </c>
      <c r="Q423" s="6"/>
      <c r="R423" s="6">
        <f t="shared" si="80"/>
        <v>0</v>
      </c>
    </row>
    <row r="424" spans="2:22" x14ac:dyDescent="0.3">
      <c r="B424" s="5" t="s">
        <v>16</v>
      </c>
      <c r="C424" s="5" t="s">
        <v>968</v>
      </c>
      <c r="D424" s="5" t="s">
        <v>953</v>
      </c>
      <c r="E424" s="5" t="s">
        <v>550</v>
      </c>
      <c r="F424" s="5" t="s">
        <v>954</v>
      </c>
      <c r="G424" s="5" t="s">
        <v>955</v>
      </c>
      <c r="H424" s="6">
        <v>107772</v>
      </c>
      <c r="I424" s="6">
        <f t="shared" si="89"/>
        <v>89808.999999999985</v>
      </c>
      <c r="J424" s="6">
        <v>17063.71</v>
      </c>
      <c r="K424" s="6"/>
      <c r="L424" s="6"/>
      <c r="M424" s="6">
        <f t="shared" si="91"/>
        <v>197581</v>
      </c>
      <c r="N424" s="6">
        <f t="shared" si="92"/>
        <v>17063.71</v>
      </c>
      <c r="O424" s="6">
        <f t="shared" si="90"/>
        <v>214644.71</v>
      </c>
      <c r="P424" s="6">
        <v>214644.71</v>
      </c>
      <c r="Q424" s="6"/>
      <c r="R424" s="6">
        <f t="shared" si="80"/>
        <v>0</v>
      </c>
      <c r="S424" s="5"/>
      <c r="U424" s="5"/>
      <c r="V424" s="5"/>
    </row>
    <row r="425" spans="2:22" x14ac:dyDescent="0.3">
      <c r="B425" s="5" t="s">
        <v>16</v>
      </c>
      <c r="C425" s="5" t="s">
        <v>969</v>
      </c>
      <c r="D425" s="5" t="s">
        <v>957</v>
      </c>
      <c r="E425" s="5" t="s">
        <v>550</v>
      </c>
      <c r="F425" s="5" t="s">
        <v>954</v>
      </c>
      <c r="G425" s="5" t="s">
        <v>955</v>
      </c>
      <c r="H425" s="6">
        <v>10234.736842105271</v>
      </c>
      <c r="I425" s="6">
        <f t="shared" si="89"/>
        <v>93206.263157894733</v>
      </c>
      <c r="J425" s="6">
        <v>17709.189999999999</v>
      </c>
      <c r="K425" s="6"/>
      <c r="L425" s="6"/>
      <c r="M425" s="6">
        <f t="shared" si="91"/>
        <v>103441</v>
      </c>
      <c r="N425" s="6">
        <f t="shared" si="92"/>
        <v>17709.189999999999</v>
      </c>
      <c r="O425" s="6">
        <f t="shared" si="90"/>
        <v>121150.19</v>
      </c>
      <c r="P425" s="6">
        <v>121150.19</v>
      </c>
      <c r="Q425" s="6"/>
      <c r="R425" s="6">
        <f t="shared" si="80"/>
        <v>0</v>
      </c>
      <c r="S425" s="5"/>
      <c r="U425" s="5"/>
      <c r="V425" s="5"/>
    </row>
    <row r="426" spans="2:22" x14ac:dyDescent="0.3">
      <c r="B426" s="5" t="s">
        <v>16</v>
      </c>
      <c r="C426" s="5" t="s">
        <v>970</v>
      </c>
      <c r="D426" s="5" t="s">
        <v>953</v>
      </c>
      <c r="E426" s="5" t="s">
        <v>938</v>
      </c>
      <c r="F426" s="5" t="s">
        <v>954</v>
      </c>
      <c r="G426" s="5" t="s">
        <v>955</v>
      </c>
      <c r="H426" s="6">
        <v>72993</v>
      </c>
      <c r="I426" s="6">
        <f t="shared" si="89"/>
        <v>39346</v>
      </c>
      <c r="J426" s="6">
        <v>7475.74</v>
      </c>
      <c r="K426" s="6"/>
      <c r="L426" s="6"/>
      <c r="M426" s="6">
        <f t="shared" si="91"/>
        <v>112339</v>
      </c>
      <c r="N426" s="6">
        <f t="shared" si="92"/>
        <v>7475.74</v>
      </c>
      <c r="O426" s="6">
        <f t="shared" si="90"/>
        <v>119814.74</v>
      </c>
      <c r="P426" s="6">
        <v>119814.74</v>
      </c>
      <c r="Q426" s="6"/>
      <c r="R426" s="6">
        <f t="shared" si="80"/>
        <v>0</v>
      </c>
      <c r="S426" s="5"/>
      <c r="U426" s="5"/>
      <c r="V426" s="5"/>
    </row>
    <row r="427" spans="2:22" x14ac:dyDescent="0.3">
      <c r="B427" s="5" t="s">
        <v>16</v>
      </c>
      <c r="C427" s="5" t="s">
        <v>971</v>
      </c>
      <c r="D427" s="5" t="s">
        <v>957</v>
      </c>
      <c r="E427" s="5" t="s">
        <v>938</v>
      </c>
      <c r="F427" s="5" t="s">
        <v>954</v>
      </c>
      <c r="G427" s="5" t="s">
        <v>955</v>
      </c>
      <c r="H427" s="6">
        <v>17258</v>
      </c>
      <c r="I427" s="6">
        <f t="shared" si="89"/>
        <v>159125</v>
      </c>
      <c r="J427" s="6">
        <v>30233.75</v>
      </c>
      <c r="K427" s="6"/>
      <c r="L427" s="6"/>
      <c r="M427" s="6">
        <f t="shared" si="91"/>
        <v>176383</v>
      </c>
      <c r="N427" s="6">
        <f t="shared" si="92"/>
        <v>30233.75</v>
      </c>
      <c r="O427" s="6">
        <f t="shared" si="90"/>
        <v>206616.75</v>
      </c>
      <c r="P427" s="6">
        <v>206616.75</v>
      </c>
      <c r="Q427" s="6"/>
      <c r="R427" s="6">
        <f t="shared" si="80"/>
        <v>0</v>
      </c>
      <c r="S427" s="5"/>
    </row>
    <row r="428" spans="2:22" x14ac:dyDescent="0.3">
      <c r="B428" s="5" t="s">
        <v>16</v>
      </c>
      <c r="C428" s="5" t="s">
        <v>972</v>
      </c>
      <c r="D428" s="5" t="s">
        <v>953</v>
      </c>
      <c r="E428" s="5" t="s">
        <v>551</v>
      </c>
      <c r="F428" s="5" t="s">
        <v>954</v>
      </c>
      <c r="G428" s="5" t="s">
        <v>955</v>
      </c>
      <c r="H428" s="6">
        <v>79626.000000000015</v>
      </c>
      <c r="I428" s="6">
        <f t="shared" si="89"/>
        <v>52330.999999999993</v>
      </c>
      <c r="J428" s="6">
        <v>9942.89</v>
      </c>
      <c r="K428" s="6"/>
      <c r="L428" s="6"/>
      <c r="M428" s="6">
        <f t="shared" si="91"/>
        <v>131957</v>
      </c>
      <c r="N428" s="6">
        <f t="shared" si="92"/>
        <v>9942.89</v>
      </c>
      <c r="O428" s="6">
        <f t="shared" si="90"/>
        <v>141899.89000000001</v>
      </c>
      <c r="P428" s="6">
        <v>141899.89000000001</v>
      </c>
      <c r="Q428" s="6"/>
      <c r="R428" s="6">
        <f t="shared" si="80"/>
        <v>0</v>
      </c>
      <c r="S428" s="5"/>
      <c r="V428" s="5"/>
    </row>
    <row r="429" spans="2:22" x14ac:dyDescent="0.3">
      <c r="B429" s="7" t="s">
        <v>16</v>
      </c>
      <c r="C429" s="7" t="s">
        <v>973</v>
      </c>
      <c r="D429" s="7" t="s">
        <v>957</v>
      </c>
      <c r="E429" s="7" t="s">
        <v>238</v>
      </c>
      <c r="F429" s="7" t="s">
        <v>954</v>
      </c>
      <c r="G429" s="7" t="s">
        <v>955</v>
      </c>
      <c r="H429" s="8">
        <f t="shared" ref="H429:H486" si="93">+P429-I429-J429</f>
        <v>19404.736842105267</v>
      </c>
      <c r="I429" s="8">
        <f t="shared" si="89"/>
        <v>81562.263157894733</v>
      </c>
      <c r="J429" s="8">
        <v>15496.83</v>
      </c>
      <c r="K429" s="8">
        <v>0</v>
      </c>
      <c r="L429" s="8">
        <v>0</v>
      </c>
      <c r="M429" s="8">
        <f t="shared" ref="M429:M436" si="94">+I429+H429</f>
        <v>100967</v>
      </c>
      <c r="N429" s="8">
        <f t="shared" ref="N429:N449" si="95">+J429+L429</f>
        <v>15496.83</v>
      </c>
      <c r="O429" s="8">
        <f t="shared" si="90"/>
        <v>116463.83</v>
      </c>
      <c r="P429" s="8">
        <v>116463.83</v>
      </c>
      <c r="Q429" s="8">
        <v>0</v>
      </c>
      <c r="R429" s="8">
        <f t="shared" si="80"/>
        <v>0</v>
      </c>
      <c r="V429" s="5"/>
    </row>
    <row r="430" spans="2:22" x14ac:dyDescent="0.3">
      <c r="B430" s="7" t="s">
        <v>16</v>
      </c>
      <c r="C430" s="7" t="s">
        <v>974</v>
      </c>
      <c r="D430" s="7" t="s">
        <v>953</v>
      </c>
      <c r="E430" s="7" t="s">
        <v>238</v>
      </c>
      <c r="F430" s="7" t="s">
        <v>954</v>
      </c>
      <c r="G430" s="7" t="s">
        <v>955</v>
      </c>
      <c r="H430" s="8">
        <f t="shared" si="93"/>
        <v>67932</v>
      </c>
      <c r="I430" s="8">
        <f t="shared" si="89"/>
        <v>32524</v>
      </c>
      <c r="J430" s="8">
        <v>6179.56</v>
      </c>
      <c r="K430" s="8">
        <v>0</v>
      </c>
      <c r="L430" s="8">
        <v>0</v>
      </c>
      <c r="M430" s="8">
        <f t="shared" si="94"/>
        <v>100456</v>
      </c>
      <c r="N430" s="8">
        <f t="shared" si="95"/>
        <v>6179.56</v>
      </c>
      <c r="O430" s="8">
        <f t="shared" si="90"/>
        <v>106635.56</v>
      </c>
      <c r="P430" s="8">
        <v>106635.56</v>
      </c>
      <c r="Q430" s="8">
        <v>0</v>
      </c>
      <c r="R430" s="8">
        <f t="shared" si="80"/>
        <v>0</v>
      </c>
      <c r="S430" s="5"/>
      <c r="U430" s="5"/>
      <c r="V430" s="5"/>
    </row>
    <row r="431" spans="2:22" x14ac:dyDescent="0.3">
      <c r="B431" s="7" t="s">
        <v>16</v>
      </c>
      <c r="C431" s="7" t="s">
        <v>975</v>
      </c>
      <c r="D431" s="7" t="s">
        <v>953</v>
      </c>
      <c r="E431" s="7" t="s">
        <v>640</v>
      </c>
      <c r="F431" s="7" t="s">
        <v>954</v>
      </c>
      <c r="G431" s="7" t="s">
        <v>955</v>
      </c>
      <c r="H431" s="8">
        <f t="shared" si="93"/>
        <v>5060.9999999999927</v>
      </c>
      <c r="I431" s="8">
        <f t="shared" si="89"/>
        <v>82522</v>
      </c>
      <c r="J431" s="8">
        <v>15679.18</v>
      </c>
      <c r="K431" s="8">
        <v>0</v>
      </c>
      <c r="L431" s="8">
        <v>0</v>
      </c>
      <c r="M431" s="8">
        <f t="shared" si="94"/>
        <v>87583</v>
      </c>
      <c r="N431" s="8">
        <f t="shared" si="95"/>
        <v>15679.18</v>
      </c>
      <c r="O431" s="8">
        <f t="shared" si="90"/>
        <v>103262.18</v>
      </c>
      <c r="P431" s="8">
        <v>103262.18</v>
      </c>
      <c r="Q431" s="8">
        <v>0</v>
      </c>
      <c r="R431" s="8">
        <f t="shared" si="80"/>
        <v>0</v>
      </c>
      <c r="S431" s="5"/>
      <c r="V431" s="5"/>
    </row>
    <row r="432" spans="2:22" s="7" customFormat="1" x14ac:dyDescent="0.3">
      <c r="B432" s="7" t="s">
        <v>16</v>
      </c>
      <c r="C432" s="7" t="s">
        <v>976</v>
      </c>
      <c r="D432" s="7" t="s">
        <v>957</v>
      </c>
      <c r="E432" s="7" t="s">
        <v>640</v>
      </c>
      <c r="F432" s="7" t="s">
        <v>954</v>
      </c>
      <c r="G432" s="7" t="s">
        <v>955</v>
      </c>
      <c r="H432" s="8">
        <f t="shared" si="93"/>
        <v>15127.736842105274</v>
      </c>
      <c r="I432" s="8">
        <f t="shared" si="89"/>
        <v>62389.263157894733</v>
      </c>
      <c r="J432" s="8">
        <v>11853.96</v>
      </c>
      <c r="K432" s="8">
        <v>0</v>
      </c>
      <c r="L432" s="8">
        <v>0</v>
      </c>
      <c r="M432" s="8">
        <f t="shared" si="94"/>
        <v>77517</v>
      </c>
      <c r="N432" s="8">
        <f t="shared" si="95"/>
        <v>11853.96</v>
      </c>
      <c r="O432" s="8">
        <f t="shared" si="90"/>
        <v>89370.959999999992</v>
      </c>
      <c r="P432" s="8">
        <v>89370.96</v>
      </c>
      <c r="Q432" s="8">
        <v>0</v>
      </c>
      <c r="R432" s="8">
        <f t="shared" si="80"/>
        <v>0</v>
      </c>
      <c r="S432"/>
      <c r="T432"/>
      <c r="U432" s="5"/>
      <c r="V432" s="5"/>
    </row>
    <row r="433" spans="2:22" x14ac:dyDescent="0.3">
      <c r="B433" s="7" t="s">
        <v>16</v>
      </c>
      <c r="C433" s="7" t="s">
        <v>977</v>
      </c>
      <c r="D433" s="7" t="s">
        <v>957</v>
      </c>
      <c r="E433" s="7" t="s">
        <v>105</v>
      </c>
      <c r="F433" s="7" t="s">
        <v>954</v>
      </c>
      <c r="G433" s="7" t="s">
        <v>955</v>
      </c>
      <c r="H433" s="8">
        <f t="shared" si="93"/>
        <v>23443.999999999996</v>
      </c>
      <c r="I433" s="8">
        <f t="shared" si="89"/>
        <v>73805</v>
      </c>
      <c r="J433" s="8">
        <v>14022.95</v>
      </c>
      <c r="K433" s="8">
        <v>0</v>
      </c>
      <c r="L433" s="8">
        <v>0</v>
      </c>
      <c r="M433" s="8">
        <f t="shared" si="94"/>
        <v>97249</v>
      </c>
      <c r="N433" s="8">
        <f t="shared" si="95"/>
        <v>14022.95</v>
      </c>
      <c r="O433" s="8">
        <f t="shared" si="90"/>
        <v>111271.95</v>
      </c>
      <c r="P433" s="8">
        <v>111271.95</v>
      </c>
      <c r="Q433" s="8">
        <v>0</v>
      </c>
      <c r="R433" s="8">
        <f t="shared" si="80"/>
        <v>0</v>
      </c>
      <c r="S433" s="5"/>
      <c r="U433" s="5"/>
      <c r="V433" s="5"/>
    </row>
    <row r="434" spans="2:22" s="7" customFormat="1" x14ac:dyDescent="0.3">
      <c r="B434" s="7" t="s">
        <v>16</v>
      </c>
      <c r="C434" s="7" t="s">
        <v>978</v>
      </c>
      <c r="D434" s="7" t="s">
        <v>953</v>
      </c>
      <c r="E434" s="7" t="s">
        <v>105</v>
      </c>
      <c r="F434" s="7" t="s">
        <v>954</v>
      </c>
      <c r="G434" s="7" t="s">
        <v>955</v>
      </c>
      <c r="H434" s="8">
        <f t="shared" si="93"/>
        <v>72993</v>
      </c>
      <c r="I434" s="8">
        <f t="shared" si="89"/>
        <v>53483.999999999993</v>
      </c>
      <c r="J434" s="8">
        <v>10161.959999999999</v>
      </c>
      <c r="K434" s="8">
        <v>0</v>
      </c>
      <c r="L434" s="8">
        <v>0</v>
      </c>
      <c r="M434" s="8">
        <f t="shared" si="94"/>
        <v>126477</v>
      </c>
      <c r="N434" s="8">
        <f t="shared" si="95"/>
        <v>10161.959999999999</v>
      </c>
      <c r="O434" s="8">
        <f t="shared" si="90"/>
        <v>136638.96</v>
      </c>
      <c r="P434" s="8">
        <v>136638.96</v>
      </c>
      <c r="Q434" s="8">
        <v>0</v>
      </c>
      <c r="R434" s="8">
        <f t="shared" si="80"/>
        <v>0</v>
      </c>
      <c r="S434" s="5"/>
      <c r="T434"/>
    </row>
    <row r="435" spans="2:22" s="7" customFormat="1" x14ac:dyDescent="0.3">
      <c r="B435" s="7" t="s">
        <v>16</v>
      </c>
      <c r="C435" s="7" t="s">
        <v>979</v>
      </c>
      <c r="D435" s="7" t="s">
        <v>953</v>
      </c>
      <c r="E435" s="7" t="s">
        <v>980</v>
      </c>
      <c r="F435" s="7" t="s">
        <v>954</v>
      </c>
      <c r="G435" s="7" t="s">
        <v>955</v>
      </c>
      <c r="H435" s="8">
        <f t="shared" si="93"/>
        <v>10121.999999999989</v>
      </c>
      <c r="I435" s="8">
        <f t="shared" si="89"/>
        <v>52005.000000000007</v>
      </c>
      <c r="J435" s="8">
        <v>9880.9500000000007</v>
      </c>
      <c r="K435" s="8">
        <v>0</v>
      </c>
      <c r="L435" s="8">
        <v>0</v>
      </c>
      <c r="M435" s="8">
        <f t="shared" si="94"/>
        <v>62127</v>
      </c>
      <c r="N435" s="8">
        <f t="shared" si="95"/>
        <v>9880.9500000000007</v>
      </c>
      <c r="O435" s="8">
        <f t="shared" si="90"/>
        <v>72007.95</v>
      </c>
      <c r="P435" s="8">
        <v>72007.95</v>
      </c>
      <c r="Q435" s="8">
        <v>0</v>
      </c>
      <c r="R435" s="8">
        <f t="shared" si="80"/>
        <v>0</v>
      </c>
      <c r="S435"/>
      <c r="T435"/>
    </row>
    <row r="436" spans="2:22" s="7" customFormat="1" x14ac:dyDescent="0.3">
      <c r="B436" s="7" t="s">
        <v>16</v>
      </c>
      <c r="C436" s="7" t="s">
        <v>981</v>
      </c>
      <c r="D436" s="7" t="s">
        <v>957</v>
      </c>
      <c r="E436" s="7" t="s">
        <v>980</v>
      </c>
      <c r="F436" s="7" t="s">
        <v>954</v>
      </c>
      <c r="G436" s="7" t="s">
        <v>955</v>
      </c>
      <c r="H436" s="8">
        <f t="shared" si="93"/>
        <v>30459.736842105274</v>
      </c>
      <c r="I436" s="8">
        <f t="shared" si="89"/>
        <v>60201.263157894733</v>
      </c>
      <c r="J436" s="8">
        <v>11438.24</v>
      </c>
      <c r="K436" s="8">
        <v>0</v>
      </c>
      <c r="L436" s="8">
        <v>0</v>
      </c>
      <c r="M436" s="8">
        <f t="shared" si="94"/>
        <v>90661</v>
      </c>
      <c r="N436" s="8">
        <f t="shared" si="95"/>
        <v>11438.24</v>
      </c>
      <c r="O436" s="8">
        <f t="shared" si="90"/>
        <v>102099.24</v>
      </c>
      <c r="P436" s="8">
        <v>102099.24</v>
      </c>
      <c r="Q436" s="8">
        <v>0</v>
      </c>
      <c r="R436" s="8">
        <f t="shared" ref="R436:R499" si="96">+Q436*2.5/100</f>
        <v>0</v>
      </c>
      <c r="S436" s="5"/>
      <c r="T436"/>
      <c r="U436" s="5"/>
      <c r="V436" s="5"/>
    </row>
    <row r="437" spans="2:22" s="7" customFormat="1" x14ac:dyDescent="0.3">
      <c r="B437" s="5" t="s">
        <v>16</v>
      </c>
      <c r="C437" s="5" t="s">
        <v>982</v>
      </c>
      <c r="D437" s="5" t="s">
        <v>957</v>
      </c>
      <c r="E437" s="5" t="s">
        <v>520</v>
      </c>
      <c r="F437" s="5" t="s">
        <v>954</v>
      </c>
      <c r="G437" s="5" t="s">
        <v>955</v>
      </c>
      <c r="H437" s="6">
        <f t="shared" si="93"/>
        <v>15235.736842105267</v>
      </c>
      <c r="I437" s="6">
        <f t="shared" si="89"/>
        <v>104680.26315789473</v>
      </c>
      <c r="J437" s="6">
        <v>19889.25</v>
      </c>
      <c r="K437" s="6">
        <v>0</v>
      </c>
      <c r="L437" s="6">
        <v>0</v>
      </c>
      <c r="M437" s="6">
        <f t="shared" ref="M437:M500" si="97">+H437+I437+K437</f>
        <v>119916</v>
      </c>
      <c r="N437" s="6">
        <f t="shared" si="95"/>
        <v>19889.25</v>
      </c>
      <c r="O437" s="6">
        <f t="shared" si="90"/>
        <v>139805.25</v>
      </c>
      <c r="P437" s="6">
        <v>139805.25</v>
      </c>
      <c r="Q437" s="6"/>
      <c r="R437" s="6">
        <f t="shared" si="96"/>
        <v>0</v>
      </c>
      <c r="S437" s="5"/>
      <c r="T437"/>
      <c r="U437" s="5"/>
      <c r="V437" s="5"/>
    </row>
    <row r="438" spans="2:22" s="7" customFormat="1" x14ac:dyDescent="0.3">
      <c r="B438" s="5" t="s">
        <v>16</v>
      </c>
      <c r="C438" s="5" t="s">
        <v>983</v>
      </c>
      <c r="D438" s="5" t="s">
        <v>953</v>
      </c>
      <c r="E438" s="5" t="s">
        <v>520</v>
      </c>
      <c r="F438" s="5" t="s">
        <v>954</v>
      </c>
      <c r="G438" s="5" t="s">
        <v>955</v>
      </c>
      <c r="H438" s="6">
        <f t="shared" si="93"/>
        <v>7425.0000000000073</v>
      </c>
      <c r="I438" s="6">
        <f t="shared" si="89"/>
        <v>117753</v>
      </c>
      <c r="J438" s="6">
        <v>22373.07</v>
      </c>
      <c r="K438" s="6">
        <v>0</v>
      </c>
      <c r="L438" s="6">
        <v>0</v>
      </c>
      <c r="M438" s="6">
        <f t="shared" si="97"/>
        <v>125178</v>
      </c>
      <c r="N438" s="6">
        <f t="shared" si="95"/>
        <v>22373.07</v>
      </c>
      <c r="O438" s="6">
        <f t="shared" si="90"/>
        <v>147551.07</v>
      </c>
      <c r="P438" s="6">
        <v>147551.07</v>
      </c>
      <c r="Q438" s="6"/>
      <c r="R438" s="6">
        <f t="shared" si="96"/>
        <v>0</v>
      </c>
      <c r="S438"/>
      <c r="T438"/>
      <c r="U438" s="5"/>
      <c r="V438" s="5"/>
    </row>
    <row r="439" spans="2:22" s="7" customFormat="1" x14ac:dyDescent="0.3">
      <c r="B439" s="5" t="s">
        <v>16</v>
      </c>
      <c r="C439" s="5" t="s">
        <v>984</v>
      </c>
      <c r="D439" s="5" t="s">
        <v>957</v>
      </c>
      <c r="E439" s="5" t="s">
        <v>985</v>
      </c>
      <c r="F439" s="5" t="s">
        <v>954</v>
      </c>
      <c r="G439" s="5" t="s">
        <v>955</v>
      </c>
      <c r="H439" s="6">
        <f t="shared" si="93"/>
        <v>13429.999999999991</v>
      </c>
      <c r="I439" s="6">
        <f t="shared" si="89"/>
        <v>43212.000000000007</v>
      </c>
      <c r="J439" s="6">
        <v>8210.2800000000007</v>
      </c>
      <c r="K439" s="6">
        <v>0</v>
      </c>
      <c r="L439" s="6">
        <v>0</v>
      </c>
      <c r="M439" s="6">
        <f t="shared" si="97"/>
        <v>56642</v>
      </c>
      <c r="N439" s="6">
        <f t="shared" si="95"/>
        <v>8210.2800000000007</v>
      </c>
      <c r="O439" s="6">
        <f t="shared" si="90"/>
        <v>64852.28</v>
      </c>
      <c r="P439" s="6">
        <v>64852.28</v>
      </c>
      <c r="Q439" s="6"/>
      <c r="R439" s="6">
        <f t="shared" si="96"/>
        <v>0</v>
      </c>
      <c r="S439" s="5"/>
      <c r="T439"/>
      <c r="U439" s="5"/>
      <c r="V439" s="5"/>
    </row>
    <row r="440" spans="2:22" s="7" customFormat="1" x14ac:dyDescent="0.3">
      <c r="B440" s="5" t="s">
        <v>16</v>
      </c>
      <c r="C440" s="5" t="s">
        <v>986</v>
      </c>
      <c r="D440" s="5" t="s">
        <v>957</v>
      </c>
      <c r="E440" s="5" t="s">
        <v>738</v>
      </c>
      <c r="F440" s="5" t="s">
        <v>954</v>
      </c>
      <c r="G440" s="5" t="s">
        <v>955</v>
      </c>
      <c r="H440" s="6">
        <f t="shared" si="93"/>
        <v>16027.000000000018</v>
      </c>
      <c r="I440" s="6">
        <f t="shared" si="89"/>
        <v>99625.999999999985</v>
      </c>
      <c r="J440" s="6">
        <v>18928.939999999999</v>
      </c>
      <c r="K440" s="6">
        <v>0</v>
      </c>
      <c r="L440" s="6">
        <v>0</v>
      </c>
      <c r="M440" s="6">
        <f t="shared" si="97"/>
        <v>115653</v>
      </c>
      <c r="N440" s="6">
        <f t="shared" si="95"/>
        <v>18928.939999999999</v>
      </c>
      <c r="O440" s="6">
        <f t="shared" si="90"/>
        <v>134581.94</v>
      </c>
      <c r="P440" s="6">
        <v>134581.94</v>
      </c>
      <c r="Q440" s="6"/>
      <c r="R440" s="6">
        <f t="shared" si="96"/>
        <v>0</v>
      </c>
      <c r="S440" s="5"/>
      <c r="T440"/>
      <c r="U440" s="5"/>
      <c r="V440" s="5"/>
    </row>
    <row r="441" spans="2:22" s="7" customFormat="1" x14ac:dyDescent="0.3">
      <c r="B441" s="5" t="s">
        <v>16</v>
      </c>
      <c r="C441" s="5" t="s">
        <v>987</v>
      </c>
      <c r="D441" s="5" t="s">
        <v>953</v>
      </c>
      <c r="E441" s="5" t="s">
        <v>985</v>
      </c>
      <c r="F441" s="5" t="s">
        <v>954</v>
      </c>
      <c r="G441" s="5" t="s">
        <v>955</v>
      </c>
      <c r="H441" s="6">
        <f t="shared" si="93"/>
        <v>72993.000000000015</v>
      </c>
      <c r="I441" s="6">
        <f t="shared" si="89"/>
        <v>77692</v>
      </c>
      <c r="J441" s="6">
        <v>14761.48</v>
      </c>
      <c r="K441" s="6">
        <v>0</v>
      </c>
      <c r="L441" s="6">
        <v>0</v>
      </c>
      <c r="M441" s="6">
        <f t="shared" si="97"/>
        <v>150685</v>
      </c>
      <c r="N441" s="6">
        <f t="shared" si="95"/>
        <v>14761.48</v>
      </c>
      <c r="O441" s="6">
        <f t="shared" si="90"/>
        <v>165446.48000000001</v>
      </c>
      <c r="P441" s="6">
        <v>165446.48000000001</v>
      </c>
      <c r="Q441" s="6"/>
      <c r="R441" s="6">
        <f t="shared" si="96"/>
        <v>0</v>
      </c>
      <c r="S441" s="5"/>
      <c r="T441"/>
      <c r="U441" s="5"/>
      <c r="V441" s="5"/>
    </row>
    <row r="442" spans="2:22" s="7" customFormat="1" x14ac:dyDescent="0.3">
      <c r="B442" s="5" t="s">
        <v>16</v>
      </c>
      <c r="C442" s="5" t="s">
        <v>988</v>
      </c>
      <c r="D442" s="5" t="s">
        <v>953</v>
      </c>
      <c r="E442" s="5" t="s">
        <v>738</v>
      </c>
      <c r="F442" s="5" t="s">
        <v>954</v>
      </c>
      <c r="G442" s="5" t="s">
        <v>955</v>
      </c>
      <c r="H442" s="6">
        <f t="shared" si="93"/>
        <v>72993</v>
      </c>
      <c r="I442" s="6">
        <f t="shared" si="89"/>
        <v>60139</v>
      </c>
      <c r="J442" s="6">
        <v>11426.41</v>
      </c>
      <c r="K442" s="6">
        <v>0</v>
      </c>
      <c r="L442" s="6">
        <v>0</v>
      </c>
      <c r="M442" s="6">
        <f t="shared" si="97"/>
        <v>133132</v>
      </c>
      <c r="N442" s="6">
        <f t="shared" si="95"/>
        <v>11426.41</v>
      </c>
      <c r="O442" s="6">
        <f t="shared" si="90"/>
        <v>144558.41</v>
      </c>
      <c r="P442" s="6">
        <v>144558.41</v>
      </c>
      <c r="Q442" s="6"/>
      <c r="R442" s="6">
        <f t="shared" si="96"/>
        <v>0</v>
      </c>
      <c r="S442" s="5"/>
      <c r="T442"/>
      <c r="U442" s="5"/>
      <c r="V442" s="5"/>
    </row>
    <row r="443" spans="2:22" s="7" customFormat="1" x14ac:dyDescent="0.3">
      <c r="B443" s="5" t="s">
        <v>16</v>
      </c>
      <c r="C443" s="5" t="s">
        <v>989</v>
      </c>
      <c r="D443" s="5" t="s">
        <v>953</v>
      </c>
      <c r="E443" s="5" t="s">
        <v>439</v>
      </c>
      <c r="F443" s="5" t="s">
        <v>954</v>
      </c>
      <c r="G443" s="5" t="s">
        <v>955</v>
      </c>
      <c r="H443" s="6">
        <f t="shared" si="93"/>
        <v>84686.999999999985</v>
      </c>
      <c r="I443" s="6">
        <f t="shared" si="89"/>
        <v>81082</v>
      </c>
      <c r="J443" s="6">
        <v>15405.58</v>
      </c>
      <c r="K443" s="6">
        <v>0</v>
      </c>
      <c r="L443" s="6">
        <v>0</v>
      </c>
      <c r="M443" s="6">
        <f t="shared" si="97"/>
        <v>165769</v>
      </c>
      <c r="N443" s="6">
        <f t="shared" si="95"/>
        <v>15405.58</v>
      </c>
      <c r="O443" s="6">
        <f t="shared" si="90"/>
        <v>181174.58</v>
      </c>
      <c r="P443" s="6">
        <v>181174.58</v>
      </c>
      <c r="Q443" s="6"/>
      <c r="R443" s="6">
        <f t="shared" si="96"/>
        <v>0</v>
      </c>
      <c r="S443" s="5"/>
      <c r="T443"/>
    </row>
    <row r="444" spans="2:22" s="7" customFormat="1" x14ac:dyDescent="0.3">
      <c r="B444" s="5" t="s">
        <v>16</v>
      </c>
      <c r="C444" s="5" t="s">
        <v>990</v>
      </c>
      <c r="D444" s="5" t="s">
        <v>957</v>
      </c>
      <c r="E444" s="5" t="s">
        <v>439</v>
      </c>
      <c r="F444" s="5" t="s">
        <v>954</v>
      </c>
      <c r="G444" s="5" t="s">
        <v>955</v>
      </c>
      <c r="H444" s="6">
        <f t="shared" si="93"/>
        <v>34489.736842105238</v>
      </c>
      <c r="I444" s="6">
        <f t="shared" si="89"/>
        <v>146312.26315789475</v>
      </c>
      <c r="J444" s="6">
        <v>27799.33</v>
      </c>
      <c r="K444" s="6">
        <v>0</v>
      </c>
      <c r="L444" s="6">
        <v>0</v>
      </c>
      <c r="M444" s="6">
        <f t="shared" si="97"/>
        <v>180802</v>
      </c>
      <c r="N444" s="6">
        <f t="shared" si="95"/>
        <v>27799.33</v>
      </c>
      <c r="O444" s="6">
        <f t="shared" si="90"/>
        <v>208601.33000000002</v>
      </c>
      <c r="P444" s="6">
        <v>208601.33</v>
      </c>
      <c r="Q444" s="6"/>
      <c r="R444" s="6">
        <f t="shared" si="96"/>
        <v>0</v>
      </c>
      <c r="S444" s="5"/>
      <c r="T444"/>
      <c r="U444" s="5"/>
      <c r="V444" s="5"/>
    </row>
    <row r="445" spans="2:22" s="7" customFormat="1" x14ac:dyDescent="0.3">
      <c r="B445" s="5" t="s">
        <v>16</v>
      </c>
      <c r="C445" s="5" t="s">
        <v>991</v>
      </c>
      <c r="D445" s="5" t="s">
        <v>957</v>
      </c>
      <c r="E445" s="5" t="s">
        <v>992</v>
      </c>
      <c r="F445" s="5" t="s">
        <v>954</v>
      </c>
      <c r="G445" s="5" t="s">
        <v>955</v>
      </c>
      <c r="H445" s="6">
        <f t="shared" si="93"/>
        <v>0</v>
      </c>
      <c r="I445" s="6">
        <f t="shared" si="89"/>
        <v>75756</v>
      </c>
      <c r="J445" s="6">
        <v>14393.64</v>
      </c>
      <c r="K445" s="6">
        <v>0</v>
      </c>
      <c r="L445" s="6">
        <v>0</v>
      </c>
      <c r="M445" s="6">
        <f t="shared" si="97"/>
        <v>75756</v>
      </c>
      <c r="N445" s="6">
        <f t="shared" si="95"/>
        <v>14393.64</v>
      </c>
      <c r="O445" s="6">
        <f t="shared" si="90"/>
        <v>90149.64</v>
      </c>
      <c r="P445" s="6">
        <v>90149.64</v>
      </c>
      <c r="Q445" s="6">
        <v>0</v>
      </c>
      <c r="R445" s="6">
        <f t="shared" si="96"/>
        <v>0</v>
      </c>
      <c r="S445" s="5"/>
      <c r="T445"/>
      <c r="U445" s="5"/>
      <c r="V445" s="5"/>
    </row>
    <row r="446" spans="2:22" x14ac:dyDescent="0.3">
      <c r="B446" s="5" t="s">
        <v>16</v>
      </c>
      <c r="C446" s="5" t="s">
        <v>993</v>
      </c>
      <c r="D446" s="5" t="s">
        <v>957</v>
      </c>
      <c r="E446" s="5" t="s">
        <v>994</v>
      </c>
      <c r="F446" s="5" t="s">
        <v>954</v>
      </c>
      <c r="G446" s="5" t="s">
        <v>955</v>
      </c>
      <c r="H446" s="6">
        <f t="shared" si="93"/>
        <v>0</v>
      </c>
      <c r="I446" s="6">
        <f t="shared" si="89"/>
        <v>41297</v>
      </c>
      <c r="J446" s="6">
        <v>7846.43</v>
      </c>
      <c r="K446" s="6">
        <v>0</v>
      </c>
      <c r="L446" s="6">
        <v>0</v>
      </c>
      <c r="M446" s="6">
        <f t="shared" si="97"/>
        <v>41297</v>
      </c>
      <c r="N446" s="6">
        <f t="shared" si="95"/>
        <v>7846.43</v>
      </c>
      <c r="O446" s="6">
        <f t="shared" si="90"/>
        <v>49143.43</v>
      </c>
      <c r="P446" s="6">
        <v>49143.43</v>
      </c>
      <c r="Q446" s="6">
        <v>0</v>
      </c>
      <c r="R446" s="6">
        <f t="shared" si="96"/>
        <v>0</v>
      </c>
      <c r="U446" s="5"/>
      <c r="V446" s="5"/>
    </row>
    <row r="447" spans="2:22" x14ac:dyDescent="0.3">
      <c r="B447" s="5" t="s">
        <v>16</v>
      </c>
      <c r="C447" s="5" t="s">
        <v>995</v>
      </c>
      <c r="D447" s="5" t="s">
        <v>953</v>
      </c>
      <c r="E447" s="5" t="s">
        <v>994</v>
      </c>
      <c r="F447" s="5" t="s">
        <v>954</v>
      </c>
      <c r="G447" s="5" t="s">
        <v>955</v>
      </c>
      <c r="H447" s="6">
        <f t="shared" si="93"/>
        <v>78054.000000000015</v>
      </c>
      <c r="I447" s="6">
        <f t="shared" si="89"/>
        <v>64466.999999999993</v>
      </c>
      <c r="J447" s="6">
        <v>12248.73</v>
      </c>
      <c r="K447" s="6">
        <v>0</v>
      </c>
      <c r="L447" s="6">
        <v>0</v>
      </c>
      <c r="M447" s="6">
        <f t="shared" si="97"/>
        <v>142521</v>
      </c>
      <c r="N447" s="6">
        <f t="shared" si="95"/>
        <v>12248.73</v>
      </c>
      <c r="O447" s="6">
        <f t="shared" si="90"/>
        <v>154769.73000000001</v>
      </c>
      <c r="P447" s="6">
        <v>154769.73000000001</v>
      </c>
      <c r="Q447" s="6">
        <v>0</v>
      </c>
      <c r="R447" s="6">
        <f t="shared" si="96"/>
        <v>0</v>
      </c>
      <c r="U447" s="5"/>
      <c r="V447" s="5"/>
    </row>
    <row r="448" spans="2:22" s="7" customFormat="1" x14ac:dyDescent="0.3">
      <c r="B448" s="5" t="s">
        <v>16</v>
      </c>
      <c r="C448" s="5" t="s">
        <v>996</v>
      </c>
      <c r="D448" s="5" t="s">
        <v>957</v>
      </c>
      <c r="E448" s="5" t="s">
        <v>537</v>
      </c>
      <c r="F448" s="5" t="s">
        <v>954</v>
      </c>
      <c r="G448" s="5" t="s">
        <v>955</v>
      </c>
      <c r="H448" s="6">
        <f t="shared" si="93"/>
        <v>38383.736842105282</v>
      </c>
      <c r="I448" s="6">
        <f t="shared" si="89"/>
        <v>142605.26315789472</v>
      </c>
      <c r="J448" s="6">
        <v>27095</v>
      </c>
      <c r="K448" s="6">
        <v>0</v>
      </c>
      <c r="L448" s="6">
        <v>0</v>
      </c>
      <c r="M448" s="6">
        <f t="shared" si="97"/>
        <v>180989</v>
      </c>
      <c r="N448" s="6">
        <f t="shared" si="95"/>
        <v>27095</v>
      </c>
      <c r="O448" s="6">
        <f t="shared" si="90"/>
        <v>208084</v>
      </c>
      <c r="P448" s="6">
        <v>208084</v>
      </c>
      <c r="Q448" s="6">
        <v>0</v>
      </c>
      <c r="R448" s="6">
        <f t="shared" si="96"/>
        <v>0</v>
      </c>
      <c r="S448" s="5"/>
      <c r="T448"/>
      <c r="U448" s="5"/>
      <c r="V448" s="5"/>
    </row>
    <row r="449" spans="2:22" s="7" customFormat="1" x14ac:dyDescent="0.3">
      <c r="B449" s="5" t="s">
        <v>16</v>
      </c>
      <c r="C449" s="5" t="s">
        <v>997</v>
      </c>
      <c r="D449" s="5" t="s">
        <v>953</v>
      </c>
      <c r="E449" s="5" t="s">
        <v>537</v>
      </c>
      <c r="F449" s="5" t="s">
        <v>954</v>
      </c>
      <c r="G449" s="5" t="s">
        <v>955</v>
      </c>
      <c r="H449" s="6">
        <f t="shared" si="93"/>
        <v>79626</v>
      </c>
      <c r="I449" s="6">
        <f t="shared" si="89"/>
        <v>91908.999999999985</v>
      </c>
      <c r="J449" s="6">
        <v>17462.71</v>
      </c>
      <c r="K449" s="6">
        <v>0</v>
      </c>
      <c r="L449" s="6">
        <v>0</v>
      </c>
      <c r="M449" s="6">
        <f t="shared" si="97"/>
        <v>171535</v>
      </c>
      <c r="N449" s="6">
        <f t="shared" si="95"/>
        <v>17462.71</v>
      </c>
      <c r="O449" s="6">
        <f t="shared" si="90"/>
        <v>188997.71</v>
      </c>
      <c r="P449" s="6">
        <v>188997.71</v>
      </c>
      <c r="Q449" s="6">
        <v>0</v>
      </c>
      <c r="R449" s="6">
        <f t="shared" si="96"/>
        <v>0</v>
      </c>
      <c r="S449" s="5"/>
      <c r="T449"/>
      <c r="U449" s="5"/>
      <c r="V449" s="5"/>
    </row>
    <row r="450" spans="2:22" s="7" customFormat="1" x14ac:dyDescent="0.3">
      <c r="B450" s="5" t="s">
        <v>16</v>
      </c>
      <c r="C450" s="5" t="s">
        <v>998</v>
      </c>
      <c r="D450" s="5" t="s">
        <v>957</v>
      </c>
      <c r="E450" s="5" t="s">
        <v>999</v>
      </c>
      <c r="F450" s="5" t="s">
        <v>954</v>
      </c>
      <c r="G450" s="5" t="s">
        <v>955</v>
      </c>
      <c r="H450" s="6">
        <f t="shared" si="93"/>
        <v>17914.736842105252</v>
      </c>
      <c r="I450" s="6">
        <f t="shared" si="89"/>
        <v>130417.26315789475</v>
      </c>
      <c r="J450" s="6">
        <v>24779.279999999999</v>
      </c>
      <c r="K450" s="6">
        <v>0</v>
      </c>
      <c r="L450" s="6">
        <v>0</v>
      </c>
      <c r="M450" s="6">
        <f t="shared" si="97"/>
        <v>148332</v>
      </c>
      <c r="N450" s="6">
        <f>J450+L450</f>
        <v>24779.279999999999</v>
      </c>
      <c r="O450" s="6">
        <f t="shared" si="90"/>
        <v>173111.28</v>
      </c>
      <c r="P450" s="6">
        <v>173111.28</v>
      </c>
      <c r="Q450" s="6">
        <v>0</v>
      </c>
      <c r="R450" s="6">
        <f t="shared" si="96"/>
        <v>0</v>
      </c>
      <c r="S450" s="5"/>
      <c r="T450"/>
      <c r="U450" s="5"/>
      <c r="V450" s="5"/>
    </row>
    <row r="451" spans="2:22" s="7" customFormat="1" x14ac:dyDescent="0.3">
      <c r="B451" s="5" t="s">
        <v>16</v>
      </c>
      <c r="C451" s="5" t="s">
        <v>1000</v>
      </c>
      <c r="D451" s="5" t="s">
        <v>953</v>
      </c>
      <c r="E451" s="5" t="s">
        <v>999</v>
      </c>
      <c r="F451" s="5" t="s">
        <v>954</v>
      </c>
      <c r="G451" s="5" t="s">
        <v>955</v>
      </c>
      <c r="H451" s="6">
        <f t="shared" si="93"/>
        <v>67932</v>
      </c>
      <c r="I451" s="6">
        <f t="shared" si="89"/>
        <v>0</v>
      </c>
      <c r="J451" s="6">
        <v>0</v>
      </c>
      <c r="K451" s="6">
        <v>0</v>
      </c>
      <c r="L451" s="6">
        <v>0</v>
      </c>
      <c r="M451" s="6">
        <f t="shared" si="97"/>
        <v>67932</v>
      </c>
      <c r="N451" s="6">
        <f>J451+L451</f>
        <v>0</v>
      </c>
      <c r="O451" s="6">
        <f t="shared" si="90"/>
        <v>67932</v>
      </c>
      <c r="P451" s="6">
        <v>67932</v>
      </c>
      <c r="Q451" s="6">
        <v>0</v>
      </c>
      <c r="R451" s="6">
        <f t="shared" si="96"/>
        <v>0</v>
      </c>
      <c r="S451"/>
      <c r="T451"/>
      <c r="U451" s="5"/>
      <c r="V451" s="5"/>
    </row>
    <row r="452" spans="2:22" s="7" customFormat="1" x14ac:dyDescent="0.3">
      <c r="B452" s="5" t="s">
        <v>16</v>
      </c>
      <c r="C452" s="5" t="s">
        <v>1001</v>
      </c>
      <c r="D452" s="5" t="s">
        <v>953</v>
      </c>
      <c r="E452" s="5" t="s">
        <v>1002</v>
      </c>
      <c r="F452" s="5" t="s">
        <v>954</v>
      </c>
      <c r="G452" s="5" t="s">
        <v>955</v>
      </c>
      <c r="H452" s="6">
        <f t="shared" si="93"/>
        <v>0</v>
      </c>
      <c r="I452" s="6">
        <f t="shared" si="89"/>
        <v>89135</v>
      </c>
      <c r="J452" s="6">
        <v>16935.650000000001</v>
      </c>
      <c r="K452" s="6">
        <v>0</v>
      </c>
      <c r="L452" s="6">
        <v>0</v>
      </c>
      <c r="M452" s="6">
        <f t="shared" si="97"/>
        <v>89135</v>
      </c>
      <c r="N452" s="6">
        <f>J452+L452</f>
        <v>16935.650000000001</v>
      </c>
      <c r="O452" s="6">
        <f t="shared" si="90"/>
        <v>106070.65</v>
      </c>
      <c r="P452" s="6">
        <v>106070.65</v>
      </c>
      <c r="Q452" s="6">
        <v>0</v>
      </c>
      <c r="R452" s="6">
        <f t="shared" si="96"/>
        <v>0</v>
      </c>
      <c r="S452"/>
      <c r="T452"/>
      <c r="U452"/>
      <c r="V452"/>
    </row>
    <row r="453" spans="2:22" s="7" customFormat="1" x14ac:dyDescent="0.3">
      <c r="B453" s="5" t="s">
        <v>16</v>
      </c>
      <c r="C453" s="5" t="s">
        <v>1003</v>
      </c>
      <c r="D453" s="5" t="s">
        <v>957</v>
      </c>
      <c r="E453" s="5" t="s">
        <v>1002</v>
      </c>
      <c r="F453" s="5" t="s">
        <v>954</v>
      </c>
      <c r="G453" s="5" t="s">
        <v>955</v>
      </c>
      <c r="H453" s="6">
        <f t="shared" si="93"/>
        <v>0</v>
      </c>
      <c r="I453" s="6">
        <f t="shared" si="89"/>
        <v>87742</v>
      </c>
      <c r="J453" s="6">
        <v>16670.98</v>
      </c>
      <c r="K453" s="6">
        <v>0</v>
      </c>
      <c r="L453" s="6">
        <v>0</v>
      </c>
      <c r="M453" s="6">
        <f t="shared" si="97"/>
        <v>87742</v>
      </c>
      <c r="N453" s="6">
        <f>J453+L453</f>
        <v>16670.98</v>
      </c>
      <c r="O453" s="6">
        <f t="shared" si="90"/>
        <v>104412.98</v>
      </c>
      <c r="P453" s="6">
        <v>104412.98</v>
      </c>
      <c r="Q453" s="6">
        <v>0</v>
      </c>
      <c r="R453" s="6">
        <f t="shared" si="96"/>
        <v>0</v>
      </c>
      <c r="S453" s="5"/>
      <c r="T453"/>
      <c r="U453"/>
      <c r="V453"/>
    </row>
    <row r="454" spans="2:22" s="7" customFormat="1" x14ac:dyDescent="0.3">
      <c r="B454" s="5" t="s">
        <v>16</v>
      </c>
      <c r="C454" s="5" t="s">
        <v>1004</v>
      </c>
      <c r="D454" s="5" t="s">
        <v>957</v>
      </c>
      <c r="E454" s="5" t="s">
        <v>298</v>
      </c>
      <c r="F454" s="5" t="s">
        <v>954</v>
      </c>
      <c r="G454" s="5" t="s">
        <v>955</v>
      </c>
      <c r="H454" s="6">
        <f t="shared" si="93"/>
        <v>0</v>
      </c>
      <c r="I454" s="6">
        <f t="shared" si="89"/>
        <v>58875</v>
      </c>
      <c r="J454" s="6">
        <v>11186.25</v>
      </c>
      <c r="K454" s="6">
        <v>0</v>
      </c>
      <c r="L454" s="6">
        <v>0</v>
      </c>
      <c r="M454" s="6">
        <f t="shared" si="97"/>
        <v>58875</v>
      </c>
      <c r="N454" s="6">
        <f t="shared" ref="N454:N515" si="98">+J454+L454</f>
        <v>11186.25</v>
      </c>
      <c r="O454" s="6">
        <f t="shared" si="90"/>
        <v>70061.25</v>
      </c>
      <c r="P454" s="6">
        <v>70061.25</v>
      </c>
      <c r="Q454" s="6">
        <v>0</v>
      </c>
      <c r="R454" s="6">
        <f t="shared" si="96"/>
        <v>0</v>
      </c>
      <c r="S454" s="5"/>
      <c r="T454"/>
      <c r="U454"/>
      <c r="V454"/>
    </row>
    <row r="455" spans="2:22" s="7" customFormat="1" x14ac:dyDescent="0.3">
      <c r="B455" s="5" t="s">
        <v>16</v>
      </c>
      <c r="C455" s="5" t="s">
        <v>1005</v>
      </c>
      <c r="D455" s="5" t="s">
        <v>957</v>
      </c>
      <c r="E455" s="5" t="s">
        <v>749</v>
      </c>
      <c r="F455" s="5" t="s">
        <v>954</v>
      </c>
      <c r="G455" s="5" t="s">
        <v>955</v>
      </c>
      <c r="H455" s="6">
        <f t="shared" si="93"/>
        <v>0</v>
      </c>
      <c r="I455" s="6">
        <f t="shared" si="89"/>
        <v>16550</v>
      </c>
      <c r="J455" s="6">
        <v>3144.5</v>
      </c>
      <c r="K455" s="6">
        <v>0</v>
      </c>
      <c r="L455" s="6">
        <v>0</v>
      </c>
      <c r="M455" s="6">
        <f t="shared" si="97"/>
        <v>16550</v>
      </c>
      <c r="N455" s="6">
        <f t="shared" si="98"/>
        <v>3144.5</v>
      </c>
      <c r="O455" s="6">
        <f t="shared" si="90"/>
        <v>19694.5</v>
      </c>
      <c r="P455" s="6">
        <v>19694.5</v>
      </c>
      <c r="Q455" s="6">
        <v>0</v>
      </c>
      <c r="R455" s="6">
        <f t="shared" si="96"/>
        <v>0</v>
      </c>
      <c r="S455" s="5"/>
      <c r="T455"/>
      <c r="U455"/>
      <c r="V455"/>
    </row>
    <row r="456" spans="2:22" s="7" customFormat="1" x14ac:dyDescent="0.3">
      <c r="B456" s="5" t="s">
        <v>16</v>
      </c>
      <c r="C456" s="5" t="s">
        <v>1006</v>
      </c>
      <c r="D456" s="5" t="s">
        <v>953</v>
      </c>
      <c r="E456" s="5" t="s">
        <v>713</v>
      </c>
      <c r="F456" s="5" t="s">
        <v>954</v>
      </c>
      <c r="G456" s="5" t="s">
        <v>955</v>
      </c>
      <c r="H456" s="6">
        <f t="shared" si="93"/>
        <v>83115</v>
      </c>
      <c r="I456" s="6">
        <f t="shared" si="89"/>
        <v>12336.000000000002</v>
      </c>
      <c r="J456" s="6">
        <v>2343.84</v>
      </c>
      <c r="K456" s="6">
        <v>0</v>
      </c>
      <c r="L456" s="6">
        <v>0</v>
      </c>
      <c r="M456" s="6">
        <f t="shared" si="97"/>
        <v>95451</v>
      </c>
      <c r="N456" s="6">
        <f t="shared" si="98"/>
        <v>2343.84</v>
      </c>
      <c r="O456" s="6">
        <f t="shared" si="90"/>
        <v>97794.84</v>
      </c>
      <c r="P456" s="6">
        <v>97794.84</v>
      </c>
      <c r="Q456" s="6">
        <v>0</v>
      </c>
      <c r="R456" s="6">
        <f t="shared" si="96"/>
        <v>0</v>
      </c>
      <c r="S456" s="5"/>
      <c r="T456"/>
      <c r="U456" s="5"/>
      <c r="V456" s="5"/>
    </row>
    <row r="457" spans="2:22" s="7" customFormat="1" x14ac:dyDescent="0.3">
      <c r="B457" s="5" t="s">
        <v>16</v>
      </c>
      <c r="C457" s="5" t="s">
        <v>1007</v>
      </c>
      <c r="D457" s="5" t="s">
        <v>953</v>
      </c>
      <c r="E457" s="5" t="s">
        <v>177</v>
      </c>
      <c r="F457" s="5" t="s">
        <v>954</v>
      </c>
      <c r="G457" s="5" t="s">
        <v>955</v>
      </c>
      <c r="H457" s="6">
        <f t="shared" si="93"/>
        <v>71727</v>
      </c>
      <c r="I457" s="6">
        <f t="shared" si="89"/>
        <v>85341.000000000015</v>
      </c>
      <c r="J457" s="6">
        <v>16214.79</v>
      </c>
      <c r="K457" s="6">
        <v>0</v>
      </c>
      <c r="L457" s="6">
        <v>0</v>
      </c>
      <c r="M457" s="6">
        <f t="shared" si="97"/>
        <v>157068</v>
      </c>
      <c r="N457" s="6">
        <f t="shared" si="98"/>
        <v>16214.79</v>
      </c>
      <c r="O457" s="6">
        <f t="shared" si="90"/>
        <v>173282.79</v>
      </c>
      <c r="P457" s="6">
        <v>173282.79</v>
      </c>
      <c r="Q457" s="6">
        <v>0</v>
      </c>
      <c r="R457" s="6">
        <f t="shared" si="96"/>
        <v>0</v>
      </c>
      <c r="S457" s="5"/>
      <c r="T457"/>
      <c r="U457" s="5"/>
      <c r="V457" s="5"/>
    </row>
    <row r="458" spans="2:22" s="7" customFormat="1" x14ac:dyDescent="0.3">
      <c r="B458" s="5" t="s">
        <v>16</v>
      </c>
      <c r="C458" s="5" t="s">
        <v>1008</v>
      </c>
      <c r="D458" s="5" t="s">
        <v>957</v>
      </c>
      <c r="E458" s="5" t="s">
        <v>177</v>
      </c>
      <c r="F458" s="5" t="s">
        <v>954</v>
      </c>
      <c r="G458" s="5" t="s">
        <v>955</v>
      </c>
      <c r="H458" s="6">
        <f t="shared" si="93"/>
        <v>10234.736842105269</v>
      </c>
      <c r="I458" s="6">
        <f t="shared" si="89"/>
        <v>83937.263157894733</v>
      </c>
      <c r="J458" s="6">
        <v>15948.08</v>
      </c>
      <c r="K458" s="6">
        <v>0</v>
      </c>
      <c r="L458" s="6">
        <v>0</v>
      </c>
      <c r="M458" s="6">
        <f t="shared" si="97"/>
        <v>94172</v>
      </c>
      <c r="N458" s="6">
        <f t="shared" si="98"/>
        <v>15948.08</v>
      </c>
      <c r="O458" s="6">
        <f t="shared" si="90"/>
        <v>110120.08</v>
      </c>
      <c r="P458" s="6">
        <v>110120.08</v>
      </c>
      <c r="Q458" s="6">
        <v>0</v>
      </c>
      <c r="R458" s="6">
        <f t="shared" si="96"/>
        <v>0</v>
      </c>
      <c r="S458" s="5"/>
      <c r="T458"/>
      <c r="U458" s="5"/>
      <c r="V458" s="5"/>
    </row>
    <row r="459" spans="2:22" x14ac:dyDescent="0.3">
      <c r="B459" s="5" t="s">
        <v>16</v>
      </c>
      <c r="C459" s="5" t="s">
        <v>1009</v>
      </c>
      <c r="D459" s="5" t="s">
        <v>953</v>
      </c>
      <c r="E459" s="5" t="s">
        <v>332</v>
      </c>
      <c r="F459" s="5" t="s">
        <v>954</v>
      </c>
      <c r="G459" s="5" t="s">
        <v>955</v>
      </c>
      <c r="H459" s="6">
        <f t="shared" si="93"/>
        <v>-7758.0000000000109</v>
      </c>
      <c r="I459" s="6">
        <f t="shared" si="89"/>
        <v>124339.00000000001</v>
      </c>
      <c r="J459" s="6">
        <v>23624.41</v>
      </c>
      <c r="K459" s="6">
        <v>0</v>
      </c>
      <c r="L459" s="6">
        <v>0</v>
      </c>
      <c r="M459" s="6">
        <f t="shared" si="97"/>
        <v>116581</v>
      </c>
      <c r="N459" s="6">
        <f t="shared" si="98"/>
        <v>23624.41</v>
      </c>
      <c r="O459" s="6">
        <f t="shared" si="90"/>
        <v>140205.41</v>
      </c>
      <c r="P459" s="6">
        <v>140205.41</v>
      </c>
      <c r="Q459" s="6">
        <v>0</v>
      </c>
      <c r="R459" s="6">
        <f t="shared" si="96"/>
        <v>0</v>
      </c>
      <c r="S459" s="5"/>
      <c r="U459" s="5"/>
      <c r="V459" s="5"/>
    </row>
    <row r="460" spans="2:22" x14ac:dyDescent="0.3">
      <c r="B460" s="5" t="s">
        <v>16</v>
      </c>
      <c r="C460" s="5" t="s">
        <v>1010</v>
      </c>
      <c r="D460" s="5" t="s">
        <v>957</v>
      </c>
      <c r="E460" s="5" t="s">
        <v>332</v>
      </c>
      <c r="F460" s="5" t="s">
        <v>954</v>
      </c>
      <c r="G460" s="5" t="s">
        <v>955</v>
      </c>
      <c r="H460" s="6">
        <f t="shared" si="93"/>
        <v>15235.736842105267</v>
      </c>
      <c r="I460" s="6">
        <f t="shared" si="89"/>
        <v>38617.263157894733</v>
      </c>
      <c r="J460" s="6">
        <v>7337.28</v>
      </c>
      <c r="K460" s="6">
        <v>0</v>
      </c>
      <c r="L460" s="6">
        <v>0</v>
      </c>
      <c r="M460" s="6">
        <f t="shared" si="97"/>
        <v>53853</v>
      </c>
      <c r="N460" s="6">
        <f t="shared" si="98"/>
        <v>7337.28</v>
      </c>
      <c r="O460" s="6">
        <f t="shared" si="90"/>
        <v>61190.28</v>
      </c>
      <c r="P460" s="6">
        <v>61190.28</v>
      </c>
      <c r="Q460" s="6">
        <v>0</v>
      </c>
      <c r="R460" s="6">
        <f t="shared" si="96"/>
        <v>0</v>
      </c>
      <c r="S460" s="5"/>
      <c r="U460" s="5"/>
      <c r="V460" s="5"/>
    </row>
    <row r="461" spans="2:22" x14ac:dyDescent="0.3">
      <c r="B461" s="5" t="s">
        <v>16</v>
      </c>
      <c r="C461" s="5" t="s">
        <v>1011</v>
      </c>
      <c r="D461" s="5" t="s">
        <v>953</v>
      </c>
      <c r="E461" s="5" t="s">
        <v>1012</v>
      </c>
      <c r="F461" s="5" t="s">
        <v>954</v>
      </c>
      <c r="G461" s="5" t="s">
        <v>955</v>
      </c>
      <c r="H461" s="6">
        <f t="shared" si="93"/>
        <v>67932</v>
      </c>
      <c r="I461" s="6">
        <f t="shared" si="89"/>
        <v>5500</v>
      </c>
      <c r="J461" s="6">
        <v>1045</v>
      </c>
      <c r="K461" s="6">
        <v>0</v>
      </c>
      <c r="L461" s="6">
        <v>0</v>
      </c>
      <c r="M461" s="6">
        <f t="shared" si="97"/>
        <v>73432</v>
      </c>
      <c r="N461" s="6">
        <f t="shared" si="98"/>
        <v>1045</v>
      </c>
      <c r="O461" s="6">
        <f t="shared" si="90"/>
        <v>74477</v>
      </c>
      <c r="P461" s="6">
        <v>74477</v>
      </c>
      <c r="Q461" s="6">
        <v>0</v>
      </c>
      <c r="R461" s="6">
        <f t="shared" si="96"/>
        <v>0</v>
      </c>
      <c r="S461" s="5"/>
      <c r="U461" s="5"/>
      <c r="V461" s="5"/>
    </row>
    <row r="462" spans="2:22" s="7" customFormat="1" x14ac:dyDescent="0.3">
      <c r="B462" s="5" t="s">
        <v>16</v>
      </c>
      <c r="C462" s="5" t="s">
        <v>1013</v>
      </c>
      <c r="D462" s="5" t="s">
        <v>953</v>
      </c>
      <c r="E462" s="5" t="s">
        <v>1014</v>
      </c>
      <c r="F462" s="5" t="s">
        <v>954</v>
      </c>
      <c r="G462" s="5" t="s">
        <v>955</v>
      </c>
      <c r="H462" s="6">
        <f t="shared" si="93"/>
        <v>0</v>
      </c>
      <c r="I462" s="6">
        <f t="shared" si="89"/>
        <v>28164</v>
      </c>
      <c r="J462" s="6">
        <v>5351.16</v>
      </c>
      <c r="K462" s="6">
        <v>0</v>
      </c>
      <c r="L462" s="6">
        <v>0</v>
      </c>
      <c r="M462" s="6">
        <f t="shared" si="97"/>
        <v>28164</v>
      </c>
      <c r="N462" s="6">
        <f t="shared" si="98"/>
        <v>5351.16</v>
      </c>
      <c r="O462" s="6">
        <f t="shared" si="90"/>
        <v>33515.160000000003</v>
      </c>
      <c r="P462" s="6">
        <v>33515.160000000003</v>
      </c>
      <c r="Q462" s="6">
        <v>0</v>
      </c>
      <c r="R462" s="6">
        <f t="shared" si="96"/>
        <v>0</v>
      </c>
      <c r="S462" s="5"/>
      <c r="T462"/>
      <c r="U462" s="5"/>
      <c r="V462" s="5"/>
    </row>
    <row r="463" spans="2:22" s="7" customFormat="1" x14ac:dyDescent="0.3">
      <c r="B463" s="5" t="s">
        <v>16</v>
      </c>
      <c r="C463" s="5" t="s">
        <v>1015</v>
      </c>
      <c r="D463" s="5" t="s">
        <v>957</v>
      </c>
      <c r="E463" s="5" t="s">
        <v>397</v>
      </c>
      <c r="F463" s="5" t="s">
        <v>954</v>
      </c>
      <c r="G463" s="5" t="s">
        <v>955</v>
      </c>
      <c r="H463" s="6">
        <f t="shared" si="93"/>
        <v>0</v>
      </c>
      <c r="I463" s="6">
        <f t="shared" si="89"/>
        <v>51091.999999999993</v>
      </c>
      <c r="J463" s="6">
        <v>9707.48</v>
      </c>
      <c r="K463" s="6">
        <v>0</v>
      </c>
      <c r="L463" s="6">
        <v>0</v>
      </c>
      <c r="M463" s="6">
        <f t="shared" si="97"/>
        <v>51091.999999999993</v>
      </c>
      <c r="N463" s="6">
        <f t="shared" si="98"/>
        <v>9707.48</v>
      </c>
      <c r="O463" s="6">
        <f t="shared" si="90"/>
        <v>60799.479999999996</v>
      </c>
      <c r="P463" s="6">
        <v>60799.48</v>
      </c>
      <c r="Q463" s="6">
        <v>0</v>
      </c>
      <c r="R463" s="6">
        <f t="shared" si="96"/>
        <v>0</v>
      </c>
      <c r="S463" s="5"/>
      <c r="T463"/>
      <c r="U463" s="5"/>
      <c r="V463" s="5"/>
    </row>
    <row r="464" spans="2:22" s="7" customFormat="1" x14ac:dyDescent="0.3">
      <c r="B464" s="5" t="s">
        <v>16</v>
      </c>
      <c r="C464" s="5" t="s">
        <v>1016</v>
      </c>
      <c r="D464" s="5" t="s">
        <v>953</v>
      </c>
      <c r="E464" s="5" t="s">
        <v>397</v>
      </c>
      <c r="F464" s="5" t="s">
        <v>954</v>
      </c>
      <c r="G464" s="5" t="s">
        <v>955</v>
      </c>
      <c r="H464" s="6">
        <f t="shared" si="93"/>
        <v>42821</v>
      </c>
      <c r="I464" s="6">
        <f t="shared" si="89"/>
        <v>70980</v>
      </c>
      <c r="J464" s="6">
        <v>13486.2</v>
      </c>
      <c r="K464" s="6">
        <v>0</v>
      </c>
      <c r="L464" s="6">
        <v>0</v>
      </c>
      <c r="M464" s="6">
        <f t="shared" si="97"/>
        <v>113801</v>
      </c>
      <c r="N464" s="6">
        <f t="shared" si="98"/>
        <v>13486.2</v>
      </c>
      <c r="O464" s="6">
        <f t="shared" si="90"/>
        <v>127287.2</v>
      </c>
      <c r="P464" s="6">
        <v>127287.2</v>
      </c>
      <c r="Q464" s="6">
        <v>0</v>
      </c>
      <c r="R464" s="6">
        <f t="shared" si="96"/>
        <v>0</v>
      </c>
      <c r="S464" s="5"/>
      <c r="T464"/>
      <c r="U464"/>
      <c r="V464"/>
    </row>
    <row r="465" spans="2:22" s="7" customFormat="1" x14ac:dyDescent="0.3">
      <c r="B465" s="5" t="s">
        <v>16</v>
      </c>
      <c r="C465" s="5" t="s">
        <v>1017</v>
      </c>
      <c r="D465" s="5" t="s">
        <v>953</v>
      </c>
      <c r="E465" s="5" t="s">
        <v>133</v>
      </c>
      <c r="F465" s="5" t="s">
        <v>954</v>
      </c>
      <c r="G465" s="5" t="s">
        <v>955</v>
      </c>
      <c r="H465" s="6">
        <f t="shared" si="93"/>
        <v>92048.999999999971</v>
      </c>
      <c r="I465" s="6">
        <f t="shared" si="89"/>
        <v>148589</v>
      </c>
      <c r="J465" s="6">
        <v>28231.91</v>
      </c>
      <c r="K465" s="6">
        <v>0</v>
      </c>
      <c r="L465" s="6">
        <v>0</v>
      </c>
      <c r="M465" s="6">
        <f t="shared" si="97"/>
        <v>240637.99999999997</v>
      </c>
      <c r="N465" s="6">
        <f t="shared" si="98"/>
        <v>28231.91</v>
      </c>
      <c r="O465" s="6">
        <f t="shared" si="90"/>
        <v>268869.90999999997</v>
      </c>
      <c r="P465" s="6">
        <v>268869.90999999997</v>
      </c>
      <c r="Q465" s="6">
        <v>0</v>
      </c>
      <c r="R465" s="6">
        <f t="shared" si="96"/>
        <v>0</v>
      </c>
      <c r="S465"/>
      <c r="T465"/>
      <c r="U465"/>
      <c r="V465"/>
    </row>
    <row r="466" spans="2:22" s="7" customFormat="1" x14ac:dyDescent="0.3">
      <c r="B466" s="5" t="s">
        <v>16</v>
      </c>
      <c r="C466" s="5" t="s">
        <v>1018</v>
      </c>
      <c r="D466" s="5" t="s">
        <v>957</v>
      </c>
      <c r="E466" s="5" t="s">
        <v>133</v>
      </c>
      <c r="F466" s="5" t="s">
        <v>954</v>
      </c>
      <c r="G466" s="5" t="s">
        <v>955</v>
      </c>
      <c r="H466" s="6">
        <f t="shared" si="93"/>
        <v>0</v>
      </c>
      <c r="I466" s="6">
        <f t="shared" si="89"/>
        <v>46810</v>
      </c>
      <c r="J466" s="6">
        <v>8893.9</v>
      </c>
      <c r="K466" s="6">
        <v>0</v>
      </c>
      <c r="L466" s="6">
        <v>0</v>
      </c>
      <c r="M466" s="6">
        <f t="shared" si="97"/>
        <v>46810</v>
      </c>
      <c r="N466" s="6">
        <f t="shared" si="98"/>
        <v>8893.9</v>
      </c>
      <c r="O466" s="6">
        <f t="shared" si="90"/>
        <v>55703.9</v>
      </c>
      <c r="P466" s="6">
        <v>55703.9</v>
      </c>
      <c r="Q466" s="6">
        <v>0</v>
      </c>
      <c r="R466" s="6">
        <f t="shared" si="96"/>
        <v>0</v>
      </c>
      <c r="S466" s="5"/>
      <c r="T466"/>
      <c r="U466" s="5"/>
      <c r="V466" s="5"/>
    </row>
    <row r="467" spans="2:22" s="7" customFormat="1" x14ac:dyDescent="0.3">
      <c r="B467" s="5" t="s">
        <v>16</v>
      </c>
      <c r="C467" s="5" t="s">
        <v>1019</v>
      </c>
      <c r="D467" s="5" t="s">
        <v>957</v>
      </c>
      <c r="E467" s="5" t="s">
        <v>740</v>
      </c>
      <c r="F467" s="5" t="s">
        <v>954</v>
      </c>
      <c r="G467" s="5" t="s">
        <v>955</v>
      </c>
      <c r="H467" s="6">
        <f t="shared" si="93"/>
        <v>0</v>
      </c>
      <c r="I467" s="6">
        <f t="shared" si="89"/>
        <v>56766.999999999993</v>
      </c>
      <c r="J467" s="6">
        <v>10785.73</v>
      </c>
      <c r="K467" s="6">
        <v>0</v>
      </c>
      <c r="L467" s="6">
        <v>0</v>
      </c>
      <c r="M467" s="6">
        <f t="shared" si="97"/>
        <v>56766.999999999993</v>
      </c>
      <c r="N467" s="6">
        <f t="shared" si="98"/>
        <v>10785.73</v>
      </c>
      <c r="O467" s="6">
        <f t="shared" si="90"/>
        <v>67552.73</v>
      </c>
      <c r="P467" s="6">
        <v>67552.73</v>
      </c>
      <c r="Q467" s="6">
        <v>0</v>
      </c>
      <c r="R467" s="6">
        <f t="shared" si="96"/>
        <v>0</v>
      </c>
      <c r="S467" s="5"/>
      <c r="T467"/>
      <c r="U467" s="5"/>
      <c r="V467" s="5"/>
    </row>
    <row r="468" spans="2:22" s="7" customFormat="1" x14ac:dyDescent="0.3">
      <c r="B468" s="5" t="s">
        <v>16</v>
      </c>
      <c r="C468" s="5" t="s">
        <v>1020</v>
      </c>
      <c r="D468" s="5" t="s">
        <v>953</v>
      </c>
      <c r="E468" s="5" t="s">
        <v>740</v>
      </c>
      <c r="F468" s="5" t="s">
        <v>954</v>
      </c>
      <c r="G468" s="5" t="s">
        <v>955</v>
      </c>
      <c r="H468" s="6">
        <f t="shared" si="93"/>
        <v>67932</v>
      </c>
      <c r="I468" s="6">
        <f t="shared" si="89"/>
        <v>0</v>
      </c>
      <c r="J468" s="6">
        <v>0</v>
      </c>
      <c r="K468" s="6">
        <v>0</v>
      </c>
      <c r="L468" s="6">
        <v>0</v>
      </c>
      <c r="M468" s="6">
        <f t="shared" si="97"/>
        <v>67932</v>
      </c>
      <c r="N468" s="6">
        <f t="shared" si="98"/>
        <v>0</v>
      </c>
      <c r="O468" s="6">
        <f t="shared" si="90"/>
        <v>67932</v>
      </c>
      <c r="P468" s="6">
        <v>67932</v>
      </c>
      <c r="Q468" s="6">
        <v>0</v>
      </c>
      <c r="R468" s="6">
        <f t="shared" si="96"/>
        <v>0</v>
      </c>
      <c r="S468" s="5"/>
      <c r="T468"/>
      <c r="U468" s="5"/>
      <c r="V468" s="5"/>
    </row>
    <row r="469" spans="2:22" s="7" customFormat="1" x14ac:dyDescent="0.3">
      <c r="B469" s="5" t="s">
        <v>16</v>
      </c>
      <c r="C469" s="5" t="s">
        <v>1021</v>
      </c>
      <c r="D469" s="5" t="s">
        <v>957</v>
      </c>
      <c r="E469" s="5" t="s">
        <v>379</v>
      </c>
      <c r="F469" s="5" t="s">
        <v>954</v>
      </c>
      <c r="G469" s="5" t="s">
        <v>955</v>
      </c>
      <c r="H469" s="6">
        <f t="shared" si="93"/>
        <v>0</v>
      </c>
      <c r="I469" s="6">
        <f t="shared" si="89"/>
        <v>83651</v>
      </c>
      <c r="J469" s="6">
        <v>15893.69</v>
      </c>
      <c r="K469" s="6">
        <v>0</v>
      </c>
      <c r="L469" s="6">
        <v>0</v>
      </c>
      <c r="M469" s="6">
        <f t="shared" si="97"/>
        <v>83651</v>
      </c>
      <c r="N469" s="6">
        <f t="shared" si="98"/>
        <v>15893.69</v>
      </c>
      <c r="O469" s="6">
        <f t="shared" si="90"/>
        <v>99544.69</v>
      </c>
      <c r="P469" s="6">
        <v>99544.69</v>
      </c>
      <c r="Q469" s="6">
        <v>0</v>
      </c>
      <c r="R469" s="6">
        <f t="shared" si="96"/>
        <v>0</v>
      </c>
      <c r="S469" s="5"/>
      <c r="T469"/>
      <c r="U469" s="5"/>
      <c r="V469" s="5"/>
    </row>
    <row r="470" spans="2:22" s="7" customFormat="1" x14ac:dyDescent="0.3">
      <c r="B470" s="5" t="s">
        <v>16</v>
      </c>
      <c r="C470" s="5" t="s">
        <v>1022</v>
      </c>
      <c r="D470" s="5" t="s">
        <v>953</v>
      </c>
      <c r="E470" s="5" t="s">
        <v>56</v>
      </c>
      <c r="F470" s="5" t="s">
        <v>954</v>
      </c>
      <c r="G470" s="5" t="s">
        <v>955</v>
      </c>
      <c r="H470" s="6">
        <f t="shared" si="93"/>
        <v>65460</v>
      </c>
      <c r="I470" s="6">
        <f t="shared" si="89"/>
        <v>43270</v>
      </c>
      <c r="J470" s="6">
        <v>8221.2999999999993</v>
      </c>
      <c r="K470" s="6">
        <v>0</v>
      </c>
      <c r="L470" s="6">
        <v>0</v>
      </c>
      <c r="M470" s="6">
        <f t="shared" si="97"/>
        <v>108730</v>
      </c>
      <c r="N470" s="6">
        <f t="shared" si="98"/>
        <v>8221.2999999999993</v>
      </c>
      <c r="O470" s="6">
        <f t="shared" si="90"/>
        <v>116951.3</v>
      </c>
      <c r="P470" s="6">
        <v>116951.3</v>
      </c>
      <c r="Q470" s="6">
        <v>0</v>
      </c>
      <c r="R470" s="6">
        <f t="shared" si="96"/>
        <v>0</v>
      </c>
      <c r="S470" s="5"/>
      <c r="T470"/>
      <c r="U470" s="5"/>
      <c r="V470" s="5"/>
    </row>
    <row r="471" spans="2:22" s="7" customFormat="1" x14ac:dyDescent="0.3">
      <c r="B471" s="5" t="s">
        <v>16</v>
      </c>
      <c r="C471" s="5" t="s">
        <v>1023</v>
      </c>
      <c r="D471" s="5" t="s">
        <v>957</v>
      </c>
      <c r="E471" s="5" t="s">
        <v>56</v>
      </c>
      <c r="F471" s="5" t="s">
        <v>954</v>
      </c>
      <c r="G471" s="5" t="s">
        <v>955</v>
      </c>
      <c r="H471" s="6">
        <f t="shared" si="93"/>
        <v>0</v>
      </c>
      <c r="I471" s="6">
        <f t="shared" si="89"/>
        <v>90277.000000000015</v>
      </c>
      <c r="J471" s="6">
        <v>17152.63</v>
      </c>
      <c r="K471" s="6">
        <v>0</v>
      </c>
      <c r="L471" s="6">
        <v>0</v>
      </c>
      <c r="M471" s="6">
        <f t="shared" si="97"/>
        <v>90277.000000000015</v>
      </c>
      <c r="N471" s="6">
        <f t="shared" si="98"/>
        <v>17152.63</v>
      </c>
      <c r="O471" s="6">
        <f t="shared" si="90"/>
        <v>107429.63000000002</v>
      </c>
      <c r="P471" s="6">
        <v>107429.63</v>
      </c>
      <c r="Q471" s="6">
        <v>0</v>
      </c>
      <c r="R471" s="6">
        <f t="shared" si="96"/>
        <v>0</v>
      </c>
      <c r="S471"/>
      <c r="T471"/>
      <c r="U471" s="5"/>
      <c r="V471" s="5"/>
    </row>
    <row r="472" spans="2:22" s="7" customFormat="1" x14ac:dyDescent="0.3">
      <c r="B472" s="5" t="s">
        <v>16</v>
      </c>
      <c r="C472" s="5" t="s">
        <v>1024</v>
      </c>
      <c r="D472" s="5" t="s">
        <v>957</v>
      </c>
      <c r="E472" s="5" t="s">
        <v>349</v>
      </c>
      <c r="F472" s="5" t="s">
        <v>954</v>
      </c>
      <c r="G472" s="5" t="s">
        <v>955</v>
      </c>
      <c r="H472" s="6">
        <f t="shared" si="93"/>
        <v>2.1827872842550278E-11</v>
      </c>
      <c r="I472" s="6">
        <f t="shared" si="89"/>
        <v>70783.999999999985</v>
      </c>
      <c r="J472" s="6">
        <v>13448.96</v>
      </c>
      <c r="K472" s="6">
        <v>0</v>
      </c>
      <c r="L472" s="6">
        <v>0</v>
      </c>
      <c r="M472" s="6">
        <f t="shared" si="97"/>
        <v>70784</v>
      </c>
      <c r="N472" s="6">
        <f t="shared" si="98"/>
        <v>13448.96</v>
      </c>
      <c r="O472" s="6">
        <f t="shared" si="90"/>
        <v>84232.959999999992</v>
      </c>
      <c r="P472" s="6">
        <v>84232.960000000006</v>
      </c>
      <c r="Q472" s="6">
        <v>0</v>
      </c>
      <c r="R472" s="6">
        <f t="shared" si="96"/>
        <v>0</v>
      </c>
      <c r="S472" s="5"/>
      <c r="T472"/>
      <c r="U472" s="5"/>
      <c r="V472" s="5"/>
    </row>
    <row r="473" spans="2:22" s="7" customFormat="1" x14ac:dyDescent="0.3">
      <c r="B473" s="5" t="s">
        <v>16</v>
      </c>
      <c r="C473" s="5" t="s">
        <v>1025</v>
      </c>
      <c r="D473" s="5" t="s">
        <v>953</v>
      </c>
      <c r="E473" s="5" t="s">
        <v>349</v>
      </c>
      <c r="F473" s="5" t="s">
        <v>954</v>
      </c>
      <c r="G473" s="5" t="s">
        <v>955</v>
      </c>
      <c r="H473" s="6">
        <f t="shared" si="93"/>
        <v>67932</v>
      </c>
      <c r="I473" s="6">
        <f t="shared" si="89"/>
        <v>0</v>
      </c>
      <c r="J473" s="6">
        <v>0</v>
      </c>
      <c r="K473" s="6">
        <v>0</v>
      </c>
      <c r="L473" s="6">
        <v>0</v>
      </c>
      <c r="M473" s="6">
        <f t="shared" si="97"/>
        <v>67932</v>
      </c>
      <c r="N473" s="6">
        <f t="shared" si="98"/>
        <v>0</v>
      </c>
      <c r="O473" s="6">
        <f t="shared" si="90"/>
        <v>67932</v>
      </c>
      <c r="P473" s="6">
        <v>67932</v>
      </c>
      <c r="Q473" s="6">
        <v>0</v>
      </c>
      <c r="R473" s="6">
        <f t="shared" si="96"/>
        <v>0</v>
      </c>
      <c r="S473" s="5"/>
      <c r="T473"/>
      <c r="U473" s="5"/>
      <c r="V473" s="5"/>
    </row>
    <row r="474" spans="2:22" s="7" customFormat="1" x14ac:dyDescent="0.3">
      <c r="B474" s="5" t="s">
        <v>16</v>
      </c>
      <c r="C474" s="5" t="s">
        <v>1026</v>
      </c>
      <c r="D474" s="5" t="s">
        <v>953</v>
      </c>
      <c r="E474" s="5" t="s">
        <v>142</v>
      </c>
      <c r="F474" s="5" t="s">
        <v>954</v>
      </c>
      <c r="G474" s="5" t="s">
        <v>955</v>
      </c>
      <c r="H474" s="6">
        <f t="shared" si="93"/>
        <v>0</v>
      </c>
      <c r="I474" s="6">
        <f t="shared" si="89"/>
        <v>37078</v>
      </c>
      <c r="J474" s="6">
        <v>7044.82</v>
      </c>
      <c r="K474" s="6">
        <v>0</v>
      </c>
      <c r="L474" s="6">
        <v>0</v>
      </c>
      <c r="M474" s="6">
        <f t="shared" si="97"/>
        <v>37078</v>
      </c>
      <c r="N474" s="6">
        <f t="shared" si="98"/>
        <v>7044.82</v>
      </c>
      <c r="O474" s="6">
        <f t="shared" si="90"/>
        <v>44122.82</v>
      </c>
      <c r="P474" s="6">
        <v>44122.82</v>
      </c>
      <c r="Q474" s="6">
        <v>0</v>
      </c>
      <c r="R474" s="6">
        <f t="shared" si="96"/>
        <v>0</v>
      </c>
      <c r="S474" s="5"/>
      <c r="T474"/>
      <c r="U474" s="5"/>
      <c r="V474" s="5"/>
    </row>
    <row r="475" spans="2:22" s="7" customFormat="1" x14ac:dyDescent="0.3">
      <c r="B475" s="5" t="s">
        <v>16</v>
      </c>
      <c r="C475" s="5" t="s">
        <v>1027</v>
      </c>
      <c r="D475" s="5" t="s">
        <v>953</v>
      </c>
      <c r="E475" s="5" t="s">
        <v>599</v>
      </c>
      <c r="F475" s="5" t="s">
        <v>954</v>
      </c>
      <c r="G475" s="5" t="s">
        <v>955</v>
      </c>
      <c r="H475" s="6">
        <f t="shared" si="93"/>
        <v>39639</v>
      </c>
      <c r="I475" s="6">
        <f t="shared" si="89"/>
        <v>46291.999999999993</v>
      </c>
      <c r="J475" s="6">
        <v>8795.48</v>
      </c>
      <c r="K475" s="6">
        <v>0</v>
      </c>
      <c r="L475" s="6">
        <v>0</v>
      </c>
      <c r="M475" s="6">
        <f t="shared" si="97"/>
        <v>85931</v>
      </c>
      <c r="N475" s="6">
        <f t="shared" si="98"/>
        <v>8795.48</v>
      </c>
      <c r="O475" s="6">
        <f t="shared" si="90"/>
        <v>94726.48</v>
      </c>
      <c r="P475" s="6">
        <v>94726.48</v>
      </c>
      <c r="Q475" s="6">
        <v>0</v>
      </c>
      <c r="R475" s="6">
        <f t="shared" si="96"/>
        <v>0</v>
      </c>
      <c r="S475"/>
      <c r="T475"/>
      <c r="U475" s="5"/>
      <c r="V475" s="5"/>
    </row>
    <row r="476" spans="2:22" s="7" customFormat="1" x14ac:dyDescent="0.3">
      <c r="B476" s="5" t="s">
        <v>16</v>
      </c>
      <c r="C476" s="5" t="s">
        <v>1028</v>
      </c>
      <c r="D476" s="5" t="s">
        <v>957</v>
      </c>
      <c r="E476" s="5" t="s">
        <v>599</v>
      </c>
      <c r="F476" s="5" t="s">
        <v>954</v>
      </c>
      <c r="G476" s="5" t="s">
        <v>955</v>
      </c>
      <c r="H476" s="6">
        <f t="shared" si="93"/>
        <v>0</v>
      </c>
      <c r="I476" s="6">
        <f t="shared" si="89"/>
        <v>70028</v>
      </c>
      <c r="J476" s="6">
        <v>13305.32</v>
      </c>
      <c r="K476" s="6">
        <v>0</v>
      </c>
      <c r="L476" s="6">
        <v>0</v>
      </c>
      <c r="M476" s="6">
        <f t="shared" si="97"/>
        <v>70028</v>
      </c>
      <c r="N476" s="6">
        <f t="shared" si="98"/>
        <v>13305.32</v>
      </c>
      <c r="O476" s="6">
        <f t="shared" si="90"/>
        <v>83333.320000000007</v>
      </c>
      <c r="P476" s="6">
        <v>83333.320000000007</v>
      </c>
      <c r="Q476" s="6">
        <v>0</v>
      </c>
      <c r="R476" s="6">
        <f t="shared" si="96"/>
        <v>0</v>
      </c>
      <c r="S476"/>
      <c r="T476"/>
      <c r="U476" s="5"/>
      <c r="V476" s="5"/>
    </row>
    <row r="477" spans="2:22" s="7" customFormat="1" x14ac:dyDescent="0.3">
      <c r="B477" s="5" t="s">
        <v>16</v>
      </c>
      <c r="C477" s="5" t="s">
        <v>1029</v>
      </c>
      <c r="D477" s="5" t="s">
        <v>953</v>
      </c>
      <c r="E477" s="5" t="s">
        <v>404</v>
      </c>
      <c r="F477" s="5" t="s">
        <v>954</v>
      </c>
      <c r="G477" s="5" t="s">
        <v>955</v>
      </c>
      <c r="H477" s="6">
        <f t="shared" si="93"/>
        <v>35231</v>
      </c>
      <c r="I477" s="6">
        <f t="shared" si="89"/>
        <v>70230</v>
      </c>
      <c r="J477" s="6">
        <v>13343.7</v>
      </c>
      <c r="K477" s="6">
        <v>0</v>
      </c>
      <c r="L477" s="6">
        <v>0</v>
      </c>
      <c r="M477" s="6">
        <f t="shared" si="97"/>
        <v>105461</v>
      </c>
      <c r="N477" s="6">
        <f t="shared" si="98"/>
        <v>13343.7</v>
      </c>
      <c r="O477" s="6">
        <f t="shared" si="90"/>
        <v>118804.7</v>
      </c>
      <c r="P477" s="6">
        <v>118804.7</v>
      </c>
      <c r="Q477" s="6">
        <v>0</v>
      </c>
      <c r="R477" s="6">
        <f t="shared" si="96"/>
        <v>0</v>
      </c>
      <c r="S477"/>
      <c r="T477"/>
      <c r="U477" s="5"/>
      <c r="V477" s="5"/>
    </row>
    <row r="478" spans="2:22" s="7" customFormat="1" x14ac:dyDescent="0.3">
      <c r="B478" s="5" t="s">
        <v>16</v>
      </c>
      <c r="C478" s="5" t="s">
        <v>1030</v>
      </c>
      <c r="D478" s="5" t="s">
        <v>957</v>
      </c>
      <c r="E478" s="5" t="s">
        <v>869</v>
      </c>
      <c r="F478" s="5" t="s">
        <v>954</v>
      </c>
      <c r="G478" s="5" t="s">
        <v>955</v>
      </c>
      <c r="H478" s="6">
        <f t="shared" si="93"/>
        <v>0</v>
      </c>
      <c r="I478" s="6">
        <f t="shared" ref="I478:I541" si="99">+J478/19*100</f>
        <v>29282</v>
      </c>
      <c r="J478" s="6">
        <v>5563.58</v>
      </c>
      <c r="K478" s="6">
        <v>0</v>
      </c>
      <c r="L478" s="6">
        <v>0</v>
      </c>
      <c r="M478" s="6">
        <f t="shared" si="97"/>
        <v>29282</v>
      </c>
      <c r="N478" s="6">
        <f t="shared" si="98"/>
        <v>5563.58</v>
      </c>
      <c r="O478" s="6">
        <f t="shared" ref="O478:O541" si="100">+M478+N478</f>
        <v>34845.58</v>
      </c>
      <c r="P478" s="6">
        <v>34845.58</v>
      </c>
      <c r="Q478" s="6">
        <v>0</v>
      </c>
      <c r="R478" s="6">
        <f t="shared" si="96"/>
        <v>0</v>
      </c>
      <c r="S478" s="5"/>
      <c r="T478"/>
      <c r="U478" s="5"/>
      <c r="V478" s="5"/>
    </row>
    <row r="479" spans="2:22" s="7" customFormat="1" x14ac:dyDescent="0.3">
      <c r="B479" s="5" t="s">
        <v>16</v>
      </c>
      <c r="C479" s="5" t="s">
        <v>1031</v>
      </c>
      <c r="D479" s="5" t="s">
        <v>953</v>
      </c>
      <c r="E479" s="5" t="s">
        <v>1032</v>
      </c>
      <c r="F479" s="5" t="s">
        <v>954</v>
      </c>
      <c r="G479" s="5" t="s">
        <v>955</v>
      </c>
      <c r="H479" s="6">
        <f t="shared" si="93"/>
        <v>70462</v>
      </c>
      <c r="I479" s="6">
        <f t="shared" si="99"/>
        <v>23295.999999999996</v>
      </c>
      <c r="J479" s="6">
        <v>4426.24</v>
      </c>
      <c r="K479" s="6">
        <v>0</v>
      </c>
      <c r="L479" s="6">
        <v>0</v>
      </c>
      <c r="M479" s="6">
        <f t="shared" si="97"/>
        <v>93758</v>
      </c>
      <c r="N479" s="6">
        <f t="shared" si="98"/>
        <v>4426.24</v>
      </c>
      <c r="O479" s="6">
        <f t="shared" si="100"/>
        <v>98184.24</v>
      </c>
      <c r="P479" s="6">
        <v>98184.24</v>
      </c>
      <c r="Q479" s="6">
        <v>0</v>
      </c>
      <c r="R479" s="6">
        <f t="shared" si="96"/>
        <v>0</v>
      </c>
      <c r="S479"/>
      <c r="T479"/>
      <c r="U479" s="5"/>
      <c r="V479" s="5"/>
    </row>
    <row r="480" spans="2:22" s="7" customFormat="1" x14ac:dyDescent="0.3">
      <c r="B480" s="5" t="s">
        <v>16</v>
      </c>
      <c r="C480" s="5" t="s">
        <v>1033</v>
      </c>
      <c r="D480" s="5" t="s">
        <v>953</v>
      </c>
      <c r="E480" s="5" t="s">
        <v>602</v>
      </c>
      <c r="F480" s="5" t="s">
        <v>954</v>
      </c>
      <c r="G480" s="5" t="s">
        <v>955</v>
      </c>
      <c r="H480" s="6">
        <f t="shared" si="93"/>
        <v>3794.9999999999982</v>
      </c>
      <c r="I480" s="6">
        <f t="shared" si="99"/>
        <v>44752</v>
      </c>
      <c r="J480" s="6">
        <v>8502.8799999999992</v>
      </c>
      <c r="K480" s="6">
        <v>0</v>
      </c>
      <c r="L480" s="6">
        <v>0</v>
      </c>
      <c r="M480" s="6">
        <f t="shared" si="97"/>
        <v>48547</v>
      </c>
      <c r="N480" s="6">
        <f t="shared" si="98"/>
        <v>8502.8799999999992</v>
      </c>
      <c r="O480" s="6">
        <f t="shared" si="100"/>
        <v>57049.88</v>
      </c>
      <c r="P480" s="6">
        <v>57049.88</v>
      </c>
      <c r="Q480" s="6">
        <v>0</v>
      </c>
      <c r="R480" s="6">
        <f t="shared" si="96"/>
        <v>0</v>
      </c>
      <c r="S480" s="5"/>
      <c r="T480"/>
      <c r="U480" s="5"/>
      <c r="V480" s="5"/>
    </row>
    <row r="481" spans="2:22" s="7" customFormat="1" x14ac:dyDescent="0.3">
      <c r="B481" s="5" t="s">
        <v>16</v>
      </c>
      <c r="C481" s="5" t="s">
        <v>1034</v>
      </c>
      <c r="D481" s="5" t="s">
        <v>957</v>
      </c>
      <c r="E481" s="5" t="s">
        <v>602</v>
      </c>
      <c r="F481" s="5" t="s">
        <v>954</v>
      </c>
      <c r="G481" s="5" t="s">
        <v>955</v>
      </c>
      <c r="H481" s="6">
        <f t="shared" si="93"/>
        <v>0</v>
      </c>
      <c r="I481" s="6">
        <f t="shared" si="99"/>
        <v>115395</v>
      </c>
      <c r="J481" s="6">
        <v>21925.05</v>
      </c>
      <c r="K481" s="6">
        <v>0</v>
      </c>
      <c r="L481" s="6">
        <v>0</v>
      </c>
      <c r="M481" s="6">
        <f t="shared" si="97"/>
        <v>115395</v>
      </c>
      <c r="N481" s="6">
        <f t="shared" si="98"/>
        <v>21925.05</v>
      </c>
      <c r="O481" s="6">
        <f t="shared" si="100"/>
        <v>137320.04999999999</v>
      </c>
      <c r="P481" s="6">
        <v>137320.04999999999</v>
      </c>
      <c r="Q481" s="6">
        <v>0</v>
      </c>
      <c r="R481" s="6">
        <f t="shared" si="96"/>
        <v>0</v>
      </c>
      <c r="S481" s="5"/>
      <c r="T481"/>
      <c r="U481" s="5"/>
      <c r="V481" s="5"/>
    </row>
    <row r="482" spans="2:22" s="7" customFormat="1" x14ac:dyDescent="0.3">
      <c r="B482" s="5" t="s">
        <v>16</v>
      </c>
      <c r="C482" s="5" t="s">
        <v>1035</v>
      </c>
      <c r="D482" s="5" t="s">
        <v>957</v>
      </c>
      <c r="E482" s="5" t="s">
        <v>724</v>
      </c>
      <c r="F482" s="5" t="s">
        <v>954</v>
      </c>
      <c r="G482" s="5" t="s">
        <v>955</v>
      </c>
      <c r="H482" s="6">
        <f t="shared" si="93"/>
        <v>11091</v>
      </c>
      <c r="I482" s="6">
        <f t="shared" si="99"/>
        <v>8592</v>
      </c>
      <c r="J482" s="6">
        <v>1632.48</v>
      </c>
      <c r="K482" s="6">
        <v>0</v>
      </c>
      <c r="L482" s="6">
        <v>0</v>
      </c>
      <c r="M482" s="6">
        <f t="shared" si="97"/>
        <v>19683</v>
      </c>
      <c r="N482" s="6">
        <f t="shared" si="98"/>
        <v>1632.48</v>
      </c>
      <c r="O482" s="6">
        <f t="shared" si="100"/>
        <v>21315.48</v>
      </c>
      <c r="P482" s="6">
        <v>21315.48</v>
      </c>
      <c r="Q482" s="6">
        <v>0</v>
      </c>
      <c r="R482" s="6">
        <f t="shared" si="96"/>
        <v>0</v>
      </c>
      <c r="T482"/>
      <c r="U482" s="5"/>
      <c r="V482" s="5"/>
    </row>
    <row r="483" spans="2:22" s="7" customFormat="1" x14ac:dyDescent="0.3">
      <c r="B483" s="5" t="s">
        <v>16</v>
      </c>
      <c r="C483" s="5" t="s">
        <v>1036</v>
      </c>
      <c r="D483" s="5" t="s">
        <v>957</v>
      </c>
      <c r="E483" s="5" t="s">
        <v>1037</v>
      </c>
      <c r="F483" s="5" t="s">
        <v>954</v>
      </c>
      <c r="G483" s="5" t="s">
        <v>955</v>
      </c>
      <c r="H483" s="6">
        <f t="shared" si="93"/>
        <v>0</v>
      </c>
      <c r="I483" s="6">
        <f t="shared" si="99"/>
        <v>93749.000000000015</v>
      </c>
      <c r="J483" s="6">
        <v>17812.310000000001</v>
      </c>
      <c r="K483" s="6">
        <v>0</v>
      </c>
      <c r="L483" s="6">
        <v>0</v>
      </c>
      <c r="M483" s="6">
        <f t="shared" si="97"/>
        <v>93749.000000000015</v>
      </c>
      <c r="N483" s="6">
        <f t="shared" si="98"/>
        <v>17812.310000000001</v>
      </c>
      <c r="O483" s="6">
        <f t="shared" si="100"/>
        <v>111561.31000000001</v>
      </c>
      <c r="P483" s="6">
        <v>111561.31</v>
      </c>
      <c r="Q483" s="6">
        <v>0</v>
      </c>
      <c r="R483" s="6">
        <f t="shared" si="96"/>
        <v>0</v>
      </c>
      <c r="T483"/>
      <c r="U483" s="5"/>
      <c r="V483" s="5"/>
    </row>
    <row r="484" spans="2:22" s="7" customFormat="1" x14ac:dyDescent="0.3">
      <c r="B484" s="5" t="s">
        <v>16</v>
      </c>
      <c r="C484" s="5" t="s">
        <v>1038</v>
      </c>
      <c r="D484" s="5" t="s">
        <v>957</v>
      </c>
      <c r="E484" s="5" t="s">
        <v>212</v>
      </c>
      <c r="F484" s="5" t="s">
        <v>954</v>
      </c>
      <c r="G484" s="5" t="s">
        <v>955</v>
      </c>
      <c r="H484" s="6">
        <f t="shared" si="93"/>
        <v>0</v>
      </c>
      <c r="I484" s="6">
        <f t="shared" si="99"/>
        <v>38996</v>
      </c>
      <c r="J484" s="6">
        <v>7409.24</v>
      </c>
      <c r="K484" s="6">
        <v>0</v>
      </c>
      <c r="L484" s="6">
        <v>0</v>
      </c>
      <c r="M484" s="6">
        <f t="shared" si="97"/>
        <v>38996</v>
      </c>
      <c r="N484" s="6">
        <f t="shared" si="98"/>
        <v>7409.24</v>
      </c>
      <c r="O484" s="6">
        <f t="shared" si="100"/>
        <v>46405.24</v>
      </c>
      <c r="P484" s="6">
        <v>46405.24</v>
      </c>
      <c r="Q484" s="6">
        <v>0</v>
      </c>
      <c r="R484" s="6">
        <f t="shared" si="96"/>
        <v>0</v>
      </c>
      <c r="S484" s="5"/>
      <c r="T484"/>
      <c r="U484" s="5"/>
      <c r="V484" s="5"/>
    </row>
    <row r="485" spans="2:22" s="7" customFormat="1" x14ac:dyDescent="0.3">
      <c r="B485" s="5" t="s">
        <v>16</v>
      </c>
      <c r="C485" s="5" t="s">
        <v>1039</v>
      </c>
      <c r="D485" s="5" t="s">
        <v>957</v>
      </c>
      <c r="E485" s="5" t="s">
        <v>1040</v>
      </c>
      <c r="F485" s="5" t="s">
        <v>954</v>
      </c>
      <c r="G485" s="5" t="s">
        <v>955</v>
      </c>
      <c r="H485" s="6">
        <f t="shared" si="93"/>
        <v>-2500</v>
      </c>
      <c r="I485" s="6">
        <f t="shared" si="99"/>
        <v>34050</v>
      </c>
      <c r="J485" s="6">
        <v>6469.5</v>
      </c>
      <c r="K485" s="6">
        <v>0</v>
      </c>
      <c r="L485" s="6">
        <v>0</v>
      </c>
      <c r="M485" s="6">
        <f t="shared" si="97"/>
        <v>31550</v>
      </c>
      <c r="N485" s="6">
        <f t="shared" si="98"/>
        <v>6469.5</v>
      </c>
      <c r="O485" s="6">
        <f t="shared" si="100"/>
        <v>38019.5</v>
      </c>
      <c r="P485" s="6">
        <v>38019.5</v>
      </c>
      <c r="Q485" s="6">
        <v>0</v>
      </c>
      <c r="R485" s="6">
        <f t="shared" si="96"/>
        <v>0</v>
      </c>
      <c r="S485" s="5"/>
      <c r="T485"/>
      <c r="U485" s="5"/>
      <c r="V485" s="5"/>
    </row>
    <row r="486" spans="2:22" s="7" customFormat="1" x14ac:dyDescent="0.3">
      <c r="B486" s="5" t="s">
        <v>16</v>
      </c>
      <c r="C486" s="5" t="s">
        <v>1041</v>
      </c>
      <c r="D486" s="5" t="s">
        <v>953</v>
      </c>
      <c r="E486" s="5" t="s">
        <v>1040</v>
      </c>
      <c r="F486" s="5" t="s">
        <v>954</v>
      </c>
      <c r="G486" s="5" t="s">
        <v>955</v>
      </c>
      <c r="H486" s="6">
        <f t="shared" si="93"/>
        <v>0</v>
      </c>
      <c r="I486" s="6">
        <f t="shared" si="99"/>
        <v>70899</v>
      </c>
      <c r="J486" s="6">
        <v>13470.81</v>
      </c>
      <c r="K486" s="6">
        <v>0</v>
      </c>
      <c r="L486" s="6">
        <v>0</v>
      </c>
      <c r="M486" s="6">
        <f t="shared" si="97"/>
        <v>70899</v>
      </c>
      <c r="N486" s="6">
        <f t="shared" si="98"/>
        <v>13470.81</v>
      </c>
      <c r="O486" s="6">
        <f t="shared" si="100"/>
        <v>84369.81</v>
      </c>
      <c r="P486" s="6">
        <v>84369.81</v>
      </c>
      <c r="Q486" s="6">
        <v>0</v>
      </c>
      <c r="R486" s="6">
        <f t="shared" si="96"/>
        <v>0</v>
      </c>
      <c r="S486" s="5"/>
      <c r="T486"/>
      <c r="U486" s="5"/>
      <c r="V486" s="5"/>
    </row>
    <row r="487" spans="2:22" s="7" customFormat="1" x14ac:dyDescent="0.3">
      <c r="B487" s="5" t="s">
        <v>16</v>
      </c>
      <c r="C487" s="5" t="s">
        <v>1042</v>
      </c>
      <c r="D487" s="5" t="s">
        <v>957</v>
      </c>
      <c r="E487" s="5" t="s">
        <v>418</v>
      </c>
      <c r="F487" s="5" t="s">
        <v>954</v>
      </c>
      <c r="G487" s="5" t="s">
        <v>955</v>
      </c>
      <c r="H487" s="6">
        <f t="shared" ref="H487:H492" si="101">+P487-I487-J487-K487-L487</f>
        <v>-4193.9999999999964</v>
      </c>
      <c r="I487" s="6">
        <f t="shared" si="99"/>
        <v>66533</v>
      </c>
      <c r="J487" s="6">
        <v>12641.27</v>
      </c>
      <c r="K487" s="6">
        <v>0</v>
      </c>
      <c r="L487" s="6">
        <v>0</v>
      </c>
      <c r="M487" s="6">
        <f t="shared" si="97"/>
        <v>62339</v>
      </c>
      <c r="N487" s="6">
        <f t="shared" si="98"/>
        <v>12641.27</v>
      </c>
      <c r="O487" s="6">
        <f t="shared" si="100"/>
        <v>74980.27</v>
      </c>
      <c r="P487" s="6">
        <v>74980.27</v>
      </c>
      <c r="Q487" s="6">
        <v>0</v>
      </c>
      <c r="R487" s="6">
        <f t="shared" si="96"/>
        <v>0</v>
      </c>
      <c r="S487" s="5"/>
      <c r="T487"/>
      <c r="U487" s="5"/>
      <c r="V487" s="5"/>
    </row>
    <row r="488" spans="2:22" s="5" customFormat="1" x14ac:dyDescent="0.3">
      <c r="B488" s="5" t="s">
        <v>16</v>
      </c>
      <c r="C488" s="5" t="s">
        <v>1043</v>
      </c>
      <c r="D488" s="5" t="s">
        <v>957</v>
      </c>
      <c r="E488" s="5" t="s">
        <v>1044</v>
      </c>
      <c r="F488" s="5" t="s">
        <v>954</v>
      </c>
      <c r="G488" s="5" t="s">
        <v>955</v>
      </c>
      <c r="H488" s="6">
        <f t="shared" si="101"/>
        <v>-1.8189894035458565E-12</v>
      </c>
      <c r="I488" s="6">
        <f t="shared" si="99"/>
        <v>58474</v>
      </c>
      <c r="J488" s="6">
        <v>11110.06</v>
      </c>
      <c r="K488" s="6">
        <v>0</v>
      </c>
      <c r="L488" s="6">
        <v>0</v>
      </c>
      <c r="M488" s="6">
        <f t="shared" si="97"/>
        <v>58474</v>
      </c>
      <c r="N488" s="6">
        <f t="shared" si="98"/>
        <v>11110.06</v>
      </c>
      <c r="O488" s="6">
        <f t="shared" si="100"/>
        <v>69584.06</v>
      </c>
      <c r="P488" s="6">
        <v>69584.06</v>
      </c>
      <c r="Q488" s="6">
        <v>0</v>
      </c>
      <c r="R488" s="6">
        <f t="shared" si="96"/>
        <v>0</v>
      </c>
      <c r="T488"/>
    </row>
    <row r="489" spans="2:22" s="5" customFormat="1" x14ac:dyDescent="0.3">
      <c r="B489" s="5" t="s">
        <v>16</v>
      </c>
      <c r="C489" s="5" t="s">
        <v>1045</v>
      </c>
      <c r="D489" s="5" t="s">
        <v>953</v>
      </c>
      <c r="E489" s="5" t="s">
        <v>1044</v>
      </c>
      <c r="F489" s="5" t="s">
        <v>954</v>
      </c>
      <c r="G489" s="5" t="s">
        <v>955</v>
      </c>
      <c r="H489" s="6">
        <f t="shared" si="101"/>
        <v>19800.000000000011</v>
      </c>
      <c r="I489" s="6">
        <f t="shared" si="99"/>
        <v>94354</v>
      </c>
      <c r="J489" s="6">
        <v>17927.259999999998</v>
      </c>
      <c r="K489" s="6">
        <v>0</v>
      </c>
      <c r="L489" s="6">
        <v>0</v>
      </c>
      <c r="M489" s="6">
        <f t="shared" si="97"/>
        <v>114154.00000000001</v>
      </c>
      <c r="N489" s="6">
        <f t="shared" si="98"/>
        <v>17927.259999999998</v>
      </c>
      <c r="O489" s="6">
        <f t="shared" si="100"/>
        <v>132081.26</v>
      </c>
      <c r="P489" s="6">
        <v>132081.26</v>
      </c>
      <c r="Q489" s="6">
        <v>0</v>
      </c>
      <c r="R489" s="6">
        <f t="shared" si="96"/>
        <v>0</v>
      </c>
      <c r="T489"/>
    </row>
    <row r="490" spans="2:22" s="5" customFormat="1" x14ac:dyDescent="0.3">
      <c r="B490" s="5" t="s">
        <v>16</v>
      </c>
      <c r="C490" s="5" t="s">
        <v>1046</v>
      </c>
      <c r="D490" s="5" t="s">
        <v>957</v>
      </c>
      <c r="E490" s="5" t="s">
        <v>337</v>
      </c>
      <c r="F490" s="5" t="s">
        <v>954</v>
      </c>
      <c r="G490" s="5" t="s">
        <v>955</v>
      </c>
      <c r="H490" s="6">
        <f t="shared" si="101"/>
        <v>17550.315789473701</v>
      </c>
      <c r="I490" s="6">
        <f t="shared" si="99"/>
        <v>163132.68421052629</v>
      </c>
      <c r="J490" s="6">
        <v>30995.21</v>
      </c>
      <c r="K490" s="6">
        <v>0</v>
      </c>
      <c r="L490" s="6">
        <v>0</v>
      </c>
      <c r="M490" s="6">
        <f t="shared" si="97"/>
        <v>180683</v>
      </c>
      <c r="N490" s="6">
        <f t="shared" si="98"/>
        <v>30995.21</v>
      </c>
      <c r="O490" s="6">
        <f t="shared" si="100"/>
        <v>211678.21</v>
      </c>
      <c r="P490" s="6">
        <v>211678.21</v>
      </c>
      <c r="Q490" s="6">
        <v>0</v>
      </c>
      <c r="R490" s="6">
        <f t="shared" si="96"/>
        <v>0</v>
      </c>
      <c r="T490"/>
    </row>
    <row r="491" spans="2:22" s="5" customFormat="1" x14ac:dyDescent="0.3">
      <c r="B491" s="5" t="s">
        <v>16</v>
      </c>
      <c r="C491" s="5" t="s">
        <v>1047</v>
      </c>
      <c r="D491" s="5" t="s">
        <v>953</v>
      </c>
      <c r="E491" s="5" t="s">
        <v>337</v>
      </c>
      <c r="F491" s="5" t="s">
        <v>954</v>
      </c>
      <c r="G491" s="5" t="s">
        <v>955</v>
      </c>
      <c r="H491" s="6">
        <f t="shared" si="101"/>
        <v>67931.999999999985</v>
      </c>
      <c r="I491" s="6">
        <f t="shared" si="99"/>
        <v>76432</v>
      </c>
      <c r="J491" s="6">
        <v>14522.08</v>
      </c>
      <c r="K491" s="6">
        <v>0</v>
      </c>
      <c r="L491" s="6">
        <v>0</v>
      </c>
      <c r="M491" s="6">
        <f t="shared" si="97"/>
        <v>144364</v>
      </c>
      <c r="N491" s="6">
        <f t="shared" si="98"/>
        <v>14522.08</v>
      </c>
      <c r="O491" s="6">
        <f t="shared" si="100"/>
        <v>158886.07999999999</v>
      </c>
      <c r="P491" s="6">
        <v>158886.07999999999</v>
      </c>
      <c r="Q491" s="6">
        <v>0</v>
      </c>
      <c r="R491" s="6">
        <f t="shared" si="96"/>
        <v>0</v>
      </c>
      <c r="S491" s="7"/>
      <c r="T491"/>
    </row>
    <row r="492" spans="2:22" s="5" customFormat="1" x14ac:dyDescent="0.3">
      <c r="B492" s="5" t="s">
        <v>16</v>
      </c>
      <c r="C492" s="5" t="s">
        <v>1048</v>
      </c>
      <c r="D492" s="5" t="s">
        <v>957</v>
      </c>
      <c r="E492" s="5" t="s">
        <v>885</v>
      </c>
      <c r="F492" s="5" t="s">
        <v>954</v>
      </c>
      <c r="G492" s="5" t="s">
        <v>955</v>
      </c>
      <c r="H492" s="6">
        <f t="shared" si="101"/>
        <v>5.4569682106375694E-12</v>
      </c>
      <c r="I492" s="6">
        <f t="shared" si="99"/>
        <v>60715</v>
      </c>
      <c r="J492" s="6">
        <v>11535.85</v>
      </c>
      <c r="K492" s="6">
        <v>0</v>
      </c>
      <c r="L492" s="6">
        <v>0</v>
      </c>
      <c r="M492" s="6">
        <f t="shared" si="97"/>
        <v>60715.000000000007</v>
      </c>
      <c r="N492" s="6">
        <f t="shared" si="98"/>
        <v>11535.85</v>
      </c>
      <c r="O492" s="6">
        <f t="shared" si="100"/>
        <v>72250.850000000006</v>
      </c>
      <c r="P492" s="6">
        <v>72250.850000000006</v>
      </c>
      <c r="Q492" s="6">
        <v>0</v>
      </c>
      <c r="R492" s="6">
        <f t="shared" si="96"/>
        <v>0</v>
      </c>
      <c r="T492"/>
    </row>
    <row r="493" spans="2:22" s="5" customFormat="1" x14ac:dyDescent="0.3">
      <c r="B493" s="5" t="s">
        <v>16</v>
      </c>
      <c r="C493" s="5" t="s">
        <v>1049</v>
      </c>
      <c r="D493" s="5" t="s">
        <v>957</v>
      </c>
      <c r="E493" s="5" t="s">
        <v>102</v>
      </c>
      <c r="F493" s="5" t="s">
        <v>954</v>
      </c>
      <c r="G493" s="5" t="s">
        <v>955</v>
      </c>
      <c r="H493" s="6">
        <v>0</v>
      </c>
      <c r="I493" s="6">
        <f t="shared" si="99"/>
        <v>71836</v>
      </c>
      <c r="J493" s="6">
        <v>13648.84</v>
      </c>
      <c r="K493" s="6">
        <v>0</v>
      </c>
      <c r="L493" s="6">
        <v>0</v>
      </c>
      <c r="M493" s="6">
        <f t="shared" si="97"/>
        <v>71836</v>
      </c>
      <c r="N493" s="6">
        <f t="shared" si="98"/>
        <v>13648.84</v>
      </c>
      <c r="O493" s="6">
        <f t="shared" si="100"/>
        <v>85484.84</v>
      </c>
      <c r="P493" s="6">
        <v>85484.84</v>
      </c>
      <c r="Q493" s="6">
        <v>0</v>
      </c>
      <c r="R493" s="6">
        <f t="shared" si="96"/>
        <v>0</v>
      </c>
      <c r="T493"/>
    </row>
    <row r="494" spans="2:22" s="5" customFormat="1" x14ac:dyDescent="0.3">
      <c r="B494" s="5" t="s">
        <v>16</v>
      </c>
      <c r="C494" s="5" t="s">
        <v>1050</v>
      </c>
      <c r="D494" s="5" t="s">
        <v>953</v>
      </c>
      <c r="E494" s="5" t="s">
        <v>102</v>
      </c>
      <c r="F494" s="5" t="s">
        <v>954</v>
      </c>
      <c r="G494" s="5" t="s">
        <v>955</v>
      </c>
      <c r="H494" s="6">
        <v>0</v>
      </c>
      <c r="I494" s="6">
        <f t="shared" si="99"/>
        <v>114378</v>
      </c>
      <c r="J494" s="6">
        <v>21731.82</v>
      </c>
      <c r="K494" s="6">
        <v>0</v>
      </c>
      <c r="L494" s="6">
        <v>0</v>
      </c>
      <c r="M494" s="6">
        <f t="shared" si="97"/>
        <v>114378</v>
      </c>
      <c r="N494" s="6">
        <f t="shared" si="98"/>
        <v>21731.82</v>
      </c>
      <c r="O494" s="6">
        <f t="shared" si="100"/>
        <v>136109.82</v>
      </c>
      <c r="P494" s="6">
        <v>209102.82</v>
      </c>
      <c r="Q494" s="6">
        <v>0</v>
      </c>
      <c r="R494" s="6">
        <f t="shared" si="96"/>
        <v>0</v>
      </c>
      <c r="T494"/>
    </row>
    <row r="495" spans="2:22" s="5" customFormat="1" x14ac:dyDescent="0.3">
      <c r="B495" s="5" t="s">
        <v>16</v>
      </c>
      <c r="C495" s="5" t="s">
        <v>1051</v>
      </c>
      <c r="D495" s="5" t="s">
        <v>957</v>
      </c>
      <c r="E495" s="5" t="s">
        <v>307</v>
      </c>
      <c r="F495" s="5" t="s">
        <v>954</v>
      </c>
      <c r="G495" s="5" t="s">
        <v>955</v>
      </c>
      <c r="H495" s="6">
        <v>0</v>
      </c>
      <c r="I495" s="6">
        <f t="shared" si="99"/>
        <v>55141.999999999993</v>
      </c>
      <c r="J495" s="6">
        <v>10476.98</v>
      </c>
      <c r="K495" s="6">
        <v>0</v>
      </c>
      <c r="L495" s="6">
        <v>0</v>
      </c>
      <c r="M495" s="6">
        <f t="shared" si="97"/>
        <v>55141.999999999993</v>
      </c>
      <c r="N495" s="6">
        <f t="shared" si="98"/>
        <v>10476.98</v>
      </c>
      <c r="O495" s="6">
        <f t="shared" si="100"/>
        <v>65618.98</v>
      </c>
      <c r="P495" s="6">
        <v>65618.98</v>
      </c>
      <c r="Q495" s="6">
        <v>0</v>
      </c>
      <c r="R495" s="6">
        <f t="shared" si="96"/>
        <v>0</v>
      </c>
      <c r="T495"/>
    </row>
    <row r="496" spans="2:22" s="5" customFormat="1" x14ac:dyDescent="0.3">
      <c r="B496" s="5" t="s">
        <v>16</v>
      </c>
      <c r="C496" s="5" t="s">
        <v>1052</v>
      </c>
      <c r="D496" s="5" t="s">
        <v>957</v>
      </c>
      <c r="E496" s="5" t="s">
        <v>1053</v>
      </c>
      <c r="F496" s="5" t="s">
        <v>954</v>
      </c>
      <c r="G496" s="5" t="s">
        <v>955</v>
      </c>
      <c r="H496" s="6">
        <v>0</v>
      </c>
      <c r="I496" s="6">
        <f t="shared" si="99"/>
        <v>45623</v>
      </c>
      <c r="J496" s="6">
        <v>8668.3700000000008</v>
      </c>
      <c r="K496" s="6">
        <v>0</v>
      </c>
      <c r="L496" s="6">
        <v>0</v>
      </c>
      <c r="M496" s="6">
        <f t="shared" si="97"/>
        <v>45623</v>
      </c>
      <c r="N496" s="6">
        <f t="shared" si="98"/>
        <v>8668.3700000000008</v>
      </c>
      <c r="O496" s="6">
        <f t="shared" si="100"/>
        <v>54291.37</v>
      </c>
      <c r="P496" s="6">
        <v>54291.37</v>
      </c>
      <c r="Q496" s="6">
        <v>0</v>
      </c>
      <c r="R496" s="6">
        <f t="shared" si="96"/>
        <v>0</v>
      </c>
      <c r="T496"/>
    </row>
    <row r="497" spans="2:22" s="5" customFormat="1" x14ac:dyDescent="0.3">
      <c r="B497" s="5" t="s">
        <v>16</v>
      </c>
      <c r="C497" s="5" t="s">
        <v>1054</v>
      </c>
      <c r="D497" s="5" t="s">
        <v>953</v>
      </c>
      <c r="E497" s="5" t="s">
        <v>1053</v>
      </c>
      <c r="F497" s="5" t="s">
        <v>954</v>
      </c>
      <c r="G497" s="5" t="s">
        <v>955</v>
      </c>
      <c r="H497" s="6">
        <v>0</v>
      </c>
      <c r="I497" s="6">
        <f t="shared" si="99"/>
        <v>80513</v>
      </c>
      <c r="J497" s="6">
        <v>15297.47</v>
      </c>
      <c r="K497" s="6">
        <v>0</v>
      </c>
      <c r="L497" s="6">
        <v>0</v>
      </c>
      <c r="M497" s="6">
        <f t="shared" si="97"/>
        <v>80513</v>
      </c>
      <c r="N497" s="6">
        <f t="shared" si="98"/>
        <v>15297.47</v>
      </c>
      <c r="O497" s="6">
        <f t="shared" si="100"/>
        <v>95810.47</v>
      </c>
      <c r="P497" s="6">
        <v>168803.47</v>
      </c>
      <c r="Q497" s="6">
        <v>0</v>
      </c>
      <c r="R497" s="6">
        <f t="shared" si="96"/>
        <v>0</v>
      </c>
      <c r="T497"/>
    </row>
    <row r="498" spans="2:22" s="5" customFormat="1" x14ac:dyDescent="0.3">
      <c r="B498" s="5" t="s">
        <v>16</v>
      </c>
      <c r="C498" s="5" t="s">
        <v>1055</v>
      </c>
      <c r="D498" s="5" t="s">
        <v>957</v>
      </c>
      <c r="E498" s="5" t="s">
        <v>1056</v>
      </c>
      <c r="F498" s="5" t="s">
        <v>954</v>
      </c>
      <c r="G498" s="5" t="s">
        <v>955</v>
      </c>
      <c r="H498" s="6">
        <v>0</v>
      </c>
      <c r="I498" s="6">
        <f t="shared" si="99"/>
        <v>26964</v>
      </c>
      <c r="J498" s="6">
        <v>5123.16</v>
      </c>
      <c r="K498" s="6">
        <v>0</v>
      </c>
      <c r="L498" s="6">
        <v>0</v>
      </c>
      <c r="M498" s="6">
        <f t="shared" si="97"/>
        <v>26964</v>
      </c>
      <c r="N498" s="6">
        <f t="shared" si="98"/>
        <v>5123.16</v>
      </c>
      <c r="O498" s="6">
        <f t="shared" si="100"/>
        <v>32087.16</v>
      </c>
      <c r="P498" s="6">
        <v>29523.16</v>
      </c>
      <c r="Q498" s="6">
        <v>0</v>
      </c>
      <c r="R498" s="6">
        <f t="shared" si="96"/>
        <v>0</v>
      </c>
      <c r="T498"/>
    </row>
    <row r="499" spans="2:22" s="5" customFormat="1" x14ac:dyDescent="0.3">
      <c r="B499" s="5" t="s">
        <v>16</v>
      </c>
      <c r="C499" s="5" t="s">
        <v>1057</v>
      </c>
      <c r="D499" s="5" t="s">
        <v>957</v>
      </c>
      <c r="E499" s="5" t="s">
        <v>75</v>
      </c>
      <c r="F499" s="5" t="s">
        <v>954</v>
      </c>
      <c r="G499" s="5" t="s">
        <v>955</v>
      </c>
      <c r="H499" s="6">
        <f t="shared" ref="H499:H508" si="102">+P499-I499-J499</f>
        <v>2.1827872842550278E-11</v>
      </c>
      <c r="I499" s="6">
        <f t="shared" si="99"/>
        <v>77383.999999999985</v>
      </c>
      <c r="J499" s="6">
        <v>14702.96</v>
      </c>
      <c r="K499" s="6">
        <v>0</v>
      </c>
      <c r="L499" s="6">
        <v>0</v>
      </c>
      <c r="M499" s="6">
        <f t="shared" si="97"/>
        <v>77384</v>
      </c>
      <c r="N499" s="6">
        <f t="shared" si="98"/>
        <v>14702.96</v>
      </c>
      <c r="O499" s="6">
        <f t="shared" si="100"/>
        <v>92086.959999999992</v>
      </c>
      <c r="P499" s="6">
        <v>92086.96</v>
      </c>
      <c r="Q499" s="6">
        <v>0</v>
      </c>
      <c r="R499" s="6">
        <f t="shared" si="96"/>
        <v>0</v>
      </c>
      <c r="T499"/>
    </row>
    <row r="500" spans="2:22" s="5" customFormat="1" x14ac:dyDescent="0.3">
      <c r="B500" s="5" t="s">
        <v>16</v>
      </c>
      <c r="C500" s="5" t="s">
        <v>1058</v>
      </c>
      <c r="D500" s="5" t="s">
        <v>953</v>
      </c>
      <c r="E500" s="5" t="s">
        <v>75</v>
      </c>
      <c r="F500" s="5" t="s">
        <v>954</v>
      </c>
      <c r="G500" s="5" t="s">
        <v>955</v>
      </c>
      <c r="H500" s="6">
        <f t="shared" si="102"/>
        <v>5410.0000000000146</v>
      </c>
      <c r="I500" s="6">
        <f t="shared" si="99"/>
        <v>114681</v>
      </c>
      <c r="J500" s="6">
        <v>21789.39</v>
      </c>
      <c r="K500" s="6">
        <v>0</v>
      </c>
      <c r="L500" s="6">
        <v>0</v>
      </c>
      <c r="M500" s="6">
        <f t="shared" si="97"/>
        <v>120091.00000000001</v>
      </c>
      <c r="N500" s="6">
        <f t="shared" si="98"/>
        <v>21789.39</v>
      </c>
      <c r="O500" s="6">
        <f t="shared" si="100"/>
        <v>141880.39000000001</v>
      </c>
      <c r="P500" s="6">
        <v>141880.39000000001</v>
      </c>
      <c r="Q500" s="6">
        <v>0</v>
      </c>
      <c r="R500" s="6">
        <f t="shared" ref="R500:R563" si="103">+Q500*2.5/100</f>
        <v>0</v>
      </c>
      <c r="S500"/>
      <c r="T500"/>
    </row>
    <row r="501" spans="2:22" s="5" customFormat="1" x14ac:dyDescent="0.3">
      <c r="B501" s="5" t="s">
        <v>16</v>
      </c>
      <c r="C501" s="5" t="s">
        <v>1059</v>
      </c>
      <c r="D501" s="5" t="s">
        <v>953</v>
      </c>
      <c r="E501" s="5" t="s">
        <v>1060</v>
      </c>
      <c r="F501" s="5" t="s">
        <v>954</v>
      </c>
      <c r="G501" s="5" t="s">
        <v>955</v>
      </c>
      <c r="H501" s="6">
        <f t="shared" si="102"/>
        <v>74821</v>
      </c>
      <c r="I501" s="6">
        <f t="shared" si="99"/>
        <v>91072</v>
      </c>
      <c r="J501" s="6">
        <v>17303.68</v>
      </c>
      <c r="K501" s="6">
        <v>0</v>
      </c>
      <c r="L501" s="6">
        <v>0</v>
      </c>
      <c r="M501" s="6">
        <f t="shared" ref="M501:M515" si="104">+H501+I501+K501</f>
        <v>165893</v>
      </c>
      <c r="N501" s="6">
        <f t="shared" si="98"/>
        <v>17303.68</v>
      </c>
      <c r="O501" s="6">
        <f t="shared" si="100"/>
        <v>183196.68</v>
      </c>
      <c r="P501" s="6">
        <v>183196.68</v>
      </c>
      <c r="Q501" s="6">
        <v>0</v>
      </c>
      <c r="R501" s="6">
        <f t="shared" si="103"/>
        <v>0</v>
      </c>
      <c r="S501"/>
      <c r="T501"/>
    </row>
    <row r="502" spans="2:22" x14ac:dyDescent="0.3">
      <c r="B502" s="5" t="s">
        <v>16</v>
      </c>
      <c r="C502" s="5" t="s">
        <v>1061</v>
      </c>
      <c r="D502" s="5" t="s">
        <v>957</v>
      </c>
      <c r="E502" s="5" t="s">
        <v>1060</v>
      </c>
      <c r="F502" s="5" t="s">
        <v>954</v>
      </c>
      <c r="G502" s="5" t="s">
        <v>955</v>
      </c>
      <c r="H502" s="6">
        <f t="shared" si="102"/>
        <v>0</v>
      </c>
      <c r="I502" s="6">
        <f t="shared" si="99"/>
        <v>95813.000000000015</v>
      </c>
      <c r="J502" s="6">
        <v>18204.47</v>
      </c>
      <c r="K502" s="6">
        <v>0</v>
      </c>
      <c r="L502" s="6">
        <v>0</v>
      </c>
      <c r="M502" s="6">
        <f t="shared" si="104"/>
        <v>95813.000000000015</v>
      </c>
      <c r="N502" s="6">
        <f t="shared" si="98"/>
        <v>18204.47</v>
      </c>
      <c r="O502" s="6">
        <f t="shared" si="100"/>
        <v>114017.47000000002</v>
      </c>
      <c r="P502" s="6">
        <v>114017.47</v>
      </c>
      <c r="Q502" s="6">
        <v>0</v>
      </c>
      <c r="R502" s="6">
        <f t="shared" si="103"/>
        <v>0</v>
      </c>
      <c r="U502" s="5"/>
      <c r="V502" s="5"/>
    </row>
    <row r="503" spans="2:22" s="5" customFormat="1" x14ac:dyDescent="0.3">
      <c r="B503" s="5" t="s">
        <v>16</v>
      </c>
      <c r="C503" s="5" t="s">
        <v>1062</v>
      </c>
      <c r="D503" s="5" t="s">
        <v>957</v>
      </c>
      <c r="E503" s="5" t="s">
        <v>1063</v>
      </c>
      <c r="F503" s="5" t="s">
        <v>954</v>
      </c>
      <c r="G503" s="5" t="s">
        <v>955</v>
      </c>
      <c r="H503" s="6">
        <f t="shared" si="102"/>
        <v>0</v>
      </c>
      <c r="I503" s="6">
        <f t="shared" si="99"/>
        <v>112410.00000000001</v>
      </c>
      <c r="J503" s="6">
        <v>21357.9</v>
      </c>
      <c r="K503" s="6">
        <v>0</v>
      </c>
      <c r="L503" s="6">
        <v>0</v>
      </c>
      <c r="M503" s="6">
        <f t="shared" si="104"/>
        <v>112410.00000000001</v>
      </c>
      <c r="N503" s="6">
        <f t="shared" si="98"/>
        <v>21357.9</v>
      </c>
      <c r="O503" s="6">
        <f t="shared" si="100"/>
        <v>133767.90000000002</v>
      </c>
      <c r="P503" s="6">
        <v>133767.9</v>
      </c>
      <c r="Q503" s="6">
        <v>0</v>
      </c>
      <c r="R503" s="6">
        <f t="shared" si="103"/>
        <v>0</v>
      </c>
      <c r="S503"/>
      <c r="T503"/>
    </row>
    <row r="504" spans="2:22" s="5" customFormat="1" x14ac:dyDescent="0.3">
      <c r="B504" s="5" t="s">
        <v>16</v>
      </c>
      <c r="C504" s="5" t="s">
        <v>1064</v>
      </c>
      <c r="D504" s="5" t="s">
        <v>953</v>
      </c>
      <c r="E504" s="5" t="s">
        <v>1063</v>
      </c>
      <c r="F504" s="5" t="s">
        <v>954</v>
      </c>
      <c r="G504" s="5" t="s">
        <v>955</v>
      </c>
      <c r="H504" s="6">
        <f t="shared" si="102"/>
        <v>91889.999999999985</v>
      </c>
      <c r="I504" s="6">
        <f t="shared" si="99"/>
        <v>93920</v>
      </c>
      <c r="J504" s="6">
        <v>17844.8</v>
      </c>
      <c r="K504" s="6">
        <v>0</v>
      </c>
      <c r="L504" s="6">
        <v>0</v>
      </c>
      <c r="M504" s="6">
        <f t="shared" si="104"/>
        <v>185810</v>
      </c>
      <c r="N504" s="6">
        <f t="shared" si="98"/>
        <v>17844.8</v>
      </c>
      <c r="O504" s="6">
        <f t="shared" si="100"/>
        <v>203654.8</v>
      </c>
      <c r="P504" s="6">
        <v>203654.8</v>
      </c>
      <c r="Q504" s="6">
        <v>0</v>
      </c>
      <c r="R504" s="6">
        <f t="shared" si="103"/>
        <v>0</v>
      </c>
      <c r="T504"/>
    </row>
    <row r="505" spans="2:22" s="5" customFormat="1" x14ac:dyDescent="0.3">
      <c r="B505" s="5" t="s">
        <v>16</v>
      </c>
      <c r="C505" s="5" t="s">
        <v>1065</v>
      </c>
      <c r="D505" s="5" t="s">
        <v>953</v>
      </c>
      <c r="E505" s="5" t="s">
        <v>655</v>
      </c>
      <c r="F505" s="5" t="s">
        <v>954</v>
      </c>
      <c r="G505" s="5" t="s">
        <v>955</v>
      </c>
      <c r="H505" s="6">
        <f t="shared" si="102"/>
        <v>0</v>
      </c>
      <c r="I505" s="6">
        <f t="shared" si="99"/>
        <v>3007.0000000000005</v>
      </c>
      <c r="J505" s="6">
        <v>571.33000000000004</v>
      </c>
      <c r="K505" s="6">
        <v>0</v>
      </c>
      <c r="L505" s="6">
        <v>0</v>
      </c>
      <c r="M505" s="6">
        <f t="shared" si="104"/>
        <v>3007.0000000000005</v>
      </c>
      <c r="N505" s="6">
        <f t="shared" si="98"/>
        <v>571.33000000000004</v>
      </c>
      <c r="O505" s="6">
        <f t="shared" si="100"/>
        <v>3578.3300000000004</v>
      </c>
      <c r="P505" s="6">
        <v>3578.33</v>
      </c>
      <c r="Q505" s="6">
        <v>0</v>
      </c>
      <c r="R505" s="6">
        <f t="shared" si="103"/>
        <v>0</v>
      </c>
      <c r="T505"/>
    </row>
    <row r="506" spans="2:22" s="5" customFormat="1" x14ac:dyDescent="0.3">
      <c r="B506" s="5" t="s">
        <v>16</v>
      </c>
      <c r="C506" s="5" t="s">
        <v>1066</v>
      </c>
      <c r="D506" s="5" t="s">
        <v>953</v>
      </c>
      <c r="E506" s="5" t="s">
        <v>655</v>
      </c>
      <c r="F506" s="5" t="s">
        <v>954</v>
      </c>
      <c r="G506" s="5" t="s">
        <v>955</v>
      </c>
      <c r="H506" s="6">
        <f t="shared" si="102"/>
        <v>5061</v>
      </c>
      <c r="I506" s="6">
        <f t="shared" si="99"/>
        <v>0</v>
      </c>
      <c r="J506" s="6">
        <v>0</v>
      </c>
      <c r="K506" s="6">
        <v>0</v>
      </c>
      <c r="L506" s="6">
        <v>0</v>
      </c>
      <c r="M506" s="6">
        <f t="shared" si="104"/>
        <v>5061</v>
      </c>
      <c r="N506" s="6">
        <f t="shared" si="98"/>
        <v>0</v>
      </c>
      <c r="O506" s="6">
        <f t="shared" si="100"/>
        <v>5061</v>
      </c>
      <c r="P506" s="6">
        <v>5061</v>
      </c>
      <c r="Q506" s="6">
        <v>0</v>
      </c>
      <c r="R506" s="6">
        <f t="shared" si="103"/>
        <v>0</v>
      </c>
      <c r="T506"/>
    </row>
    <row r="507" spans="2:22" s="5" customFormat="1" x14ac:dyDescent="0.3">
      <c r="B507" s="5" t="s">
        <v>16</v>
      </c>
      <c r="C507" s="5" t="s">
        <v>1067</v>
      </c>
      <c r="D507" s="5" t="s">
        <v>35</v>
      </c>
      <c r="E507" s="5" t="s">
        <v>1068</v>
      </c>
      <c r="F507" s="5" t="s">
        <v>512</v>
      </c>
      <c r="G507" s="5" t="s">
        <v>513</v>
      </c>
      <c r="H507" s="6">
        <f t="shared" si="102"/>
        <v>1.5263157780282199E-2</v>
      </c>
      <c r="I507" s="6">
        <f t="shared" si="99"/>
        <v>4712268.8947368423</v>
      </c>
      <c r="J507" s="6">
        <v>895331.09</v>
      </c>
      <c r="K507" s="6">
        <v>0</v>
      </c>
      <c r="L507" s="6">
        <v>0</v>
      </c>
      <c r="M507" s="6">
        <f t="shared" si="104"/>
        <v>4712268.91</v>
      </c>
      <c r="N507" s="6">
        <f t="shared" si="98"/>
        <v>895331.09</v>
      </c>
      <c r="O507" s="6">
        <f t="shared" si="100"/>
        <v>5607600</v>
      </c>
      <c r="P507" s="6">
        <v>5607600</v>
      </c>
      <c r="Q507" s="6">
        <f>+M507</f>
        <v>4712268.91</v>
      </c>
      <c r="R507" s="6">
        <f t="shared" si="103"/>
        <v>117806.72275</v>
      </c>
      <c r="T507"/>
    </row>
    <row r="508" spans="2:22" s="5" customFormat="1" x14ac:dyDescent="0.3">
      <c r="B508" s="5" t="s">
        <v>16</v>
      </c>
      <c r="C508" s="5" t="s">
        <v>1069</v>
      </c>
      <c r="D508" s="5" t="s">
        <v>35</v>
      </c>
      <c r="E508" s="5" t="s">
        <v>724</v>
      </c>
      <c r="F508" s="5" t="s">
        <v>512</v>
      </c>
      <c r="G508" s="5" t="s">
        <v>513</v>
      </c>
      <c r="H508" s="6">
        <f t="shared" si="102"/>
        <v>3.3157894853502512E-2</v>
      </c>
      <c r="I508" s="6">
        <f t="shared" si="99"/>
        <v>1399411.7368421052</v>
      </c>
      <c r="J508" s="6">
        <v>265888.23</v>
      </c>
      <c r="K508" s="6">
        <v>0</v>
      </c>
      <c r="L508" s="6">
        <v>0</v>
      </c>
      <c r="M508" s="6">
        <f t="shared" si="104"/>
        <v>1399411.77</v>
      </c>
      <c r="N508" s="6">
        <f t="shared" si="98"/>
        <v>265888.23</v>
      </c>
      <c r="O508" s="6">
        <f t="shared" si="100"/>
        <v>1665300</v>
      </c>
      <c r="P508" s="6">
        <v>1665300</v>
      </c>
      <c r="Q508" s="6">
        <f>+M508</f>
        <v>1399411.77</v>
      </c>
      <c r="R508" s="6">
        <f t="shared" si="103"/>
        <v>34985.294249999999</v>
      </c>
      <c r="T508"/>
    </row>
    <row r="509" spans="2:22" s="5" customFormat="1" x14ac:dyDescent="0.3">
      <c r="B509" s="5" t="s">
        <v>16</v>
      </c>
      <c r="C509" s="5" t="s">
        <v>1070</v>
      </c>
      <c r="D509" s="5" t="s">
        <v>35</v>
      </c>
      <c r="E509" s="5" t="s">
        <v>1071</v>
      </c>
      <c r="F509" s="5" t="s">
        <v>512</v>
      </c>
      <c r="G509" s="5" t="s">
        <v>513</v>
      </c>
      <c r="H509" s="6">
        <f>+P509-I509-J509-K509-L509</f>
        <v>1.2105263420380652E-2</v>
      </c>
      <c r="I509" s="6">
        <f t="shared" si="99"/>
        <v>3450420.1578947366</v>
      </c>
      <c r="J509" s="6">
        <v>655579.82999999996</v>
      </c>
      <c r="K509" s="6">
        <v>0</v>
      </c>
      <c r="L509" s="6">
        <v>0</v>
      </c>
      <c r="M509" s="6">
        <f t="shared" si="104"/>
        <v>3450420.17</v>
      </c>
      <c r="N509" s="6">
        <f t="shared" si="98"/>
        <v>655579.82999999996</v>
      </c>
      <c r="O509" s="6">
        <f t="shared" si="100"/>
        <v>4106000</v>
      </c>
      <c r="P509" s="6">
        <v>4106000</v>
      </c>
      <c r="Q509" s="6">
        <f>+M509</f>
        <v>3450420.17</v>
      </c>
      <c r="R509" s="6">
        <f t="shared" si="103"/>
        <v>86260.504250000013</v>
      </c>
      <c r="T509"/>
    </row>
    <row r="510" spans="2:22" x14ac:dyDescent="0.3">
      <c r="B510" s="5" t="s">
        <v>16</v>
      </c>
      <c r="C510" s="5" t="s">
        <v>1072</v>
      </c>
      <c r="D510" s="5" t="s">
        <v>1073</v>
      </c>
      <c r="E510" s="5" t="s">
        <v>763</v>
      </c>
      <c r="F510" s="5" t="s">
        <v>512</v>
      </c>
      <c r="G510" s="5" t="s">
        <v>513</v>
      </c>
      <c r="H510" s="6">
        <f>+P510-I510-J510-K510-L510</f>
        <v>-8.4210536442697048E-3</v>
      </c>
      <c r="I510" s="6">
        <f t="shared" si="99"/>
        <v>12334003.368421054</v>
      </c>
      <c r="J510" s="6">
        <v>2343460.64</v>
      </c>
      <c r="K510" s="6">
        <v>0</v>
      </c>
      <c r="L510" s="6">
        <v>0</v>
      </c>
      <c r="M510" s="6">
        <f t="shared" si="104"/>
        <v>12334003.359999999</v>
      </c>
      <c r="N510" s="6">
        <f t="shared" si="98"/>
        <v>2343460.64</v>
      </c>
      <c r="O510" s="6">
        <f t="shared" si="100"/>
        <v>14677464</v>
      </c>
      <c r="P510" s="6">
        <v>14677464</v>
      </c>
      <c r="Q510" s="6">
        <f>+M510</f>
        <v>12334003.359999999</v>
      </c>
      <c r="R510" s="6">
        <f t="shared" si="103"/>
        <v>308350.08399999997</v>
      </c>
      <c r="S510" s="5"/>
      <c r="V510" s="5"/>
    </row>
    <row r="511" spans="2:22" s="5" customFormat="1" x14ac:dyDescent="0.3">
      <c r="B511" s="5" t="s">
        <v>16</v>
      </c>
      <c r="C511" s="5" t="s">
        <v>1074</v>
      </c>
      <c r="D511" s="5" t="s">
        <v>35</v>
      </c>
      <c r="E511" s="5" t="s">
        <v>724</v>
      </c>
      <c r="F511" s="5" t="s">
        <v>1075</v>
      </c>
      <c r="G511" s="5" t="s">
        <v>1076</v>
      </c>
      <c r="H511" s="6">
        <f>+P511-I511-J511</f>
        <v>-0.19263157935347408</v>
      </c>
      <c r="I511" s="6">
        <f t="shared" si="99"/>
        <v>2808127.0526315793</v>
      </c>
      <c r="J511" s="6">
        <v>533544.14</v>
      </c>
      <c r="K511" s="6">
        <v>0</v>
      </c>
      <c r="L511" s="6">
        <v>0</v>
      </c>
      <c r="M511" s="6">
        <f t="shared" si="104"/>
        <v>2808126.86</v>
      </c>
      <c r="N511" s="6">
        <f t="shared" si="98"/>
        <v>533544.14</v>
      </c>
      <c r="O511" s="6">
        <f t="shared" si="100"/>
        <v>3341671</v>
      </c>
      <c r="P511" s="6">
        <v>3341671</v>
      </c>
      <c r="Q511" s="6">
        <v>0</v>
      </c>
      <c r="R511" s="6">
        <f t="shared" si="103"/>
        <v>0</v>
      </c>
      <c r="T511"/>
      <c r="U511"/>
    </row>
    <row r="512" spans="2:22" s="5" customFormat="1" x14ac:dyDescent="0.3">
      <c r="B512" s="5" t="s">
        <v>16</v>
      </c>
      <c r="C512" s="5" t="s">
        <v>1077</v>
      </c>
      <c r="D512" s="5" t="s">
        <v>1078</v>
      </c>
      <c r="E512" s="5" t="s">
        <v>1079</v>
      </c>
      <c r="F512" s="5" t="s">
        <v>197</v>
      </c>
      <c r="G512" s="5" t="s">
        <v>198</v>
      </c>
      <c r="H512" s="6">
        <f>+P512-I512-J512</f>
        <v>0</v>
      </c>
      <c r="I512" s="6">
        <f t="shared" si="99"/>
        <v>10030200</v>
      </c>
      <c r="J512" s="6">
        <v>1905738</v>
      </c>
      <c r="K512" s="6">
        <v>0</v>
      </c>
      <c r="L512" s="6">
        <v>0</v>
      </c>
      <c r="M512" s="6">
        <f t="shared" si="104"/>
        <v>10030200</v>
      </c>
      <c r="N512" s="6">
        <f t="shared" si="98"/>
        <v>1905738</v>
      </c>
      <c r="O512" s="6">
        <f t="shared" si="100"/>
        <v>11935938</v>
      </c>
      <c r="P512" s="6">
        <v>11935938</v>
      </c>
      <c r="Q512" s="6">
        <f>+M512</f>
        <v>10030200</v>
      </c>
      <c r="R512" s="6">
        <f t="shared" si="103"/>
        <v>250755</v>
      </c>
      <c r="S512"/>
      <c r="T512"/>
      <c r="U512"/>
      <c r="V512"/>
    </row>
    <row r="513" spans="2:22" s="5" customFormat="1" x14ac:dyDescent="0.3">
      <c r="B513" s="5" t="s">
        <v>16</v>
      </c>
      <c r="C513" s="5" t="s">
        <v>1080</v>
      </c>
      <c r="D513" s="5" t="s">
        <v>35</v>
      </c>
      <c r="E513" s="5" t="s">
        <v>901</v>
      </c>
      <c r="F513" s="5" t="s">
        <v>246</v>
      </c>
      <c r="G513" s="5" t="s">
        <v>247</v>
      </c>
      <c r="H513" s="6">
        <f>+P513-I513-J513</f>
        <v>-3.1578947236994281E-3</v>
      </c>
      <c r="I513" s="6">
        <f t="shared" si="99"/>
        <v>363025.26315789472</v>
      </c>
      <c r="J513" s="6">
        <v>68974.8</v>
      </c>
      <c r="K513" s="6">
        <v>0</v>
      </c>
      <c r="L513" s="6">
        <v>0</v>
      </c>
      <c r="M513" s="6">
        <f t="shared" si="104"/>
        <v>363025.26</v>
      </c>
      <c r="N513" s="6">
        <f t="shared" si="98"/>
        <v>68974.8</v>
      </c>
      <c r="O513" s="6">
        <f t="shared" si="100"/>
        <v>432000.06</v>
      </c>
      <c r="P513" s="6">
        <v>432000.06</v>
      </c>
      <c r="Q513" s="6">
        <v>0</v>
      </c>
      <c r="R513" s="6">
        <f t="shared" si="103"/>
        <v>0</v>
      </c>
      <c r="S513"/>
      <c r="T513"/>
      <c r="U513"/>
      <c r="V513"/>
    </row>
    <row r="514" spans="2:22" s="5" customFormat="1" x14ac:dyDescent="0.3">
      <c r="B514" s="5" t="s">
        <v>16</v>
      </c>
      <c r="C514" s="5" t="s">
        <v>1081</v>
      </c>
      <c r="D514" s="5" t="s">
        <v>35</v>
      </c>
      <c r="E514" s="5" t="s">
        <v>94</v>
      </c>
      <c r="F514" s="5" t="s">
        <v>246</v>
      </c>
      <c r="G514" s="5" t="s">
        <v>247</v>
      </c>
      <c r="H514" s="6">
        <f>+P514-I514-J514</f>
        <v>2.1052631665952504E-2</v>
      </c>
      <c r="I514" s="6">
        <f t="shared" si="99"/>
        <v>1089075.5789473683</v>
      </c>
      <c r="J514" s="6">
        <v>206924.36</v>
      </c>
      <c r="K514" s="6">
        <v>0</v>
      </c>
      <c r="L514" s="6">
        <v>0</v>
      </c>
      <c r="M514" s="6">
        <f t="shared" si="104"/>
        <v>1089075.6000000001</v>
      </c>
      <c r="N514" s="6">
        <f t="shared" si="98"/>
        <v>206924.36</v>
      </c>
      <c r="O514" s="6">
        <f t="shared" si="100"/>
        <v>1295999.96</v>
      </c>
      <c r="P514" s="6">
        <v>1295999.96</v>
      </c>
      <c r="Q514" s="6">
        <f>+M514</f>
        <v>1089075.6000000001</v>
      </c>
      <c r="R514" s="6">
        <f t="shared" si="103"/>
        <v>27226.89</v>
      </c>
      <c r="T514"/>
      <c r="U514"/>
      <c r="V514"/>
    </row>
    <row r="515" spans="2:22" s="5" customFormat="1" x14ac:dyDescent="0.3">
      <c r="B515" s="5" t="s">
        <v>16</v>
      </c>
      <c r="C515" s="5" t="s">
        <v>1082</v>
      </c>
      <c r="D515" s="5" t="s">
        <v>125</v>
      </c>
      <c r="E515" s="5" t="s">
        <v>1083</v>
      </c>
      <c r="F515" s="5" t="s">
        <v>127</v>
      </c>
      <c r="G515" s="5" t="s">
        <v>128</v>
      </c>
      <c r="H515" s="6">
        <f>+P515-I515-J515-K515-L515</f>
        <v>5.2631553262472153E-4</v>
      </c>
      <c r="I515" s="6">
        <f t="shared" si="99"/>
        <v>4436974.7894736845</v>
      </c>
      <c r="J515" s="6">
        <v>843025.21</v>
      </c>
      <c r="K515" s="6">
        <v>0</v>
      </c>
      <c r="L515" s="6">
        <v>0</v>
      </c>
      <c r="M515" s="6">
        <f t="shared" si="104"/>
        <v>4436974.79</v>
      </c>
      <c r="N515" s="6">
        <f t="shared" si="98"/>
        <v>843025.21</v>
      </c>
      <c r="O515" s="6">
        <f t="shared" si="100"/>
        <v>5280000</v>
      </c>
      <c r="P515" s="6">
        <v>5280000</v>
      </c>
      <c r="Q515" s="6">
        <v>0</v>
      </c>
      <c r="R515" s="6">
        <f t="shared" si="103"/>
        <v>0</v>
      </c>
      <c r="T515"/>
      <c r="U515"/>
      <c r="V515"/>
    </row>
    <row r="516" spans="2:22" s="5" customFormat="1" x14ac:dyDescent="0.3">
      <c r="B516" s="5" t="s">
        <v>16</v>
      </c>
      <c r="C516" s="5" t="s">
        <v>1084</v>
      </c>
      <c r="D516" s="5" t="s">
        <v>1085</v>
      </c>
      <c r="E516" s="5" t="s">
        <v>1086</v>
      </c>
      <c r="F516" s="5" t="s">
        <v>406</v>
      </c>
      <c r="G516" s="5" t="s">
        <v>407</v>
      </c>
      <c r="H516" s="6">
        <v>2.1052632248029113E-2</v>
      </c>
      <c r="I516" s="6">
        <f t="shared" si="99"/>
        <v>6181512.5789473681</v>
      </c>
      <c r="J516" s="6">
        <v>1174487.3899999999</v>
      </c>
      <c r="K516" s="6"/>
      <c r="L516" s="6"/>
      <c r="M516" s="6">
        <f>+H516+I516</f>
        <v>6181512.6000000006</v>
      </c>
      <c r="N516" s="6">
        <f>+J516</f>
        <v>1174487.3899999999</v>
      </c>
      <c r="O516" s="6">
        <f t="shared" si="100"/>
        <v>7355999.9900000002</v>
      </c>
      <c r="P516" s="6">
        <v>7355999.9900000002</v>
      </c>
      <c r="Q516" s="6">
        <f>+M516</f>
        <v>6181512.6000000006</v>
      </c>
      <c r="R516" s="6">
        <f t="shared" si="103"/>
        <v>154537.81500000003</v>
      </c>
      <c r="T516"/>
    </row>
    <row r="517" spans="2:22" s="5" customFormat="1" x14ac:dyDescent="0.3">
      <c r="B517" s="5" t="s">
        <v>16</v>
      </c>
      <c r="C517" s="5" t="s">
        <v>1087</v>
      </c>
      <c r="D517" s="5" t="s">
        <v>1085</v>
      </c>
      <c r="E517" s="5" t="s">
        <v>657</v>
      </c>
      <c r="F517" s="5" t="s">
        <v>406</v>
      </c>
      <c r="G517" s="5" t="s">
        <v>407</v>
      </c>
      <c r="H517" s="6">
        <f>+P517-I517-J517</f>
        <v>1.2631579185836017E-2</v>
      </c>
      <c r="I517" s="6">
        <f t="shared" si="99"/>
        <v>4900839.9473684207</v>
      </c>
      <c r="J517" s="6">
        <v>931159.59</v>
      </c>
      <c r="K517" s="6">
        <v>0</v>
      </c>
      <c r="L517" s="6">
        <v>0</v>
      </c>
      <c r="M517" s="6">
        <f>+H517+I517+K517</f>
        <v>4900839.96</v>
      </c>
      <c r="N517" s="6">
        <f>+J517+L517</f>
        <v>931159.59</v>
      </c>
      <c r="O517" s="6">
        <f t="shared" si="100"/>
        <v>5831999.5499999998</v>
      </c>
      <c r="P517" s="6">
        <v>5831999.5499999998</v>
      </c>
      <c r="Q517" s="6">
        <f>+M517</f>
        <v>4900839.96</v>
      </c>
      <c r="R517" s="6">
        <f t="shared" si="103"/>
        <v>122520.99900000001</v>
      </c>
      <c r="T517"/>
    </row>
    <row r="518" spans="2:22" s="5" customFormat="1" x14ac:dyDescent="0.3">
      <c r="B518" s="5" t="s">
        <v>16</v>
      </c>
      <c r="C518" s="5" t="s">
        <v>1088</v>
      </c>
      <c r="D518" s="5" t="s">
        <v>132</v>
      </c>
      <c r="E518" s="5" t="s">
        <v>170</v>
      </c>
      <c r="F518" s="5" t="s">
        <v>386</v>
      </c>
      <c r="G518" s="5" t="s">
        <v>387</v>
      </c>
      <c r="H518" s="6">
        <f>+P518-I518-J518</f>
        <v>-2.105263527482748E-2</v>
      </c>
      <c r="I518" s="6">
        <f t="shared" si="99"/>
        <v>13341173.421052635</v>
      </c>
      <c r="J518" s="6">
        <v>2534822.9500000002</v>
      </c>
      <c r="K518" s="6">
        <v>0</v>
      </c>
      <c r="L518" s="6">
        <v>0</v>
      </c>
      <c r="M518" s="6">
        <f>+H518+I518+K518</f>
        <v>13341173.399999999</v>
      </c>
      <c r="N518" s="6">
        <f>+J518+L518</f>
        <v>2534822.9500000002</v>
      </c>
      <c r="O518" s="6">
        <f t="shared" si="100"/>
        <v>15875996.349999998</v>
      </c>
      <c r="P518" s="6">
        <v>15875996.35</v>
      </c>
      <c r="Q518" s="6">
        <f>+M518</f>
        <v>13341173.399999999</v>
      </c>
      <c r="R518" s="6">
        <f t="shared" si="103"/>
        <v>333529.33499999996</v>
      </c>
      <c r="T518"/>
    </row>
    <row r="519" spans="2:22" s="5" customFormat="1" x14ac:dyDescent="0.3">
      <c r="B519" s="5" t="s">
        <v>16</v>
      </c>
      <c r="C519" s="5" t="s">
        <v>1089</v>
      </c>
      <c r="D519" s="5" t="s">
        <v>1090</v>
      </c>
      <c r="E519" s="5" t="s">
        <v>1091</v>
      </c>
      <c r="F519" s="5" t="s">
        <v>178</v>
      </c>
      <c r="G519" s="5" t="s">
        <v>179</v>
      </c>
      <c r="H519" s="6">
        <f>+P519-I519-J519</f>
        <v>2.3157894960604608E-2</v>
      </c>
      <c r="I519" s="6">
        <f t="shared" si="99"/>
        <v>2702421.7368421052</v>
      </c>
      <c r="J519" s="6">
        <v>513460.13</v>
      </c>
      <c r="K519" s="6">
        <v>0</v>
      </c>
      <c r="L519" s="6">
        <v>0</v>
      </c>
      <c r="M519" s="6">
        <f>+H519+I519+K519</f>
        <v>2702421.7600000002</v>
      </c>
      <c r="N519" s="6">
        <f>+J519+L519</f>
        <v>513460.13</v>
      </c>
      <c r="O519" s="6">
        <f t="shared" si="100"/>
        <v>3215881.89</v>
      </c>
      <c r="P519" s="6">
        <v>3215881.89</v>
      </c>
      <c r="Q519" s="6">
        <f>+M519</f>
        <v>2702421.7600000002</v>
      </c>
      <c r="R519" s="6">
        <f t="shared" si="103"/>
        <v>67560.544000000009</v>
      </c>
      <c r="T519"/>
    </row>
    <row r="520" spans="2:22" s="5" customFormat="1" x14ac:dyDescent="0.3">
      <c r="B520" s="5" t="s">
        <v>16</v>
      </c>
      <c r="C520" s="5" t="s">
        <v>1092</v>
      </c>
      <c r="D520" s="5" t="s">
        <v>1093</v>
      </c>
      <c r="E520" s="5" t="s">
        <v>1094</v>
      </c>
      <c r="F520" s="5" t="s">
        <v>1095</v>
      </c>
      <c r="G520" s="5" t="s">
        <v>1096</v>
      </c>
      <c r="H520" s="6">
        <v>373911.36842105264</v>
      </c>
      <c r="I520" s="6">
        <f t="shared" si="99"/>
        <v>20952.631578947367</v>
      </c>
      <c r="J520" s="6">
        <v>3981</v>
      </c>
      <c r="K520" s="6">
        <v>0</v>
      </c>
      <c r="L520" s="6">
        <v>0</v>
      </c>
      <c r="M520" s="6">
        <f>+H520+I520+K520</f>
        <v>394864</v>
      </c>
      <c r="N520" s="6">
        <f>+J520+L520</f>
        <v>3981</v>
      </c>
      <c r="O520" s="6">
        <f t="shared" si="100"/>
        <v>398845</v>
      </c>
      <c r="P520" s="6">
        <v>398845</v>
      </c>
      <c r="Q520" s="6">
        <v>0</v>
      </c>
      <c r="R520" s="6">
        <f t="shared" si="103"/>
        <v>0</v>
      </c>
      <c r="T520"/>
      <c r="U520"/>
    </row>
    <row r="521" spans="2:22" s="5" customFormat="1" x14ac:dyDescent="0.3">
      <c r="B521" s="5" t="s">
        <v>16</v>
      </c>
      <c r="C521" s="5" t="s">
        <v>1097</v>
      </c>
      <c r="D521" s="5" t="s">
        <v>1093</v>
      </c>
      <c r="E521" s="5" t="s">
        <v>1098</v>
      </c>
      <c r="F521" s="5" t="s">
        <v>1095</v>
      </c>
      <c r="G521" s="5" t="s">
        <v>1096</v>
      </c>
      <c r="H521" s="6">
        <v>387236.36842105264</v>
      </c>
      <c r="I521" s="6">
        <f t="shared" si="99"/>
        <v>80852.631578947359</v>
      </c>
      <c r="J521" s="6">
        <v>15362</v>
      </c>
      <c r="K521" s="6"/>
      <c r="L521" s="6"/>
      <c r="M521" s="6">
        <f>+H521+I521</f>
        <v>468089</v>
      </c>
      <c r="N521" s="6">
        <f>+J521</f>
        <v>15362</v>
      </c>
      <c r="O521" s="6">
        <f t="shared" si="100"/>
        <v>483451</v>
      </c>
      <c r="P521" s="6">
        <v>483451</v>
      </c>
      <c r="Q521" s="6"/>
      <c r="R521" s="6">
        <f t="shared" si="103"/>
        <v>0</v>
      </c>
      <c r="T521"/>
      <c r="U521"/>
    </row>
    <row r="522" spans="2:22" s="5" customFormat="1" x14ac:dyDescent="0.3">
      <c r="B522" s="5" t="s">
        <v>16</v>
      </c>
      <c r="C522" s="5" t="s">
        <v>1099</v>
      </c>
      <c r="D522" s="5" t="s">
        <v>1093</v>
      </c>
      <c r="E522" s="5" t="s">
        <v>694</v>
      </c>
      <c r="F522" s="5" t="s">
        <v>1095</v>
      </c>
      <c r="G522" s="5" t="s">
        <v>1096</v>
      </c>
      <c r="H522" s="6">
        <v>192982.21052631579</v>
      </c>
      <c r="I522" s="6">
        <f t="shared" si="99"/>
        <v>615.78947368421052</v>
      </c>
      <c r="J522" s="6">
        <v>117</v>
      </c>
      <c r="K522" s="6"/>
      <c r="L522" s="6"/>
      <c r="M522" s="6">
        <f>+H522+I522</f>
        <v>193598</v>
      </c>
      <c r="N522" s="6">
        <f>+J522</f>
        <v>117</v>
      </c>
      <c r="O522" s="6">
        <f t="shared" si="100"/>
        <v>193715</v>
      </c>
      <c r="P522" s="6">
        <v>193715</v>
      </c>
      <c r="Q522" s="6"/>
      <c r="R522" s="6">
        <f t="shared" si="103"/>
        <v>0</v>
      </c>
      <c r="T522"/>
      <c r="U522"/>
      <c r="V522"/>
    </row>
    <row r="523" spans="2:22" x14ac:dyDescent="0.3">
      <c r="B523" s="7" t="s">
        <v>16</v>
      </c>
      <c r="C523" s="7" t="s">
        <v>1100</v>
      </c>
      <c r="D523" s="7" t="s">
        <v>1093</v>
      </c>
      <c r="E523" s="7" t="s">
        <v>700</v>
      </c>
      <c r="F523" s="7" t="s">
        <v>1095</v>
      </c>
      <c r="G523" s="7" t="s">
        <v>1096</v>
      </c>
      <c r="H523" s="8">
        <f t="shared" ref="H523:H536" si="105">+P523-I523-J523</f>
        <v>391370.05263157893</v>
      </c>
      <c r="I523" s="8">
        <f t="shared" si="99"/>
        <v>26078.947368421053</v>
      </c>
      <c r="J523" s="8">
        <v>4955</v>
      </c>
      <c r="K523" s="8">
        <v>0</v>
      </c>
      <c r="L523" s="8">
        <v>0</v>
      </c>
      <c r="M523" s="8">
        <f>+I523+H523</f>
        <v>417449</v>
      </c>
      <c r="N523" s="8">
        <f t="shared" ref="N523:N528" si="106">+J523+L523</f>
        <v>4955</v>
      </c>
      <c r="O523" s="8">
        <f t="shared" si="100"/>
        <v>422404</v>
      </c>
      <c r="P523" s="8">
        <v>422404</v>
      </c>
      <c r="Q523" s="8">
        <v>0</v>
      </c>
      <c r="R523" s="8">
        <f t="shared" si="103"/>
        <v>0</v>
      </c>
      <c r="S523" s="5"/>
    </row>
    <row r="524" spans="2:22" x14ac:dyDescent="0.3">
      <c r="B524" s="7" t="s">
        <v>16</v>
      </c>
      <c r="C524" s="7" t="s">
        <v>1101</v>
      </c>
      <c r="D524" s="7" t="s">
        <v>1093</v>
      </c>
      <c r="E524" s="7" t="s">
        <v>820</v>
      </c>
      <c r="F524" s="7" t="s">
        <v>1095</v>
      </c>
      <c r="G524" s="7" t="s">
        <v>1096</v>
      </c>
      <c r="H524" s="8">
        <f t="shared" si="105"/>
        <v>234915.21052631579</v>
      </c>
      <c r="I524" s="8">
        <f t="shared" si="99"/>
        <v>615.78947368421052</v>
      </c>
      <c r="J524" s="8">
        <v>117</v>
      </c>
      <c r="K524" s="8">
        <v>0</v>
      </c>
      <c r="L524" s="8">
        <v>0</v>
      </c>
      <c r="M524" s="8">
        <f>+I524+H524</f>
        <v>235531</v>
      </c>
      <c r="N524" s="8">
        <f t="shared" si="106"/>
        <v>117</v>
      </c>
      <c r="O524" s="8">
        <f t="shared" si="100"/>
        <v>235648</v>
      </c>
      <c r="P524" s="8">
        <v>235648</v>
      </c>
      <c r="Q524" s="8">
        <v>0</v>
      </c>
      <c r="R524" s="8">
        <f t="shared" si="103"/>
        <v>0</v>
      </c>
      <c r="S524" s="5"/>
      <c r="U524" s="5"/>
      <c r="V524" s="5"/>
    </row>
    <row r="525" spans="2:22" s="5" customFormat="1" x14ac:dyDescent="0.3">
      <c r="B525" s="7" t="s">
        <v>16</v>
      </c>
      <c r="C525" s="7" t="s">
        <v>1102</v>
      </c>
      <c r="D525" s="7" t="s">
        <v>1093</v>
      </c>
      <c r="E525" s="7" t="s">
        <v>825</v>
      </c>
      <c r="F525" s="7" t="s">
        <v>1095</v>
      </c>
      <c r="G525" s="7" t="s">
        <v>1096</v>
      </c>
      <c r="H525" s="8">
        <f t="shared" si="105"/>
        <v>481352.68421052629</v>
      </c>
      <c r="I525" s="8">
        <f t="shared" si="99"/>
        <v>95626.315789473694</v>
      </c>
      <c r="J525" s="8">
        <v>18169</v>
      </c>
      <c r="K525" s="8">
        <v>0</v>
      </c>
      <c r="L525" s="8">
        <v>0</v>
      </c>
      <c r="M525" s="8">
        <f>+I525+H525</f>
        <v>576979</v>
      </c>
      <c r="N525" s="8">
        <f t="shared" si="106"/>
        <v>18169</v>
      </c>
      <c r="O525" s="8">
        <f t="shared" si="100"/>
        <v>595148</v>
      </c>
      <c r="P525" s="8">
        <v>595148</v>
      </c>
      <c r="Q525" s="8">
        <v>0</v>
      </c>
      <c r="R525" s="8">
        <f t="shared" si="103"/>
        <v>0</v>
      </c>
      <c r="T525"/>
      <c r="U525"/>
      <c r="V525"/>
    </row>
    <row r="526" spans="2:22" s="5" customFormat="1" x14ac:dyDescent="0.3">
      <c r="B526" s="5" t="s">
        <v>16</v>
      </c>
      <c r="C526" s="5" t="s">
        <v>1103</v>
      </c>
      <c r="D526" s="5" t="s">
        <v>1093</v>
      </c>
      <c r="E526" s="5" t="s">
        <v>357</v>
      </c>
      <c r="F526" s="5" t="s">
        <v>1095</v>
      </c>
      <c r="G526" s="5" t="s">
        <v>1096</v>
      </c>
      <c r="H526" s="6">
        <f t="shared" si="105"/>
        <v>511792.63157894736</v>
      </c>
      <c r="I526" s="6">
        <f t="shared" si="99"/>
        <v>12547.368421052632</v>
      </c>
      <c r="J526" s="6">
        <v>2384</v>
      </c>
      <c r="K526" s="6">
        <v>0</v>
      </c>
      <c r="L526" s="6">
        <v>0</v>
      </c>
      <c r="M526" s="6">
        <f t="shared" ref="M526:M553" si="107">+H526+I526+K526</f>
        <v>524340</v>
      </c>
      <c r="N526" s="6">
        <f t="shared" si="106"/>
        <v>2384</v>
      </c>
      <c r="O526" s="6">
        <f t="shared" si="100"/>
        <v>526724</v>
      </c>
      <c r="P526" s="6">
        <v>526724</v>
      </c>
      <c r="Q526" s="6"/>
      <c r="R526" s="6">
        <f t="shared" si="103"/>
        <v>0</v>
      </c>
      <c r="T526"/>
      <c r="U526"/>
      <c r="V526"/>
    </row>
    <row r="527" spans="2:22" s="5" customFormat="1" x14ac:dyDescent="0.3">
      <c r="B527" s="5" t="s">
        <v>16</v>
      </c>
      <c r="C527" s="5" t="s">
        <v>1104</v>
      </c>
      <c r="D527" s="5" t="s">
        <v>1093</v>
      </c>
      <c r="E527" s="5" t="s">
        <v>1105</v>
      </c>
      <c r="F527" s="5" t="s">
        <v>1095</v>
      </c>
      <c r="G527" s="5" t="s">
        <v>1096</v>
      </c>
      <c r="H527" s="6">
        <f t="shared" si="105"/>
        <v>335382.42105263157</v>
      </c>
      <c r="I527" s="6">
        <f t="shared" si="99"/>
        <v>34831.57894736842</v>
      </c>
      <c r="J527" s="6">
        <v>6618</v>
      </c>
      <c r="K527" s="6">
        <v>0</v>
      </c>
      <c r="L527" s="6">
        <v>0</v>
      </c>
      <c r="M527" s="6">
        <f t="shared" si="107"/>
        <v>370214</v>
      </c>
      <c r="N527" s="6">
        <f t="shared" si="106"/>
        <v>6618</v>
      </c>
      <c r="O527" s="6">
        <f t="shared" si="100"/>
        <v>376832</v>
      </c>
      <c r="P527" s="6">
        <v>376832</v>
      </c>
      <c r="Q527" s="6"/>
      <c r="R527" s="6">
        <f t="shared" si="103"/>
        <v>0</v>
      </c>
      <c r="T527"/>
      <c r="U527"/>
      <c r="V527"/>
    </row>
    <row r="528" spans="2:22" s="5" customFormat="1" x14ac:dyDescent="0.3">
      <c r="B528" s="5" t="s">
        <v>16</v>
      </c>
      <c r="C528" s="5" t="s">
        <v>1106</v>
      </c>
      <c r="D528" s="5" t="s">
        <v>1093</v>
      </c>
      <c r="E528" s="5" t="s">
        <v>673</v>
      </c>
      <c r="F528" s="5" t="s">
        <v>1095</v>
      </c>
      <c r="G528" s="5" t="s">
        <v>1096</v>
      </c>
      <c r="H528" s="6">
        <f t="shared" si="105"/>
        <v>559729.52631578944</v>
      </c>
      <c r="I528" s="6">
        <f t="shared" si="99"/>
        <v>48889.473684210527</v>
      </c>
      <c r="J528" s="6">
        <v>9289</v>
      </c>
      <c r="K528" s="6">
        <v>0</v>
      </c>
      <c r="L528" s="6">
        <v>0</v>
      </c>
      <c r="M528" s="6">
        <f t="shared" si="107"/>
        <v>608619</v>
      </c>
      <c r="N528" s="6">
        <f t="shared" si="106"/>
        <v>9289</v>
      </c>
      <c r="O528" s="6">
        <f t="shared" si="100"/>
        <v>617908</v>
      </c>
      <c r="P528" s="6">
        <v>617908</v>
      </c>
      <c r="Q528" s="6"/>
      <c r="R528" s="6">
        <f t="shared" si="103"/>
        <v>0</v>
      </c>
      <c r="T528"/>
      <c r="U528"/>
      <c r="V528"/>
    </row>
    <row r="529" spans="2:22" s="5" customFormat="1" x14ac:dyDescent="0.3">
      <c r="B529" s="5" t="s">
        <v>16</v>
      </c>
      <c r="C529" s="5" t="s">
        <v>1107</v>
      </c>
      <c r="D529" s="5" t="s">
        <v>1093</v>
      </c>
      <c r="E529" s="5" t="s">
        <v>1108</v>
      </c>
      <c r="F529" s="5" t="s">
        <v>1095</v>
      </c>
      <c r="G529" s="5" t="s">
        <v>1096</v>
      </c>
      <c r="H529" s="6">
        <f t="shared" si="105"/>
        <v>491552.05263157893</v>
      </c>
      <c r="I529" s="6">
        <f t="shared" si="99"/>
        <v>11678.947368421052</v>
      </c>
      <c r="J529" s="6">
        <v>2219</v>
      </c>
      <c r="K529" s="6">
        <v>0</v>
      </c>
      <c r="L529" s="6">
        <v>0</v>
      </c>
      <c r="M529" s="6">
        <f t="shared" si="107"/>
        <v>503231</v>
      </c>
      <c r="N529" s="6">
        <f>J529+L529</f>
        <v>2219</v>
      </c>
      <c r="O529" s="6">
        <f t="shared" si="100"/>
        <v>505450</v>
      </c>
      <c r="P529" s="6">
        <v>505450</v>
      </c>
      <c r="Q529" s="6">
        <v>0</v>
      </c>
      <c r="R529" s="6">
        <f t="shared" si="103"/>
        <v>0</v>
      </c>
      <c r="T529"/>
    </row>
    <row r="530" spans="2:22" s="5" customFormat="1" x14ac:dyDescent="0.3">
      <c r="B530" s="5" t="s">
        <v>16</v>
      </c>
      <c r="C530" s="5" t="s">
        <v>1109</v>
      </c>
      <c r="D530" s="5" t="s">
        <v>1093</v>
      </c>
      <c r="E530" s="5" t="s">
        <v>1110</v>
      </c>
      <c r="F530" s="5" t="s">
        <v>1095</v>
      </c>
      <c r="G530" s="5" t="s">
        <v>1096</v>
      </c>
      <c r="H530" s="6">
        <f t="shared" si="105"/>
        <v>135009.15789473685</v>
      </c>
      <c r="I530" s="6">
        <f t="shared" si="99"/>
        <v>34536.842105263153</v>
      </c>
      <c r="J530" s="6">
        <v>6562</v>
      </c>
      <c r="K530" s="6">
        <v>0</v>
      </c>
      <c r="L530" s="6">
        <v>0</v>
      </c>
      <c r="M530" s="6">
        <f t="shared" si="107"/>
        <v>169546</v>
      </c>
      <c r="N530" s="6">
        <f>J530+L530</f>
        <v>6562</v>
      </c>
      <c r="O530" s="6">
        <f t="shared" si="100"/>
        <v>176108</v>
      </c>
      <c r="P530" s="6">
        <v>176108</v>
      </c>
      <c r="Q530" s="6">
        <v>0</v>
      </c>
      <c r="R530" s="6">
        <f t="shared" si="103"/>
        <v>0</v>
      </c>
      <c r="T530"/>
    </row>
    <row r="531" spans="2:22" s="5" customFormat="1" x14ac:dyDescent="0.3">
      <c r="B531" s="5" t="s">
        <v>16</v>
      </c>
      <c r="C531" s="5" t="s">
        <v>1111</v>
      </c>
      <c r="D531" s="5" t="s">
        <v>1093</v>
      </c>
      <c r="E531" s="5" t="s">
        <v>1112</v>
      </c>
      <c r="F531" s="5" t="s">
        <v>1095</v>
      </c>
      <c r="G531" s="5" t="s">
        <v>1096</v>
      </c>
      <c r="H531" s="6">
        <f t="shared" si="105"/>
        <v>429951.5263157895</v>
      </c>
      <c r="I531" s="6">
        <f t="shared" si="99"/>
        <v>22089.473684210527</v>
      </c>
      <c r="J531" s="6">
        <v>4197</v>
      </c>
      <c r="K531" s="6">
        <v>0</v>
      </c>
      <c r="L531" s="6">
        <v>0</v>
      </c>
      <c r="M531" s="6">
        <f t="shared" si="107"/>
        <v>452041</v>
      </c>
      <c r="N531" s="6">
        <f t="shared" ref="N531:N553" si="108">+J531+L531</f>
        <v>4197</v>
      </c>
      <c r="O531" s="6">
        <f t="shared" si="100"/>
        <v>456238</v>
      </c>
      <c r="P531" s="6">
        <v>456238</v>
      </c>
      <c r="Q531" s="6">
        <v>0</v>
      </c>
      <c r="R531" s="6">
        <f t="shared" si="103"/>
        <v>0</v>
      </c>
      <c r="T531"/>
    </row>
    <row r="532" spans="2:22" s="5" customFormat="1" x14ac:dyDescent="0.3">
      <c r="B532" s="5" t="s">
        <v>16</v>
      </c>
      <c r="C532" s="5" t="s">
        <v>1113</v>
      </c>
      <c r="D532" s="5" t="s">
        <v>1093</v>
      </c>
      <c r="E532" s="5" t="s">
        <v>1114</v>
      </c>
      <c r="F532" s="5" t="s">
        <v>1095</v>
      </c>
      <c r="G532" s="5" t="s">
        <v>1096</v>
      </c>
      <c r="H532" s="6">
        <f t="shared" si="105"/>
        <v>363484.73684210528</v>
      </c>
      <c r="I532" s="6">
        <f t="shared" si="99"/>
        <v>12105.263157894737</v>
      </c>
      <c r="J532" s="6">
        <v>2300</v>
      </c>
      <c r="K532" s="6">
        <v>0</v>
      </c>
      <c r="L532" s="6">
        <v>0</v>
      </c>
      <c r="M532" s="6">
        <f t="shared" si="107"/>
        <v>375590</v>
      </c>
      <c r="N532" s="6">
        <f t="shared" si="108"/>
        <v>2300</v>
      </c>
      <c r="O532" s="6">
        <f t="shared" si="100"/>
        <v>377890</v>
      </c>
      <c r="P532" s="6">
        <v>377890</v>
      </c>
      <c r="Q532" s="6">
        <v>0</v>
      </c>
      <c r="R532" s="6">
        <f t="shared" si="103"/>
        <v>0</v>
      </c>
      <c r="T532"/>
    </row>
    <row r="533" spans="2:22" s="5" customFormat="1" x14ac:dyDescent="0.3">
      <c r="B533" s="5" t="s">
        <v>16</v>
      </c>
      <c r="C533" s="5" t="s">
        <v>1115</v>
      </c>
      <c r="D533" s="5" t="s">
        <v>1093</v>
      </c>
      <c r="E533" s="5" t="s">
        <v>170</v>
      </c>
      <c r="F533" s="5" t="s">
        <v>1095</v>
      </c>
      <c r="G533" s="5" t="s">
        <v>1096</v>
      </c>
      <c r="H533" s="6">
        <f t="shared" si="105"/>
        <v>507065</v>
      </c>
      <c r="I533" s="6">
        <f t="shared" si="99"/>
        <v>23800</v>
      </c>
      <c r="J533" s="6">
        <v>4522</v>
      </c>
      <c r="K533" s="6">
        <v>0</v>
      </c>
      <c r="L533" s="6">
        <v>0</v>
      </c>
      <c r="M533" s="6">
        <f t="shared" si="107"/>
        <v>530865</v>
      </c>
      <c r="N533" s="6">
        <f t="shared" si="108"/>
        <v>4522</v>
      </c>
      <c r="O533" s="6">
        <f t="shared" si="100"/>
        <v>535387</v>
      </c>
      <c r="P533" s="6">
        <v>535387</v>
      </c>
      <c r="Q533" s="6">
        <v>0</v>
      </c>
      <c r="R533" s="6">
        <f t="shared" si="103"/>
        <v>0</v>
      </c>
      <c r="T533"/>
    </row>
    <row r="534" spans="2:22" s="5" customFormat="1" x14ac:dyDescent="0.3">
      <c r="B534" s="5" t="s">
        <v>16</v>
      </c>
      <c r="C534" s="5" t="s">
        <v>1116</v>
      </c>
      <c r="D534" s="5" t="s">
        <v>1093</v>
      </c>
      <c r="E534" s="5" t="s">
        <v>372</v>
      </c>
      <c r="F534" s="5" t="s">
        <v>1095</v>
      </c>
      <c r="G534" s="5" t="s">
        <v>1096</v>
      </c>
      <c r="H534" s="6">
        <f t="shared" si="105"/>
        <v>587711.73684210528</v>
      </c>
      <c r="I534" s="6">
        <f t="shared" si="99"/>
        <v>61105.26315789474</v>
      </c>
      <c r="J534" s="6">
        <v>11610</v>
      </c>
      <c r="K534" s="6">
        <v>0</v>
      </c>
      <c r="L534" s="6">
        <v>0</v>
      </c>
      <c r="M534" s="6">
        <f t="shared" si="107"/>
        <v>648817</v>
      </c>
      <c r="N534" s="6">
        <f t="shared" si="108"/>
        <v>11610</v>
      </c>
      <c r="O534" s="6">
        <f t="shared" si="100"/>
        <v>660427</v>
      </c>
      <c r="P534" s="6">
        <v>660427</v>
      </c>
      <c r="Q534" s="6">
        <v>0</v>
      </c>
      <c r="R534" s="6">
        <f t="shared" si="103"/>
        <v>0</v>
      </c>
      <c r="T534"/>
    </row>
    <row r="535" spans="2:22" s="5" customFormat="1" x14ac:dyDescent="0.3">
      <c r="B535" s="5" t="s">
        <v>16</v>
      </c>
      <c r="C535" s="5" t="s">
        <v>1117</v>
      </c>
      <c r="D535" s="5" t="s">
        <v>1093</v>
      </c>
      <c r="E535" s="5" t="s">
        <v>142</v>
      </c>
      <c r="F535" s="5" t="s">
        <v>1095</v>
      </c>
      <c r="G535" s="5" t="s">
        <v>1096</v>
      </c>
      <c r="H535" s="6">
        <f t="shared" si="105"/>
        <v>320308.89473684208</v>
      </c>
      <c r="I535" s="6">
        <f t="shared" si="99"/>
        <v>14242.105263157897</v>
      </c>
      <c r="J535" s="6">
        <v>2706</v>
      </c>
      <c r="K535" s="6">
        <v>0</v>
      </c>
      <c r="L535" s="6">
        <v>0</v>
      </c>
      <c r="M535" s="6">
        <f t="shared" si="107"/>
        <v>334551</v>
      </c>
      <c r="N535" s="6">
        <f t="shared" si="108"/>
        <v>2706</v>
      </c>
      <c r="O535" s="6">
        <f t="shared" si="100"/>
        <v>337257</v>
      </c>
      <c r="P535" s="6">
        <v>337257</v>
      </c>
      <c r="Q535" s="6">
        <v>0</v>
      </c>
      <c r="R535" s="6">
        <f t="shared" si="103"/>
        <v>0</v>
      </c>
      <c r="T535"/>
    </row>
    <row r="536" spans="2:22" s="5" customFormat="1" x14ac:dyDescent="0.3">
      <c r="B536" s="5" t="s">
        <v>16</v>
      </c>
      <c r="C536" s="5" t="s">
        <v>1118</v>
      </c>
      <c r="D536" s="5" t="s">
        <v>1093</v>
      </c>
      <c r="E536" s="5" t="s">
        <v>234</v>
      </c>
      <c r="F536" s="5" t="s">
        <v>1095</v>
      </c>
      <c r="G536" s="5" t="s">
        <v>1096</v>
      </c>
      <c r="H536" s="6">
        <f t="shared" si="105"/>
        <v>117929.42105263157</v>
      </c>
      <c r="I536" s="6">
        <f t="shared" si="99"/>
        <v>14031.578947368422</v>
      </c>
      <c r="J536" s="6">
        <v>2666</v>
      </c>
      <c r="K536" s="6">
        <v>0</v>
      </c>
      <c r="L536" s="6">
        <v>0</v>
      </c>
      <c r="M536" s="6">
        <f t="shared" si="107"/>
        <v>131961</v>
      </c>
      <c r="N536" s="6">
        <f t="shared" si="108"/>
        <v>2666</v>
      </c>
      <c r="O536" s="6">
        <f t="shared" si="100"/>
        <v>134627</v>
      </c>
      <c r="P536" s="6">
        <v>134627</v>
      </c>
      <c r="Q536" s="6">
        <v>0</v>
      </c>
      <c r="R536" s="6">
        <f t="shared" si="103"/>
        <v>0</v>
      </c>
      <c r="T536"/>
    </row>
    <row r="537" spans="2:22" s="5" customFormat="1" x14ac:dyDescent="0.3">
      <c r="B537" s="5" t="s">
        <v>16</v>
      </c>
      <c r="C537" s="5" t="s">
        <v>1119</v>
      </c>
      <c r="D537" s="5" t="s">
        <v>1093</v>
      </c>
      <c r="E537" s="5" t="s">
        <v>270</v>
      </c>
      <c r="F537" s="5" t="s">
        <v>1095</v>
      </c>
      <c r="G537" s="5" t="s">
        <v>1096</v>
      </c>
      <c r="H537" s="6">
        <f>+P537-I537-J537-K537-L537</f>
        <v>447247</v>
      </c>
      <c r="I537" s="6">
        <f t="shared" si="99"/>
        <v>0</v>
      </c>
      <c r="J537" s="6">
        <v>0</v>
      </c>
      <c r="K537" s="6">
        <v>0</v>
      </c>
      <c r="L537" s="6">
        <v>0</v>
      </c>
      <c r="M537" s="6">
        <f t="shared" si="107"/>
        <v>447247</v>
      </c>
      <c r="N537" s="6">
        <f t="shared" si="108"/>
        <v>0</v>
      </c>
      <c r="O537" s="6">
        <f t="shared" si="100"/>
        <v>447247</v>
      </c>
      <c r="P537" s="6">
        <v>447247</v>
      </c>
      <c r="Q537" s="6">
        <v>0</v>
      </c>
      <c r="R537" s="6">
        <f t="shared" si="103"/>
        <v>0</v>
      </c>
      <c r="T537"/>
    </row>
    <row r="538" spans="2:22" s="5" customFormat="1" x14ac:dyDescent="0.3">
      <c r="B538" s="5" t="s">
        <v>16</v>
      </c>
      <c r="C538" s="5" t="s">
        <v>1120</v>
      </c>
      <c r="D538" s="5" t="s">
        <v>1093</v>
      </c>
      <c r="E538" s="5" t="s">
        <v>763</v>
      </c>
      <c r="F538" s="5" t="s">
        <v>1095</v>
      </c>
      <c r="G538" s="5" t="s">
        <v>1096</v>
      </c>
      <c r="H538" s="6">
        <f>+P538-I538-J538-K538-L538</f>
        <v>619100.63157894742</v>
      </c>
      <c r="I538" s="6">
        <f t="shared" si="99"/>
        <v>56247.368421052633</v>
      </c>
      <c r="J538" s="6">
        <v>10687</v>
      </c>
      <c r="K538" s="6">
        <v>0</v>
      </c>
      <c r="L538" s="6">
        <v>0</v>
      </c>
      <c r="M538" s="6">
        <f t="shared" si="107"/>
        <v>675348</v>
      </c>
      <c r="N538" s="6">
        <f t="shared" si="108"/>
        <v>10687</v>
      </c>
      <c r="O538" s="6">
        <f t="shared" si="100"/>
        <v>686035</v>
      </c>
      <c r="P538" s="6">
        <v>686035</v>
      </c>
      <c r="Q538" s="6">
        <v>0</v>
      </c>
      <c r="R538" s="6">
        <f t="shared" si="103"/>
        <v>0</v>
      </c>
      <c r="T538"/>
    </row>
    <row r="539" spans="2:22" s="5" customFormat="1" x14ac:dyDescent="0.3">
      <c r="B539" s="5" t="s">
        <v>16</v>
      </c>
      <c r="C539" s="5" t="s">
        <v>1121</v>
      </c>
      <c r="D539" s="5" t="s">
        <v>1093</v>
      </c>
      <c r="E539" s="5" t="s">
        <v>1122</v>
      </c>
      <c r="F539" s="5" t="s">
        <v>1095</v>
      </c>
      <c r="G539" s="5" t="s">
        <v>1096</v>
      </c>
      <c r="H539" s="6">
        <v>0</v>
      </c>
      <c r="I539" s="6">
        <f t="shared" si="99"/>
        <v>23452.631578947367</v>
      </c>
      <c r="J539" s="6">
        <v>4456</v>
      </c>
      <c r="K539" s="6">
        <v>0</v>
      </c>
      <c r="L539" s="6">
        <v>0</v>
      </c>
      <c r="M539" s="6">
        <f t="shared" si="107"/>
        <v>23452.631578947367</v>
      </c>
      <c r="N539" s="6">
        <f t="shared" si="108"/>
        <v>4456</v>
      </c>
      <c r="O539" s="6">
        <f t="shared" si="100"/>
        <v>27908.631578947367</v>
      </c>
      <c r="P539" s="6">
        <v>772298</v>
      </c>
      <c r="Q539" s="6">
        <v>0</v>
      </c>
      <c r="R539" s="6">
        <f t="shared" si="103"/>
        <v>0</v>
      </c>
      <c r="T539"/>
    </row>
    <row r="540" spans="2:22" x14ac:dyDescent="0.3">
      <c r="B540" s="5" t="s">
        <v>16</v>
      </c>
      <c r="C540" s="5" t="s">
        <v>1123</v>
      </c>
      <c r="D540" s="5" t="s">
        <v>1093</v>
      </c>
      <c r="E540" s="5" t="s">
        <v>1124</v>
      </c>
      <c r="F540" s="5" t="s">
        <v>1095</v>
      </c>
      <c r="G540" s="5" t="s">
        <v>1096</v>
      </c>
      <c r="H540" s="6">
        <f>+P540-I540-J540</f>
        <v>650906.31578947371</v>
      </c>
      <c r="I540" s="6">
        <f t="shared" si="99"/>
        <v>41973.68421052632</v>
      </c>
      <c r="J540" s="6">
        <v>7975</v>
      </c>
      <c r="K540" s="6">
        <v>0</v>
      </c>
      <c r="L540" s="6">
        <v>0</v>
      </c>
      <c r="M540" s="6">
        <f t="shared" si="107"/>
        <v>692880</v>
      </c>
      <c r="N540" s="6">
        <f t="shared" si="108"/>
        <v>7975</v>
      </c>
      <c r="O540" s="6">
        <f t="shared" si="100"/>
        <v>700855</v>
      </c>
      <c r="P540" s="6">
        <v>700855</v>
      </c>
      <c r="Q540" s="6">
        <v>0</v>
      </c>
      <c r="R540" s="6">
        <f t="shared" si="103"/>
        <v>0</v>
      </c>
      <c r="S540" s="5"/>
      <c r="U540" s="5"/>
      <c r="V540" s="5"/>
    </row>
    <row r="541" spans="2:22" x14ac:dyDescent="0.3">
      <c r="B541" s="5" t="s">
        <v>16</v>
      </c>
      <c r="C541" s="5" t="s">
        <v>1125</v>
      </c>
      <c r="D541" s="5" t="s">
        <v>1093</v>
      </c>
      <c r="E541" s="5" t="s">
        <v>368</v>
      </c>
      <c r="F541" s="5" t="s">
        <v>1095</v>
      </c>
      <c r="G541" s="5" t="s">
        <v>1096</v>
      </c>
      <c r="H541" s="6">
        <f>+P541-I541-J541</f>
        <v>675703.63157894742</v>
      </c>
      <c r="I541" s="6">
        <f t="shared" si="99"/>
        <v>22047.368421052633</v>
      </c>
      <c r="J541" s="6">
        <v>4189</v>
      </c>
      <c r="K541" s="6">
        <v>0</v>
      </c>
      <c r="L541" s="6">
        <v>0</v>
      </c>
      <c r="M541" s="6">
        <f t="shared" si="107"/>
        <v>697751</v>
      </c>
      <c r="N541" s="6">
        <f t="shared" si="108"/>
        <v>4189</v>
      </c>
      <c r="O541" s="6">
        <f t="shared" si="100"/>
        <v>701940</v>
      </c>
      <c r="P541" s="6">
        <v>701940</v>
      </c>
      <c r="Q541" s="6">
        <v>0</v>
      </c>
      <c r="R541" s="6">
        <f t="shared" si="103"/>
        <v>0</v>
      </c>
      <c r="S541" s="5"/>
      <c r="U541" s="5"/>
      <c r="V541" s="5"/>
    </row>
    <row r="542" spans="2:22" x14ac:dyDescent="0.3">
      <c r="B542" s="5" t="s">
        <v>16</v>
      </c>
      <c r="C542" s="5" t="s">
        <v>1126</v>
      </c>
      <c r="D542" s="5" t="s">
        <v>1093</v>
      </c>
      <c r="E542" s="5" t="s">
        <v>1127</v>
      </c>
      <c r="F542" s="5" t="s">
        <v>1095</v>
      </c>
      <c r="G542" s="5" t="s">
        <v>1096</v>
      </c>
      <c r="H542" s="6">
        <f>+P542-I542-J542-K542-L542</f>
        <v>643882.05263157887</v>
      </c>
      <c r="I542" s="6">
        <f t="shared" ref="I542:I605" si="109">+J542/19*100</f>
        <v>119078.94736842107</v>
      </c>
      <c r="J542" s="6">
        <v>22625</v>
      </c>
      <c r="K542" s="6">
        <v>0</v>
      </c>
      <c r="L542" s="6">
        <v>0</v>
      </c>
      <c r="M542" s="6">
        <f t="shared" si="107"/>
        <v>762961</v>
      </c>
      <c r="N542" s="6">
        <f t="shared" si="108"/>
        <v>22625</v>
      </c>
      <c r="O542" s="6">
        <f t="shared" ref="O542:O605" si="110">+M542+N542</f>
        <v>785586</v>
      </c>
      <c r="P542" s="6">
        <v>785586</v>
      </c>
      <c r="Q542" s="6">
        <v>0</v>
      </c>
      <c r="R542" s="6">
        <f t="shared" si="103"/>
        <v>0</v>
      </c>
      <c r="S542" s="5"/>
      <c r="U542" s="5"/>
      <c r="V542" s="5"/>
    </row>
    <row r="543" spans="2:22" x14ac:dyDescent="0.3">
      <c r="B543" s="5" t="s">
        <v>16</v>
      </c>
      <c r="C543" s="5" t="s">
        <v>1128</v>
      </c>
      <c r="D543" s="5" t="s">
        <v>1093</v>
      </c>
      <c r="E543" s="5" t="s">
        <v>655</v>
      </c>
      <c r="F543" s="5" t="s">
        <v>1095</v>
      </c>
      <c r="G543" s="5" t="s">
        <v>1096</v>
      </c>
      <c r="H543" s="6">
        <f>+P543-I543-J543</f>
        <v>332515.94736842107</v>
      </c>
      <c r="I543" s="6">
        <f t="shared" si="109"/>
        <v>57421.052631578947</v>
      </c>
      <c r="J543" s="6">
        <v>10910</v>
      </c>
      <c r="K543" s="6">
        <v>0</v>
      </c>
      <c r="L543" s="6">
        <v>0</v>
      </c>
      <c r="M543" s="6">
        <f t="shared" si="107"/>
        <v>389937</v>
      </c>
      <c r="N543" s="6">
        <f t="shared" si="108"/>
        <v>10910</v>
      </c>
      <c r="O543" s="6">
        <f t="shared" si="110"/>
        <v>400847</v>
      </c>
      <c r="P543" s="6">
        <v>400847</v>
      </c>
      <c r="Q543" s="6">
        <v>0</v>
      </c>
      <c r="R543" s="6">
        <f t="shared" si="103"/>
        <v>0</v>
      </c>
      <c r="S543" s="5"/>
      <c r="U543" s="5"/>
      <c r="V543" s="5"/>
    </row>
    <row r="544" spans="2:22" x14ac:dyDescent="0.3">
      <c r="B544" s="5" t="s">
        <v>16</v>
      </c>
      <c r="C544" s="5" t="s">
        <v>1129</v>
      </c>
      <c r="D544" s="5" t="s">
        <v>1130</v>
      </c>
      <c r="E544" s="5" t="s">
        <v>1131</v>
      </c>
      <c r="F544" s="5" t="s">
        <v>1132</v>
      </c>
      <c r="G544" s="5" t="s">
        <v>1133</v>
      </c>
      <c r="H544" s="6">
        <f>+P544-I544-J544-K544-L544</f>
        <v>-2.6315789500586106E-3</v>
      </c>
      <c r="I544" s="6">
        <f t="shared" si="109"/>
        <v>29126.05263157895</v>
      </c>
      <c r="J544" s="6">
        <v>5533.95</v>
      </c>
      <c r="K544" s="6">
        <v>0</v>
      </c>
      <c r="L544" s="6">
        <v>0</v>
      </c>
      <c r="M544" s="6">
        <f t="shared" si="107"/>
        <v>29126.05</v>
      </c>
      <c r="N544" s="6">
        <f t="shared" si="108"/>
        <v>5533.95</v>
      </c>
      <c r="O544" s="6">
        <f t="shared" si="110"/>
        <v>34660</v>
      </c>
      <c r="P544" s="6">
        <v>34660</v>
      </c>
      <c r="Q544" s="6">
        <v>0</v>
      </c>
      <c r="R544" s="6">
        <f t="shared" si="103"/>
        <v>0</v>
      </c>
      <c r="S544" s="5"/>
      <c r="U544" s="5"/>
      <c r="V544" s="5"/>
    </row>
    <row r="545" spans="2:20" s="5" customFormat="1" x14ac:dyDescent="0.3">
      <c r="B545" s="5" t="s">
        <v>16</v>
      </c>
      <c r="C545" s="5" t="s">
        <v>1134</v>
      </c>
      <c r="D545" s="5" t="s">
        <v>1130</v>
      </c>
      <c r="E545" s="5" t="s">
        <v>126</v>
      </c>
      <c r="F545" s="5" t="s">
        <v>1132</v>
      </c>
      <c r="G545" s="5" t="s">
        <v>1133</v>
      </c>
      <c r="H545" s="6">
        <f>+P545-I545-J545-K545-L545</f>
        <v>-5.6315789473046607E-2</v>
      </c>
      <c r="I545" s="6">
        <f t="shared" si="109"/>
        <v>26697.526315789473</v>
      </c>
      <c r="J545" s="6">
        <v>5072.53</v>
      </c>
      <c r="K545" s="6">
        <v>0</v>
      </c>
      <c r="L545" s="6">
        <v>0</v>
      </c>
      <c r="M545" s="6">
        <f t="shared" si="107"/>
        <v>26697.47</v>
      </c>
      <c r="N545" s="6">
        <f t="shared" si="108"/>
        <v>5072.53</v>
      </c>
      <c r="O545" s="6">
        <f t="shared" si="110"/>
        <v>31770</v>
      </c>
      <c r="P545" s="6">
        <v>31770</v>
      </c>
      <c r="Q545" s="6">
        <v>0</v>
      </c>
      <c r="R545" s="6">
        <f t="shared" si="103"/>
        <v>0</v>
      </c>
      <c r="T545"/>
    </row>
    <row r="546" spans="2:20" s="5" customFormat="1" x14ac:dyDescent="0.3">
      <c r="B546" s="5" t="s">
        <v>16</v>
      </c>
      <c r="C546" s="5" t="s">
        <v>1135</v>
      </c>
      <c r="D546" s="5" t="s">
        <v>1130</v>
      </c>
      <c r="E546" s="5" t="s">
        <v>486</v>
      </c>
      <c r="F546" s="5" t="s">
        <v>1132</v>
      </c>
      <c r="G546" s="5" t="s">
        <v>1133</v>
      </c>
      <c r="H546" s="6">
        <v>0</v>
      </c>
      <c r="I546" s="6">
        <f t="shared" si="109"/>
        <v>21277.315789473683</v>
      </c>
      <c r="J546" s="6">
        <v>4042.69</v>
      </c>
      <c r="K546" s="6">
        <v>0</v>
      </c>
      <c r="L546" s="6">
        <v>0</v>
      </c>
      <c r="M546" s="6">
        <f t="shared" si="107"/>
        <v>21277.315789473683</v>
      </c>
      <c r="N546" s="6">
        <f t="shared" si="108"/>
        <v>4042.69</v>
      </c>
      <c r="O546" s="6">
        <f t="shared" si="110"/>
        <v>25320.005789473682</v>
      </c>
      <c r="P546" s="6">
        <v>25320</v>
      </c>
      <c r="Q546" s="6">
        <v>0</v>
      </c>
      <c r="R546" s="6">
        <f t="shared" si="103"/>
        <v>0</v>
      </c>
      <c r="T546"/>
    </row>
    <row r="547" spans="2:20" s="5" customFormat="1" x14ac:dyDescent="0.3">
      <c r="B547" s="5" t="s">
        <v>16</v>
      </c>
      <c r="C547" s="5" t="s">
        <v>1136</v>
      </c>
      <c r="D547" s="5" t="s">
        <v>1130</v>
      </c>
      <c r="E547" s="5" t="s">
        <v>909</v>
      </c>
      <c r="F547" s="5" t="s">
        <v>1132</v>
      </c>
      <c r="G547" s="5" t="s">
        <v>1133</v>
      </c>
      <c r="H547" s="6">
        <v>0</v>
      </c>
      <c r="I547" s="6">
        <f t="shared" si="109"/>
        <v>21932.842105263157</v>
      </c>
      <c r="J547" s="6">
        <v>4167.24</v>
      </c>
      <c r="K547" s="6">
        <v>0</v>
      </c>
      <c r="L547" s="6">
        <v>0</v>
      </c>
      <c r="M547" s="6">
        <f t="shared" si="107"/>
        <v>21932.842105263157</v>
      </c>
      <c r="N547" s="6">
        <f t="shared" si="108"/>
        <v>4167.24</v>
      </c>
      <c r="O547" s="6">
        <f t="shared" si="110"/>
        <v>26100.082105263158</v>
      </c>
      <c r="P547" s="6">
        <v>26100</v>
      </c>
      <c r="Q547" s="6">
        <v>0</v>
      </c>
      <c r="R547" s="6">
        <f t="shared" si="103"/>
        <v>0</v>
      </c>
      <c r="T547"/>
    </row>
    <row r="548" spans="2:20" s="5" customFormat="1" x14ac:dyDescent="0.3">
      <c r="B548" s="5" t="s">
        <v>16</v>
      </c>
      <c r="C548" s="5" t="s">
        <v>1137</v>
      </c>
      <c r="D548" s="5" t="s">
        <v>1130</v>
      </c>
      <c r="E548" s="5" t="s">
        <v>1138</v>
      </c>
      <c r="F548" s="5" t="s">
        <v>1132</v>
      </c>
      <c r="G548" s="5" t="s">
        <v>1133</v>
      </c>
      <c r="H548" s="6">
        <f>+P548-I548-J548</f>
        <v>-2.6842105263312988E-2</v>
      </c>
      <c r="I548" s="6">
        <f t="shared" si="109"/>
        <v>28285.736842105263</v>
      </c>
      <c r="J548" s="6">
        <v>5374.29</v>
      </c>
      <c r="K548" s="6">
        <v>0</v>
      </c>
      <c r="L548" s="6">
        <v>0</v>
      </c>
      <c r="M548" s="6">
        <f t="shared" si="107"/>
        <v>28285.71</v>
      </c>
      <c r="N548" s="6">
        <f t="shared" si="108"/>
        <v>5374.29</v>
      </c>
      <c r="O548" s="6">
        <f t="shared" si="110"/>
        <v>33660</v>
      </c>
      <c r="P548" s="6">
        <v>33660</v>
      </c>
      <c r="Q548" s="6">
        <v>0</v>
      </c>
      <c r="R548" s="6">
        <f t="shared" si="103"/>
        <v>0</v>
      </c>
      <c r="T548"/>
    </row>
    <row r="549" spans="2:20" s="5" customFormat="1" x14ac:dyDescent="0.3">
      <c r="B549" s="5" t="s">
        <v>16</v>
      </c>
      <c r="C549" s="5" t="s">
        <v>1139</v>
      </c>
      <c r="D549" s="5" t="s">
        <v>1130</v>
      </c>
      <c r="E549" s="5" t="s">
        <v>48</v>
      </c>
      <c r="F549" s="5" t="s">
        <v>1132</v>
      </c>
      <c r="G549" s="5" t="s">
        <v>1133</v>
      </c>
      <c r="H549" s="6">
        <f>+P549-I549-J549</f>
        <v>-2.315789474050689E-2</v>
      </c>
      <c r="I549" s="6">
        <f t="shared" si="109"/>
        <v>25109.26315789474</v>
      </c>
      <c r="J549" s="6">
        <v>4770.76</v>
      </c>
      <c r="K549" s="6">
        <v>0</v>
      </c>
      <c r="L549" s="6">
        <v>0</v>
      </c>
      <c r="M549" s="6">
        <f t="shared" si="107"/>
        <v>25109.239999999998</v>
      </c>
      <c r="N549" s="6">
        <f t="shared" si="108"/>
        <v>4770.76</v>
      </c>
      <c r="O549" s="6">
        <f t="shared" si="110"/>
        <v>29880</v>
      </c>
      <c r="P549" s="6">
        <v>29880</v>
      </c>
      <c r="Q549" s="6">
        <v>0</v>
      </c>
      <c r="R549" s="6">
        <f t="shared" si="103"/>
        <v>0</v>
      </c>
      <c r="T549"/>
    </row>
    <row r="550" spans="2:20" s="5" customFormat="1" x14ac:dyDescent="0.3">
      <c r="B550" s="5" t="s">
        <v>16</v>
      </c>
      <c r="C550" s="5" t="s">
        <v>1140</v>
      </c>
      <c r="D550" s="5" t="s">
        <v>1130</v>
      </c>
      <c r="E550" s="5" t="s">
        <v>1083</v>
      </c>
      <c r="F550" s="5" t="s">
        <v>1132</v>
      </c>
      <c r="G550" s="5" t="s">
        <v>1133</v>
      </c>
      <c r="H550" s="6">
        <f>+P550-I550-J550-K550-L550</f>
        <v>3489.87</v>
      </c>
      <c r="I550" s="6">
        <f t="shared" si="109"/>
        <v>36227</v>
      </c>
      <c r="J550" s="6">
        <v>6883.13</v>
      </c>
      <c r="K550" s="6">
        <v>0</v>
      </c>
      <c r="L550" s="6">
        <v>0</v>
      </c>
      <c r="M550" s="6">
        <f t="shared" si="107"/>
        <v>39716.870000000003</v>
      </c>
      <c r="N550" s="6">
        <f t="shared" si="108"/>
        <v>6883.13</v>
      </c>
      <c r="O550" s="6">
        <f t="shared" si="110"/>
        <v>46600</v>
      </c>
      <c r="P550" s="6">
        <v>46600</v>
      </c>
      <c r="Q550" s="6">
        <v>0</v>
      </c>
      <c r="R550" s="6">
        <f t="shared" si="103"/>
        <v>0</v>
      </c>
      <c r="T550"/>
    </row>
    <row r="551" spans="2:20" s="5" customFormat="1" x14ac:dyDescent="0.3">
      <c r="B551" s="5" t="s">
        <v>16</v>
      </c>
      <c r="C551" s="5" t="s">
        <v>1141</v>
      </c>
      <c r="D551" s="5" t="s">
        <v>1142</v>
      </c>
      <c r="E551" s="5" t="s">
        <v>630</v>
      </c>
      <c r="F551" s="5" t="s">
        <v>1132</v>
      </c>
      <c r="G551" s="5" t="s">
        <v>1133</v>
      </c>
      <c r="H551" s="6">
        <f>+P551-I551-J551</f>
        <v>-0.11842105262985569</v>
      </c>
      <c r="I551" s="6">
        <f t="shared" si="109"/>
        <v>32672.36842105263</v>
      </c>
      <c r="J551" s="6">
        <v>6207.75</v>
      </c>
      <c r="K551" s="6">
        <v>0</v>
      </c>
      <c r="L551" s="6">
        <v>0</v>
      </c>
      <c r="M551" s="6">
        <f t="shared" si="107"/>
        <v>32672.25</v>
      </c>
      <c r="N551" s="6">
        <f t="shared" si="108"/>
        <v>6207.75</v>
      </c>
      <c r="O551" s="6">
        <f t="shared" si="110"/>
        <v>38880</v>
      </c>
      <c r="P551" s="6">
        <v>38880</v>
      </c>
      <c r="Q551" s="6">
        <v>0</v>
      </c>
      <c r="R551" s="6">
        <f t="shared" si="103"/>
        <v>0</v>
      </c>
      <c r="T551"/>
    </row>
    <row r="552" spans="2:20" s="5" customFormat="1" x14ac:dyDescent="0.3">
      <c r="B552" s="5" t="s">
        <v>16</v>
      </c>
      <c r="C552" s="5" t="s">
        <v>1143</v>
      </c>
      <c r="D552" s="5" t="s">
        <v>90</v>
      </c>
      <c r="E552" s="5" t="s">
        <v>548</v>
      </c>
      <c r="F552" s="5" t="s">
        <v>45</v>
      </c>
      <c r="G552" s="5" t="s">
        <v>92</v>
      </c>
      <c r="H552" s="6">
        <v>-4.7368421037390362E-3</v>
      </c>
      <c r="I552" s="6">
        <f t="shared" si="109"/>
        <v>27226.894736842103</v>
      </c>
      <c r="J552" s="6">
        <v>5173.1099999999997</v>
      </c>
      <c r="K552" s="6">
        <v>0</v>
      </c>
      <c r="L552" s="6">
        <v>0</v>
      </c>
      <c r="M552" s="6">
        <f t="shared" si="107"/>
        <v>27226.89</v>
      </c>
      <c r="N552" s="6">
        <f t="shared" si="108"/>
        <v>5173.1099999999997</v>
      </c>
      <c r="O552" s="6">
        <f t="shared" si="110"/>
        <v>32400</v>
      </c>
      <c r="P552" s="6">
        <v>32400</v>
      </c>
      <c r="Q552" s="6">
        <v>0</v>
      </c>
      <c r="R552" s="6">
        <f t="shared" si="103"/>
        <v>0</v>
      </c>
      <c r="T552"/>
    </row>
    <row r="553" spans="2:20" s="5" customFormat="1" x14ac:dyDescent="0.3">
      <c r="B553" s="5" t="s">
        <v>16</v>
      </c>
      <c r="C553" s="5" t="s">
        <v>1144</v>
      </c>
      <c r="D553" s="5" t="s">
        <v>90</v>
      </c>
      <c r="E553" s="5" t="s">
        <v>803</v>
      </c>
      <c r="F553" s="5" t="s">
        <v>45</v>
      </c>
      <c r="G553" s="5" t="s">
        <v>92</v>
      </c>
      <c r="H553" s="6">
        <v>1.4736842109414283E-2</v>
      </c>
      <c r="I553" s="6">
        <f t="shared" si="109"/>
        <v>35294.105263157893</v>
      </c>
      <c r="J553" s="6">
        <v>6705.88</v>
      </c>
      <c r="K553" s="6">
        <v>0</v>
      </c>
      <c r="L553" s="6">
        <v>0</v>
      </c>
      <c r="M553" s="6">
        <f t="shared" si="107"/>
        <v>35294.120000000003</v>
      </c>
      <c r="N553" s="6">
        <f t="shared" si="108"/>
        <v>6705.88</v>
      </c>
      <c r="O553" s="6">
        <f t="shared" si="110"/>
        <v>42000</v>
      </c>
      <c r="P553" s="6">
        <v>42000</v>
      </c>
      <c r="Q553" s="6">
        <v>0</v>
      </c>
      <c r="R553" s="6">
        <f t="shared" si="103"/>
        <v>0</v>
      </c>
      <c r="T553"/>
    </row>
    <row r="554" spans="2:20" s="5" customFormat="1" x14ac:dyDescent="0.3">
      <c r="B554" s="5" t="s">
        <v>16</v>
      </c>
      <c r="C554" s="5" t="s">
        <v>1145</v>
      </c>
      <c r="D554" s="5" t="s">
        <v>90</v>
      </c>
      <c r="E554" s="5" t="s">
        <v>550</v>
      </c>
      <c r="F554" s="5" t="s">
        <v>45</v>
      </c>
      <c r="G554" s="5" t="s">
        <v>92</v>
      </c>
      <c r="H554" s="6">
        <v>-7.2105263156117871E-2</v>
      </c>
      <c r="I554" s="6">
        <f t="shared" si="109"/>
        <v>984453.84210526315</v>
      </c>
      <c r="J554" s="6">
        <v>187046.23</v>
      </c>
      <c r="K554" s="6"/>
      <c r="L554" s="6"/>
      <c r="M554" s="6">
        <f>+H554+I554</f>
        <v>984453.77</v>
      </c>
      <c r="N554" s="6">
        <f>+J554</f>
        <v>187046.23</v>
      </c>
      <c r="O554" s="6">
        <f t="shared" si="110"/>
        <v>1171500</v>
      </c>
      <c r="P554" s="6">
        <v>1171500</v>
      </c>
      <c r="Q554" s="6"/>
      <c r="R554" s="6">
        <f t="shared" si="103"/>
        <v>0</v>
      </c>
      <c r="T554"/>
    </row>
    <row r="555" spans="2:20" s="5" customFormat="1" x14ac:dyDescent="0.3">
      <c r="B555" s="5" t="s">
        <v>16</v>
      </c>
      <c r="C555" s="5" t="s">
        <v>1146</v>
      </c>
      <c r="D555" s="5" t="s">
        <v>90</v>
      </c>
      <c r="E555" s="5" t="s">
        <v>439</v>
      </c>
      <c r="F555" s="5" t="s">
        <v>45</v>
      </c>
      <c r="G555" s="5" t="s">
        <v>92</v>
      </c>
      <c r="H555" s="6">
        <f>+P555-I555-J555</f>
        <v>1.8947368313092738E-2</v>
      </c>
      <c r="I555" s="6">
        <f t="shared" si="109"/>
        <v>1331092.4210526317</v>
      </c>
      <c r="J555" s="6">
        <v>252907.56</v>
      </c>
      <c r="K555" s="6">
        <v>0</v>
      </c>
      <c r="L555" s="6">
        <v>0</v>
      </c>
      <c r="M555" s="6">
        <f t="shared" ref="M555:M560" si="111">+H555+I555+K555</f>
        <v>1331092.44</v>
      </c>
      <c r="N555" s="6">
        <f>+J555+L555</f>
        <v>252907.56</v>
      </c>
      <c r="O555" s="6">
        <f t="shared" si="110"/>
        <v>1584000</v>
      </c>
      <c r="P555" s="6">
        <v>1584000</v>
      </c>
      <c r="Q555" s="6"/>
      <c r="R555" s="6">
        <f t="shared" si="103"/>
        <v>0</v>
      </c>
      <c r="T555"/>
    </row>
    <row r="556" spans="2:20" s="5" customFormat="1" x14ac:dyDescent="0.3">
      <c r="B556" s="5" t="s">
        <v>16</v>
      </c>
      <c r="C556" s="5" t="s">
        <v>1147</v>
      </c>
      <c r="D556" s="5" t="s">
        <v>90</v>
      </c>
      <c r="E556" s="5" t="s">
        <v>1148</v>
      </c>
      <c r="F556" s="5" t="s">
        <v>45</v>
      </c>
      <c r="G556" s="5" t="s">
        <v>92</v>
      </c>
      <c r="H556" s="6">
        <f>+P556-I556-J556</f>
        <v>1.5789473720360547E-2</v>
      </c>
      <c r="I556" s="6">
        <f t="shared" si="109"/>
        <v>1109243.6842105263</v>
      </c>
      <c r="J556" s="6">
        <v>210756.3</v>
      </c>
      <c r="K556" s="6">
        <v>0</v>
      </c>
      <c r="L556" s="6">
        <v>0</v>
      </c>
      <c r="M556" s="6">
        <f t="shared" si="111"/>
        <v>1109243.7</v>
      </c>
      <c r="N556" s="6">
        <f>J556+L556</f>
        <v>210756.3</v>
      </c>
      <c r="O556" s="6">
        <f t="shared" si="110"/>
        <v>1320000</v>
      </c>
      <c r="P556" s="6">
        <v>1320000</v>
      </c>
      <c r="Q556" s="6">
        <v>0</v>
      </c>
      <c r="R556" s="6">
        <f t="shared" si="103"/>
        <v>0</v>
      </c>
      <c r="T556"/>
    </row>
    <row r="557" spans="2:20" s="5" customFormat="1" x14ac:dyDescent="0.3">
      <c r="B557" s="5" t="s">
        <v>16</v>
      </c>
      <c r="C557" s="5" t="s">
        <v>1149</v>
      </c>
      <c r="D557" s="5" t="s">
        <v>90</v>
      </c>
      <c r="E557" s="5" t="s">
        <v>142</v>
      </c>
      <c r="F557" s="5" t="s">
        <v>45</v>
      </c>
      <c r="G557" s="5" t="s">
        <v>92</v>
      </c>
      <c r="H557" s="6">
        <f>+P557-I557-J557</f>
        <v>1.1578947363886982E-2</v>
      </c>
      <c r="I557" s="6">
        <f t="shared" si="109"/>
        <v>437445.36842105264</v>
      </c>
      <c r="J557" s="6">
        <v>83114.62</v>
      </c>
      <c r="K557" s="6">
        <v>0</v>
      </c>
      <c r="L557" s="6">
        <v>0</v>
      </c>
      <c r="M557" s="6">
        <f t="shared" si="111"/>
        <v>437445.38</v>
      </c>
      <c r="N557" s="6">
        <f t="shared" ref="N557:N571" si="112">+J557+L557</f>
        <v>83114.62</v>
      </c>
      <c r="O557" s="6">
        <f t="shared" si="110"/>
        <v>520560</v>
      </c>
      <c r="P557" s="6">
        <v>520560</v>
      </c>
      <c r="Q557" s="6">
        <v>0</v>
      </c>
      <c r="R557" s="6">
        <f t="shared" si="103"/>
        <v>0</v>
      </c>
      <c r="T557"/>
    </row>
    <row r="558" spans="2:20" s="5" customFormat="1" x14ac:dyDescent="0.3">
      <c r="B558" s="5" t="s">
        <v>16</v>
      </c>
      <c r="C558" s="5" t="s">
        <v>1150</v>
      </c>
      <c r="D558" s="5" t="s">
        <v>90</v>
      </c>
      <c r="E558" s="5" t="s">
        <v>226</v>
      </c>
      <c r="F558" s="5" t="s">
        <v>45</v>
      </c>
      <c r="G558" s="5" t="s">
        <v>92</v>
      </c>
      <c r="H558" s="6">
        <f>+P558-I558-J558-K558-L558</f>
        <v>-3.1578947491652798E-3</v>
      </c>
      <c r="I558" s="6">
        <f t="shared" si="109"/>
        <v>108151.26315789475</v>
      </c>
      <c r="J558" s="6">
        <v>20548.740000000002</v>
      </c>
      <c r="K558" s="6">
        <v>0</v>
      </c>
      <c r="L558" s="6">
        <v>0</v>
      </c>
      <c r="M558" s="6">
        <f t="shared" si="111"/>
        <v>108151.26</v>
      </c>
      <c r="N558" s="6">
        <f t="shared" si="112"/>
        <v>20548.740000000002</v>
      </c>
      <c r="O558" s="6">
        <f t="shared" si="110"/>
        <v>128700</v>
      </c>
      <c r="P558" s="6">
        <v>128700</v>
      </c>
      <c r="Q558" s="6">
        <v>0</v>
      </c>
      <c r="R558" s="6">
        <f t="shared" si="103"/>
        <v>0</v>
      </c>
      <c r="S558"/>
      <c r="T558"/>
    </row>
    <row r="559" spans="2:20" s="5" customFormat="1" x14ac:dyDescent="0.3">
      <c r="B559" s="5" t="s">
        <v>16</v>
      </c>
      <c r="C559" s="5" t="s">
        <v>1151</v>
      </c>
      <c r="D559" s="5" t="s">
        <v>35</v>
      </c>
      <c r="E559" s="5" t="s">
        <v>549</v>
      </c>
      <c r="F559" s="5" t="s">
        <v>235</v>
      </c>
      <c r="G559" s="5" t="s">
        <v>236</v>
      </c>
      <c r="H559" s="6">
        <v>1.0526315774768591E-2</v>
      </c>
      <c r="I559" s="6">
        <f t="shared" si="109"/>
        <v>700444.78947368427</v>
      </c>
      <c r="J559" s="6">
        <v>133084.51</v>
      </c>
      <c r="K559" s="6">
        <v>0</v>
      </c>
      <c r="L559" s="6">
        <v>0</v>
      </c>
      <c r="M559" s="6">
        <f t="shared" si="111"/>
        <v>700444.8</v>
      </c>
      <c r="N559" s="6">
        <f t="shared" si="112"/>
        <v>133084.51</v>
      </c>
      <c r="O559" s="6">
        <f t="shared" si="110"/>
        <v>833529.31</v>
      </c>
      <c r="P559" s="6">
        <v>833529.31</v>
      </c>
      <c r="Q559" s="6">
        <f>+P559-O559</f>
        <v>0</v>
      </c>
      <c r="R559" s="6">
        <f t="shared" si="103"/>
        <v>0</v>
      </c>
      <c r="S559"/>
      <c r="T559"/>
    </row>
    <row r="560" spans="2:20" s="5" customFormat="1" x14ac:dyDescent="0.3">
      <c r="B560" s="5" t="s">
        <v>16</v>
      </c>
      <c r="C560" s="5" t="s">
        <v>1152</v>
      </c>
      <c r="D560" s="5" t="s">
        <v>35</v>
      </c>
      <c r="E560" s="5" t="s">
        <v>795</v>
      </c>
      <c r="F560" s="5" t="s">
        <v>235</v>
      </c>
      <c r="G560" s="5" t="s">
        <v>236</v>
      </c>
      <c r="H560" s="6">
        <v>-1.0526315309107304E-2</v>
      </c>
      <c r="I560" s="6">
        <f t="shared" si="109"/>
        <v>3788674.2105263155</v>
      </c>
      <c r="J560" s="6">
        <v>719848.1</v>
      </c>
      <c r="K560" s="6">
        <v>0</v>
      </c>
      <c r="L560" s="6">
        <v>0</v>
      </c>
      <c r="M560" s="6">
        <f t="shared" si="111"/>
        <v>3788674.2</v>
      </c>
      <c r="N560" s="6">
        <f t="shared" si="112"/>
        <v>719848.1</v>
      </c>
      <c r="O560" s="6">
        <f t="shared" si="110"/>
        <v>4508522.3</v>
      </c>
      <c r="P560" s="6">
        <v>4508522.3</v>
      </c>
      <c r="Q560" s="6">
        <f>+M560</f>
        <v>3788674.2</v>
      </c>
      <c r="R560" s="6">
        <f t="shared" si="103"/>
        <v>94716.854999999996</v>
      </c>
      <c r="S560"/>
      <c r="T560"/>
    </row>
    <row r="561" spans="2:22" s="5" customFormat="1" x14ac:dyDescent="0.3">
      <c r="B561" s="7" t="s">
        <v>16</v>
      </c>
      <c r="C561" s="7" t="s">
        <v>1153</v>
      </c>
      <c r="D561" s="7" t="s">
        <v>35</v>
      </c>
      <c r="E561" s="7" t="s">
        <v>539</v>
      </c>
      <c r="F561" s="7" t="s">
        <v>235</v>
      </c>
      <c r="G561" s="7" t="s">
        <v>236</v>
      </c>
      <c r="H561" s="8">
        <f t="shared" ref="H561:H568" si="113">+P561-I561-J561</f>
        <v>0</v>
      </c>
      <c r="I561" s="8">
        <f t="shared" si="109"/>
        <v>518400</v>
      </c>
      <c r="J561" s="8">
        <v>98496</v>
      </c>
      <c r="K561" s="8">
        <v>0</v>
      </c>
      <c r="L561" s="8">
        <v>0</v>
      </c>
      <c r="M561" s="8">
        <f>+I561+H561</f>
        <v>518400</v>
      </c>
      <c r="N561" s="8">
        <f t="shared" si="112"/>
        <v>98496</v>
      </c>
      <c r="O561" s="8">
        <f t="shared" si="110"/>
        <v>616896</v>
      </c>
      <c r="P561" s="8">
        <v>616896</v>
      </c>
      <c r="Q561" s="8">
        <v>0</v>
      </c>
      <c r="R561" s="8">
        <f t="shared" si="103"/>
        <v>0</v>
      </c>
      <c r="S561"/>
      <c r="T561"/>
    </row>
    <row r="562" spans="2:22" s="5" customFormat="1" x14ac:dyDescent="0.3">
      <c r="B562" s="7" t="s">
        <v>16</v>
      </c>
      <c r="C562" s="7" t="s">
        <v>1154</v>
      </c>
      <c r="D562" s="7" t="s">
        <v>35</v>
      </c>
      <c r="E562" s="7" t="s">
        <v>238</v>
      </c>
      <c r="F562" s="7" t="s">
        <v>235</v>
      </c>
      <c r="G562" s="7" t="s">
        <v>236</v>
      </c>
      <c r="H562" s="8">
        <f t="shared" si="113"/>
        <v>1.5789473429322243E-2</v>
      </c>
      <c r="I562" s="8">
        <f t="shared" si="109"/>
        <v>6634082.6842105268</v>
      </c>
      <c r="J562" s="8">
        <v>1260475.71</v>
      </c>
      <c r="K562" s="8">
        <v>0</v>
      </c>
      <c r="L562" s="8">
        <v>0</v>
      </c>
      <c r="M562" s="8">
        <f>+I562+H562</f>
        <v>6634082.7000000002</v>
      </c>
      <c r="N562" s="8">
        <f t="shared" si="112"/>
        <v>1260475.71</v>
      </c>
      <c r="O562" s="8">
        <f t="shared" si="110"/>
        <v>7894558.4100000001</v>
      </c>
      <c r="P562" s="8">
        <v>7894558.4100000001</v>
      </c>
      <c r="Q562" s="8">
        <f t="shared" ref="Q562:Q568" si="114">+M562</f>
        <v>6634082.7000000002</v>
      </c>
      <c r="R562" s="8">
        <f t="shared" si="103"/>
        <v>165852.0675</v>
      </c>
      <c r="S562"/>
      <c r="T562"/>
    </row>
    <row r="563" spans="2:22" s="5" customFormat="1" x14ac:dyDescent="0.3">
      <c r="B563" s="5" t="s">
        <v>16</v>
      </c>
      <c r="C563" s="5" t="s">
        <v>1155</v>
      </c>
      <c r="D563" s="5" t="s">
        <v>35</v>
      </c>
      <c r="E563" s="5" t="s">
        <v>357</v>
      </c>
      <c r="F563" s="5" t="s">
        <v>235</v>
      </c>
      <c r="G563" s="5" t="s">
        <v>236</v>
      </c>
      <c r="H563" s="6">
        <f t="shared" si="113"/>
        <v>2.1052632015198469E-2</v>
      </c>
      <c r="I563" s="6">
        <f t="shared" si="109"/>
        <v>1900173.5789473681</v>
      </c>
      <c r="J563" s="6">
        <v>361032.98</v>
      </c>
      <c r="K563" s="6">
        <v>0</v>
      </c>
      <c r="L563" s="6">
        <v>0</v>
      </c>
      <c r="M563" s="6">
        <f t="shared" ref="M563:M571" si="115">+H563+I563+K563</f>
        <v>1900173.6</v>
      </c>
      <c r="N563" s="6">
        <f t="shared" si="112"/>
        <v>361032.98</v>
      </c>
      <c r="O563" s="6">
        <f t="shared" si="110"/>
        <v>2261206.58</v>
      </c>
      <c r="P563" s="6">
        <v>2261206.58</v>
      </c>
      <c r="Q563" s="6">
        <f t="shared" si="114"/>
        <v>1900173.6</v>
      </c>
      <c r="R563" s="6">
        <f t="shared" si="103"/>
        <v>47504.34</v>
      </c>
      <c r="S563"/>
      <c r="T563"/>
    </row>
    <row r="564" spans="2:22" s="5" customFormat="1" x14ac:dyDescent="0.3">
      <c r="B564" s="5" t="s">
        <v>16</v>
      </c>
      <c r="C564" s="5" t="s">
        <v>1156</v>
      </c>
      <c r="D564" s="5" t="s">
        <v>35</v>
      </c>
      <c r="E564" s="5" t="s">
        <v>992</v>
      </c>
      <c r="F564" s="5" t="s">
        <v>235</v>
      </c>
      <c r="G564" s="5" t="s">
        <v>236</v>
      </c>
      <c r="H564" s="6">
        <f t="shared" si="113"/>
        <v>-2.1052632248029113E-2</v>
      </c>
      <c r="I564" s="6">
        <f t="shared" si="109"/>
        <v>4266680.4210526319</v>
      </c>
      <c r="J564" s="6">
        <v>810669.28</v>
      </c>
      <c r="K564" s="6">
        <v>0</v>
      </c>
      <c r="L564" s="6">
        <v>0</v>
      </c>
      <c r="M564" s="6">
        <f t="shared" si="115"/>
        <v>4266680.3999999994</v>
      </c>
      <c r="N564" s="6">
        <f t="shared" si="112"/>
        <v>810669.28</v>
      </c>
      <c r="O564" s="6">
        <f t="shared" si="110"/>
        <v>5077349.68</v>
      </c>
      <c r="P564" s="6">
        <v>5077349.68</v>
      </c>
      <c r="Q564" s="6">
        <f t="shared" si="114"/>
        <v>4266680.3999999994</v>
      </c>
      <c r="R564" s="6">
        <f t="shared" ref="R564:R627" si="116">+Q564*2.5/100</f>
        <v>106667.00999999998</v>
      </c>
      <c r="T564"/>
    </row>
    <row r="565" spans="2:22" s="5" customFormat="1" x14ac:dyDescent="0.3">
      <c r="B565" s="5" t="s">
        <v>16</v>
      </c>
      <c r="C565" s="5" t="s">
        <v>1157</v>
      </c>
      <c r="D565" s="5" t="s">
        <v>35</v>
      </c>
      <c r="E565" s="5" t="s">
        <v>577</v>
      </c>
      <c r="F565" s="5" t="s">
        <v>235</v>
      </c>
      <c r="G565" s="5" t="s">
        <v>236</v>
      </c>
      <c r="H565" s="6">
        <f t="shared" si="113"/>
        <v>2.1052631374914199E-2</v>
      </c>
      <c r="I565" s="6">
        <f t="shared" si="109"/>
        <v>1512363.5789473685</v>
      </c>
      <c r="J565" s="6">
        <v>287349.08</v>
      </c>
      <c r="K565" s="6">
        <v>0</v>
      </c>
      <c r="L565" s="6">
        <v>0</v>
      </c>
      <c r="M565" s="6">
        <f t="shared" si="115"/>
        <v>1512363.5999999999</v>
      </c>
      <c r="N565" s="6">
        <f t="shared" si="112"/>
        <v>287349.08</v>
      </c>
      <c r="O565" s="6">
        <f t="shared" si="110"/>
        <v>1799712.68</v>
      </c>
      <c r="P565" s="6">
        <v>1799712.68</v>
      </c>
      <c r="Q565" s="6">
        <f t="shared" si="114"/>
        <v>1512363.5999999999</v>
      </c>
      <c r="R565" s="6">
        <f t="shared" si="116"/>
        <v>37809.089999999997</v>
      </c>
      <c r="T565"/>
    </row>
    <row r="566" spans="2:22" s="5" customFormat="1" x14ac:dyDescent="0.3">
      <c r="B566" s="5" t="s">
        <v>16</v>
      </c>
      <c r="C566" s="5" t="s">
        <v>1158</v>
      </c>
      <c r="D566" s="5" t="s">
        <v>35</v>
      </c>
      <c r="E566" s="5" t="s">
        <v>753</v>
      </c>
      <c r="F566" s="5" t="s">
        <v>235</v>
      </c>
      <c r="G566" s="5" t="s">
        <v>236</v>
      </c>
      <c r="H566" s="6">
        <f t="shared" si="113"/>
        <v>5.2631577709689736E-3</v>
      </c>
      <c r="I566" s="6">
        <f t="shared" si="109"/>
        <v>2836197.8947368423</v>
      </c>
      <c r="J566" s="6">
        <v>538877.6</v>
      </c>
      <c r="K566" s="6">
        <v>0</v>
      </c>
      <c r="L566" s="6">
        <v>0</v>
      </c>
      <c r="M566" s="6">
        <f t="shared" si="115"/>
        <v>2836197.9</v>
      </c>
      <c r="N566" s="6">
        <f t="shared" si="112"/>
        <v>538877.6</v>
      </c>
      <c r="O566" s="6">
        <f t="shared" si="110"/>
        <v>3375075.5</v>
      </c>
      <c r="P566" s="6">
        <v>3375075.5</v>
      </c>
      <c r="Q566" s="6">
        <f t="shared" si="114"/>
        <v>2836197.9</v>
      </c>
      <c r="R566" s="6">
        <f t="shared" si="116"/>
        <v>70904.947499999995</v>
      </c>
      <c r="T566"/>
    </row>
    <row r="567" spans="2:22" s="5" customFormat="1" x14ac:dyDescent="0.3">
      <c r="B567" s="5" t="s">
        <v>16</v>
      </c>
      <c r="C567" s="5" t="s">
        <v>1159</v>
      </c>
      <c r="D567" s="5" t="s">
        <v>35</v>
      </c>
      <c r="E567" s="5" t="s">
        <v>276</v>
      </c>
      <c r="F567" s="5" t="s">
        <v>235</v>
      </c>
      <c r="G567" s="5" t="s">
        <v>236</v>
      </c>
      <c r="H567" s="6">
        <f t="shared" si="113"/>
        <v>-1.0526315425522625E-2</v>
      </c>
      <c r="I567" s="6">
        <f t="shared" si="109"/>
        <v>3650011.2105263155</v>
      </c>
      <c r="J567" s="6">
        <v>693502.13</v>
      </c>
      <c r="K567" s="6">
        <v>0</v>
      </c>
      <c r="L567" s="6">
        <v>0</v>
      </c>
      <c r="M567" s="6">
        <f t="shared" si="115"/>
        <v>3650011.2</v>
      </c>
      <c r="N567" s="6">
        <f t="shared" si="112"/>
        <v>693502.13</v>
      </c>
      <c r="O567" s="6">
        <f t="shared" si="110"/>
        <v>4343513.33</v>
      </c>
      <c r="P567" s="6">
        <v>4343513.33</v>
      </c>
      <c r="Q567" s="6">
        <f t="shared" si="114"/>
        <v>3650011.2</v>
      </c>
      <c r="R567" s="6">
        <f t="shared" si="116"/>
        <v>91250.28</v>
      </c>
      <c r="T567"/>
    </row>
    <row r="568" spans="2:22" x14ac:dyDescent="0.3">
      <c r="B568" s="5" t="s">
        <v>16</v>
      </c>
      <c r="C568" s="5" t="s">
        <v>1160</v>
      </c>
      <c r="D568" s="5" t="s">
        <v>35</v>
      </c>
      <c r="E568" s="5" t="s">
        <v>413</v>
      </c>
      <c r="F568" s="5" t="s">
        <v>235</v>
      </c>
      <c r="G568" s="5" t="s">
        <v>236</v>
      </c>
      <c r="H568" s="6">
        <f t="shared" si="113"/>
        <v>-1.0526316124014556E-2</v>
      </c>
      <c r="I568" s="6">
        <f t="shared" si="109"/>
        <v>2135365.210526316</v>
      </c>
      <c r="J568" s="6">
        <v>405719.39</v>
      </c>
      <c r="K568" s="6">
        <v>0</v>
      </c>
      <c r="L568" s="6">
        <v>0</v>
      </c>
      <c r="M568" s="6">
        <f t="shared" si="115"/>
        <v>2135365.1999999997</v>
      </c>
      <c r="N568" s="6">
        <f t="shared" si="112"/>
        <v>405719.39</v>
      </c>
      <c r="O568" s="6">
        <f t="shared" si="110"/>
        <v>2541084.59</v>
      </c>
      <c r="P568" s="6">
        <v>2541084.59</v>
      </c>
      <c r="Q568" s="6">
        <f t="shared" si="114"/>
        <v>2135365.1999999997</v>
      </c>
      <c r="R568" s="6">
        <f t="shared" si="116"/>
        <v>53384.12999999999</v>
      </c>
    </row>
    <row r="569" spans="2:22" x14ac:dyDescent="0.3">
      <c r="B569" s="5" t="s">
        <v>16</v>
      </c>
      <c r="C569" s="5" t="s">
        <v>1161</v>
      </c>
      <c r="D569" s="5" t="s">
        <v>35</v>
      </c>
      <c r="E569" s="5" t="s">
        <v>763</v>
      </c>
      <c r="F569" s="5" t="s">
        <v>235</v>
      </c>
      <c r="G569" s="5" t="s">
        <v>236</v>
      </c>
      <c r="H569" s="6">
        <f>+P569-I569-J569-K569-L569</f>
        <v>-2.1052632015198469E-2</v>
      </c>
      <c r="I569" s="6">
        <f t="shared" si="109"/>
        <v>3095717.4210526319</v>
      </c>
      <c r="J569" s="6">
        <v>588186.31000000006</v>
      </c>
      <c r="K569" s="6">
        <v>0</v>
      </c>
      <c r="L569" s="6">
        <v>0</v>
      </c>
      <c r="M569" s="6">
        <f t="shared" si="115"/>
        <v>3095717.4</v>
      </c>
      <c r="N569" s="6">
        <f t="shared" si="112"/>
        <v>588186.31000000006</v>
      </c>
      <c r="O569" s="6">
        <f t="shared" si="110"/>
        <v>3683903.71</v>
      </c>
      <c r="P569" s="6">
        <v>3683903.71</v>
      </c>
      <c r="Q569" s="6">
        <f>+M569-3095717.4</f>
        <v>0</v>
      </c>
      <c r="R569" s="6">
        <f t="shared" si="116"/>
        <v>0</v>
      </c>
      <c r="U569" s="5"/>
      <c r="V569" s="5"/>
    </row>
    <row r="570" spans="2:22" x14ac:dyDescent="0.3">
      <c r="B570" s="5" t="s">
        <v>16</v>
      </c>
      <c r="C570" s="5" t="s">
        <v>1162</v>
      </c>
      <c r="D570" s="5" t="s">
        <v>35</v>
      </c>
      <c r="E570" s="5" t="s">
        <v>87</v>
      </c>
      <c r="F570" s="5" t="s">
        <v>235</v>
      </c>
      <c r="G570" s="5" t="s">
        <v>236</v>
      </c>
      <c r="H570" s="6">
        <f>+P570-I570-J570-K570-L570</f>
        <v>-2.1052631549537182E-2</v>
      </c>
      <c r="I570" s="6">
        <f t="shared" si="109"/>
        <v>3014402.4210526315</v>
      </c>
      <c r="J570" s="6">
        <v>572736.46</v>
      </c>
      <c r="K570" s="6">
        <v>0</v>
      </c>
      <c r="L570" s="6">
        <v>0</v>
      </c>
      <c r="M570" s="6">
        <f t="shared" si="115"/>
        <v>3014402.4</v>
      </c>
      <c r="N570" s="6">
        <f t="shared" si="112"/>
        <v>572736.46</v>
      </c>
      <c r="O570" s="6">
        <f t="shared" si="110"/>
        <v>3587138.86</v>
      </c>
      <c r="P570" s="6">
        <v>3587138.86</v>
      </c>
      <c r="Q570" s="6">
        <f>+M570</f>
        <v>3014402.4</v>
      </c>
      <c r="R570" s="6">
        <f t="shared" si="116"/>
        <v>75360.06</v>
      </c>
      <c r="U570" s="5"/>
      <c r="V570" s="5"/>
    </row>
    <row r="571" spans="2:22" s="5" customFormat="1" x14ac:dyDescent="0.3">
      <c r="B571" s="5" t="s">
        <v>16</v>
      </c>
      <c r="C571" s="5" t="s">
        <v>1163</v>
      </c>
      <c r="D571" s="5" t="s">
        <v>35</v>
      </c>
      <c r="E571" s="5" t="s">
        <v>481</v>
      </c>
      <c r="F571" s="5" t="s">
        <v>235</v>
      </c>
      <c r="G571" s="5" t="s">
        <v>236</v>
      </c>
      <c r="H571" s="6">
        <v>0</v>
      </c>
      <c r="I571" s="6">
        <f t="shared" si="109"/>
        <v>3313068.3157894737</v>
      </c>
      <c r="J571" s="6">
        <v>629482.98</v>
      </c>
      <c r="K571" s="6">
        <v>0</v>
      </c>
      <c r="L571" s="6">
        <v>0</v>
      </c>
      <c r="M571" s="6">
        <f t="shared" si="115"/>
        <v>3313068.3157894737</v>
      </c>
      <c r="N571" s="6">
        <f t="shared" si="112"/>
        <v>629482.98</v>
      </c>
      <c r="O571" s="6">
        <f t="shared" si="110"/>
        <v>3942551.2957894737</v>
      </c>
      <c r="P571" s="6">
        <v>3942551.28</v>
      </c>
      <c r="Q571" s="6">
        <f>+M571</f>
        <v>3313068.3157894737</v>
      </c>
      <c r="R571" s="6">
        <f t="shared" si="116"/>
        <v>82826.707894736843</v>
      </c>
      <c r="S571"/>
      <c r="T571"/>
    </row>
    <row r="572" spans="2:22" s="5" customFormat="1" x14ac:dyDescent="0.3">
      <c r="B572" s="5" t="s">
        <v>16</v>
      </c>
      <c r="C572" s="5" t="s">
        <v>1164</v>
      </c>
      <c r="D572" s="5" t="s">
        <v>917</v>
      </c>
      <c r="E572" s="5" t="s">
        <v>633</v>
      </c>
      <c r="F572" s="5" t="s">
        <v>1165</v>
      </c>
      <c r="G572" s="5" t="s">
        <v>1166</v>
      </c>
      <c r="H572" s="6">
        <v>-2.2631579544395208E-2</v>
      </c>
      <c r="I572" s="6">
        <f t="shared" si="109"/>
        <v>9509913.0526315793</v>
      </c>
      <c r="J572" s="6">
        <v>1806883.48</v>
      </c>
      <c r="K572" s="6"/>
      <c r="L572" s="6"/>
      <c r="M572" s="6">
        <f>+H572+I572</f>
        <v>9509913.0299999993</v>
      </c>
      <c r="N572" s="6">
        <f>+J572</f>
        <v>1806883.48</v>
      </c>
      <c r="O572" s="6">
        <f t="shared" si="110"/>
        <v>11316796.51</v>
      </c>
      <c r="P572" s="6">
        <v>11316796.51</v>
      </c>
      <c r="Q572" s="6"/>
      <c r="R572" s="6">
        <f t="shared" si="116"/>
        <v>0</v>
      </c>
      <c r="T572"/>
      <c r="U572" s="6"/>
    </row>
    <row r="573" spans="2:22" s="5" customFormat="1" x14ac:dyDescent="0.3">
      <c r="B573" s="5" t="s">
        <v>16</v>
      </c>
      <c r="C573" s="5" t="s">
        <v>1167</v>
      </c>
      <c r="D573" s="5" t="s">
        <v>917</v>
      </c>
      <c r="E573" s="5" t="s">
        <v>840</v>
      </c>
      <c r="F573" s="5" t="s">
        <v>1165</v>
      </c>
      <c r="G573" s="5" t="s">
        <v>1166</v>
      </c>
      <c r="H573" s="6">
        <f>+P573-I573-J573</f>
        <v>2.7368420735001564E-2</v>
      </c>
      <c r="I573" s="6">
        <f t="shared" si="109"/>
        <v>10121578.052631579</v>
      </c>
      <c r="J573" s="6">
        <v>1923099.83</v>
      </c>
      <c r="K573" s="6">
        <v>0</v>
      </c>
      <c r="L573" s="6">
        <v>0</v>
      </c>
      <c r="M573" s="6">
        <f>+H573+I573+K573</f>
        <v>10121578.08</v>
      </c>
      <c r="N573" s="6">
        <f>+J573+L573</f>
        <v>1923099.83</v>
      </c>
      <c r="O573" s="6">
        <f t="shared" si="110"/>
        <v>12044677.91</v>
      </c>
      <c r="P573" s="6">
        <v>12044677.91</v>
      </c>
      <c r="Q573" s="6">
        <v>0</v>
      </c>
      <c r="R573" s="6">
        <f t="shared" si="116"/>
        <v>0</v>
      </c>
      <c r="S573"/>
      <c r="T573"/>
    </row>
    <row r="574" spans="2:22" s="5" customFormat="1" x14ac:dyDescent="0.3">
      <c r="B574" s="5" t="s">
        <v>16</v>
      </c>
      <c r="C574" s="5" t="s">
        <v>1168</v>
      </c>
      <c r="D574" s="5" t="s">
        <v>917</v>
      </c>
      <c r="E574" s="5" t="s">
        <v>56</v>
      </c>
      <c r="F574" s="5" t="s">
        <v>1165</v>
      </c>
      <c r="G574" s="5" t="s">
        <v>1166</v>
      </c>
      <c r="H574" s="6">
        <f>+P574-I574-J574</f>
        <v>2.1052631782367826E-2</v>
      </c>
      <c r="I574" s="6">
        <f t="shared" si="109"/>
        <v>7900368.578947369</v>
      </c>
      <c r="J574" s="6">
        <v>1501070.03</v>
      </c>
      <c r="K574" s="6">
        <v>0</v>
      </c>
      <c r="L574" s="6">
        <v>0</v>
      </c>
      <c r="M574" s="6">
        <f>+H574+I574+K574</f>
        <v>7900368.6000000006</v>
      </c>
      <c r="N574" s="6">
        <f>+J574+L574</f>
        <v>1501070.03</v>
      </c>
      <c r="O574" s="6">
        <f t="shared" si="110"/>
        <v>9401438.6300000008</v>
      </c>
      <c r="P574" s="6">
        <v>9401438.6300000008</v>
      </c>
      <c r="Q574" s="6">
        <v>0</v>
      </c>
      <c r="R574" s="6">
        <f t="shared" si="116"/>
        <v>0</v>
      </c>
      <c r="S574"/>
      <c r="T574"/>
    </row>
    <row r="575" spans="2:22" s="5" customFormat="1" x14ac:dyDescent="0.3">
      <c r="B575" s="5" t="s">
        <v>16</v>
      </c>
      <c r="C575" s="5" t="s">
        <v>1169</v>
      </c>
      <c r="D575" s="5" t="s">
        <v>917</v>
      </c>
      <c r="E575" s="5" t="s">
        <v>1170</v>
      </c>
      <c r="F575" s="5" t="s">
        <v>1165</v>
      </c>
      <c r="G575" s="5" t="s">
        <v>1166</v>
      </c>
      <c r="H575" s="6">
        <f>+P575-I575-J575-K575-L575</f>
        <v>-2.1052627125754952E-3</v>
      </c>
      <c r="I575" s="6">
        <f t="shared" si="109"/>
        <v>2830839.8421052629</v>
      </c>
      <c r="J575" s="6">
        <v>537859.56999999995</v>
      </c>
      <c r="K575" s="6">
        <v>0</v>
      </c>
      <c r="L575" s="6">
        <v>0</v>
      </c>
      <c r="M575" s="6">
        <f>+H575+I575+K575</f>
        <v>2830839.8400000003</v>
      </c>
      <c r="N575" s="6">
        <f>+J575+L575</f>
        <v>537859.56999999995</v>
      </c>
      <c r="O575" s="6">
        <f t="shared" si="110"/>
        <v>3368699.41</v>
      </c>
      <c r="P575" s="6">
        <v>3368699.41</v>
      </c>
      <c r="Q575" s="6">
        <v>0</v>
      </c>
      <c r="R575" s="6">
        <f t="shared" si="116"/>
        <v>0</v>
      </c>
      <c r="S575"/>
      <c r="T575"/>
    </row>
    <row r="576" spans="2:22" s="5" customFormat="1" x14ac:dyDescent="0.3">
      <c r="B576" s="5" t="s">
        <v>16</v>
      </c>
      <c r="C576" s="5" t="s">
        <v>1171</v>
      </c>
      <c r="D576" s="5" t="s">
        <v>917</v>
      </c>
      <c r="E576" s="5" t="s">
        <v>892</v>
      </c>
      <c r="F576" s="5" t="s">
        <v>1165</v>
      </c>
      <c r="G576" s="5" t="s">
        <v>1166</v>
      </c>
      <c r="H576" s="6">
        <f>+P576-I576-J576</f>
        <v>-1.9999999785795808E-2</v>
      </c>
      <c r="I576" s="6">
        <f t="shared" si="109"/>
        <v>8215536</v>
      </c>
      <c r="J576" s="6">
        <v>1560951.84</v>
      </c>
      <c r="K576" s="6">
        <v>0</v>
      </c>
      <c r="L576" s="6">
        <v>0</v>
      </c>
      <c r="M576" s="6">
        <f>+H576+I576+K576</f>
        <v>8215535.9800000004</v>
      </c>
      <c r="N576" s="6">
        <f>+J576+L576</f>
        <v>1560951.84</v>
      </c>
      <c r="O576" s="6">
        <f t="shared" si="110"/>
        <v>9776487.8200000003</v>
      </c>
      <c r="P576" s="6">
        <v>9776487.8200000003</v>
      </c>
      <c r="Q576" s="6">
        <v>0</v>
      </c>
      <c r="R576" s="6">
        <f t="shared" si="116"/>
        <v>0</v>
      </c>
      <c r="S576"/>
      <c r="T576"/>
      <c r="U576"/>
      <c r="V576"/>
    </row>
    <row r="577" spans="2:22" s="5" customFormat="1" x14ac:dyDescent="0.3">
      <c r="B577" s="5" t="s">
        <v>16</v>
      </c>
      <c r="C577" s="5" t="s">
        <v>1172</v>
      </c>
      <c r="D577" s="5" t="s">
        <v>1173</v>
      </c>
      <c r="E577" s="5" t="s">
        <v>1174</v>
      </c>
      <c r="F577" s="5" t="s">
        <v>239</v>
      </c>
      <c r="G577" s="5" t="s">
        <v>240</v>
      </c>
      <c r="H577" s="6">
        <v>1.2105263157282025</v>
      </c>
      <c r="I577" s="6">
        <f t="shared" si="109"/>
        <v>1296215.7894736843</v>
      </c>
      <c r="J577" s="6">
        <v>246281</v>
      </c>
      <c r="K577" s="6"/>
      <c r="L577" s="6"/>
      <c r="M577" s="6">
        <f>+H577+I577</f>
        <v>1296217</v>
      </c>
      <c r="N577" s="6">
        <f>+J577</f>
        <v>246281</v>
      </c>
      <c r="O577" s="6">
        <f t="shared" si="110"/>
        <v>1542498</v>
      </c>
      <c r="P577" s="6">
        <v>1542498</v>
      </c>
      <c r="Q577" s="6"/>
      <c r="R577" s="6">
        <f t="shared" si="116"/>
        <v>0</v>
      </c>
      <c r="T577"/>
      <c r="U577"/>
      <c r="V577"/>
    </row>
    <row r="578" spans="2:22" s="5" customFormat="1" x14ac:dyDescent="0.3">
      <c r="B578" s="5" t="s">
        <v>16</v>
      </c>
      <c r="C578" s="5" t="s">
        <v>1175</v>
      </c>
      <c r="D578" s="5" t="s">
        <v>1173</v>
      </c>
      <c r="E578" s="5" t="s">
        <v>807</v>
      </c>
      <c r="F578" s="5" t="s">
        <v>239</v>
      </c>
      <c r="G578" s="5" t="s">
        <v>240</v>
      </c>
      <c r="H578" s="6">
        <v>2.2631578948348761</v>
      </c>
      <c r="I578" s="6">
        <f t="shared" si="109"/>
        <v>4000194.7368421052</v>
      </c>
      <c r="J578" s="6">
        <v>760037</v>
      </c>
      <c r="K578" s="6"/>
      <c r="L578" s="6"/>
      <c r="M578" s="6">
        <f>+H578+I578</f>
        <v>4000197</v>
      </c>
      <c r="N578" s="6">
        <f>+J578</f>
        <v>760037</v>
      </c>
      <c r="O578" s="6">
        <f t="shared" si="110"/>
        <v>4760234</v>
      </c>
      <c r="P578" s="6">
        <v>4760234</v>
      </c>
      <c r="Q578" s="6">
        <f t="shared" ref="Q578:Q592" si="117">+M578</f>
        <v>4000197</v>
      </c>
      <c r="R578" s="6">
        <f t="shared" si="116"/>
        <v>100004.925</v>
      </c>
      <c r="T578"/>
      <c r="U578"/>
      <c r="V578"/>
    </row>
    <row r="579" spans="2:22" s="5" customFormat="1" x14ac:dyDescent="0.3">
      <c r="B579" s="5" t="s">
        <v>16</v>
      </c>
      <c r="C579" s="5" t="s">
        <v>1176</v>
      </c>
      <c r="D579" s="5" t="s">
        <v>1173</v>
      </c>
      <c r="E579" s="5" t="s">
        <v>807</v>
      </c>
      <c r="F579" s="5" t="s">
        <v>239</v>
      </c>
      <c r="G579" s="5" t="s">
        <v>240</v>
      </c>
      <c r="H579" s="6">
        <v>0</v>
      </c>
      <c r="I579" s="6">
        <f t="shared" si="109"/>
        <v>5583600</v>
      </c>
      <c r="J579" s="6">
        <v>1060884</v>
      </c>
      <c r="K579" s="6"/>
      <c r="L579" s="6"/>
      <c r="M579" s="6">
        <f>+H579+I579</f>
        <v>5583600</v>
      </c>
      <c r="N579" s="6">
        <f>+J579</f>
        <v>1060884</v>
      </c>
      <c r="O579" s="6">
        <f t="shared" si="110"/>
        <v>6644484</v>
      </c>
      <c r="P579" s="6">
        <v>6644484</v>
      </c>
      <c r="Q579" s="6">
        <f t="shared" si="117"/>
        <v>5583600</v>
      </c>
      <c r="R579" s="6">
        <f t="shared" si="116"/>
        <v>139590</v>
      </c>
      <c r="T579"/>
    </row>
    <row r="580" spans="2:22" s="5" customFormat="1" x14ac:dyDescent="0.3">
      <c r="B580" s="5" t="s">
        <v>16</v>
      </c>
      <c r="C580" s="5" t="s">
        <v>1177</v>
      </c>
      <c r="D580" s="5" t="s">
        <v>1173</v>
      </c>
      <c r="E580" s="5" t="s">
        <v>827</v>
      </c>
      <c r="F580" s="5" t="s">
        <v>239</v>
      </c>
      <c r="G580" s="5" t="s">
        <v>240</v>
      </c>
      <c r="H580" s="6">
        <f t="shared" ref="H580:H585" si="118">+P580-I580-J580</f>
        <v>0</v>
      </c>
      <c r="I580" s="6">
        <f t="shared" si="109"/>
        <v>4867200</v>
      </c>
      <c r="J580" s="6">
        <v>924768</v>
      </c>
      <c r="K580" s="6">
        <v>0</v>
      </c>
      <c r="L580" s="6">
        <v>0</v>
      </c>
      <c r="M580" s="6">
        <f t="shared" ref="M580:M592" si="119">+H580+I580+K580</f>
        <v>4867200</v>
      </c>
      <c r="N580" s="6">
        <f t="shared" ref="N580:N592" si="120">+J580+L580</f>
        <v>924768</v>
      </c>
      <c r="O580" s="6">
        <f t="shared" si="110"/>
        <v>5791968</v>
      </c>
      <c r="P580" s="6">
        <v>5791968</v>
      </c>
      <c r="Q580" s="6">
        <f t="shared" si="117"/>
        <v>4867200</v>
      </c>
      <c r="R580" s="6">
        <f t="shared" si="116"/>
        <v>121680</v>
      </c>
      <c r="T580"/>
    </row>
    <row r="581" spans="2:22" s="5" customFormat="1" x14ac:dyDescent="0.3">
      <c r="B581" s="5" t="s">
        <v>16</v>
      </c>
      <c r="C581" s="5" t="s">
        <v>1178</v>
      </c>
      <c r="D581" s="5" t="s">
        <v>1173</v>
      </c>
      <c r="E581" s="5" t="s">
        <v>357</v>
      </c>
      <c r="F581" s="5" t="s">
        <v>239</v>
      </c>
      <c r="G581" s="5" t="s">
        <v>240</v>
      </c>
      <c r="H581" s="6">
        <f t="shared" si="118"/>
        <v>-2.5263157896697521</v>
      </c>
      <c r="I581" s="6">
        <f t="shared" si="109"/>
        <v>7345010.5263157897</v>
      </c>
      <c r="J581" s="6">
        <v>1395552</v>
      </c>
      <c r="K581" s="6">
        <v>0</v>
      </c>
      <c r="L581" s="6">
        <v>0</v>
      </c>
      <c r="M581" s="6">
        <f t="shared" si="119"/>
        <v>7345008</v>
      </c>
      <c r="N581" s="6">
        <f t="shared" si="120"/>
        <v>1395552</v>
      </c>
      <c r="O581" s="6">
        <f t="shared" si="110"/>
        <v>8740560</v>
      </c>
      <c r="P581" s="6">
        <v>8740560</v>
      </c>
      <c r="Q581" s="6">
        <f t="shared" si="117"/>
        <v>7345008</v>
      </c>
      <c r="R581" s="6">
        <f t="shared" si="116"/>
        <v>183625.2</v>
      </c>
      <c r="T581"/>
    </row>
    <row r="582" spans="2:22" s="5" customFormat="1" x14ac:dyDescent="0.3">
      <c r="B582" s="5" t="s">
        <v>16</v>
      </c>
      <c r="C582" s="5" t="s">
        <v>1179</v>
      </c>
      <c r="D582" s="5" t="s">
        <v>1173</v>
      </c>
      <c r="E582" s="5" t="s">
        <v>577</v>
      </c>
      <c r="F582" s="5" t="s">
        <v>239</v>
      </c>
      <c r="G582" s="5" t="s">
        <v>240</v>
      </c>
      <c r="H582" s="6">
        <f t="shared" si="118"/>
        <v>0</v>
      </c>
      <c r="I582" s="6">
        <f t="shared" si="109"/>
        <v>1965600</v>
      </c>
      <c r="J582" s="6">
        <v>373464</v>
      </c>
      <c r="K582" s="6">
        <v>0</v>
      </c>
      <c r="L582" s="6">
        <v>0</v>
      </c>
      <c r="M582" s="6">
        <f t="shared" si="119"/>
        <v>1965600</v>
      </c>
      <c r="N582" s="6">
        <f t="shared" si="120"/>
        <v>373464</v>
      </c>
      <c r="O582" s="6">
        <f t="shared" si="110"/>
        <v>2339064</v>
      </c>
      <c r="P582" s="6">
        <v>2339064</v>
      </c>
      <c r="Q582" s="6">
        <f t="shared" si="117"/>
        <v>1965600</v>
      </c>
      <c r="R582" s="6">
        <f t="shared" si="116"/>
        <v>49140</v>
      </c>
      <c r="T582"/>
    </row>
    <row r="583" spans="2:22" s="5" customFormat="1" x14ac:dyDescent="0.3">
      <c r="B583" s="5" t="s">
        <v>16</v>
      </c>
      <c r="C583" s="5" t="s">
        <v>1180</v>
      </c>
      <c r="D583" s="5" t="s">
        <v>1173</v>
      </c>
      <c r="E583" s="5" t="s">
        <v>577</v>
      </c>
      <c r="F583" s="5" t="s">
        <v>239</v>
      </c>
      <c r="G583" s="5" t="s">
        <v>240</v>
      </c>
      <c r="H583" s="6">
        <f t="shared" si="118"/>
        <v>1</v>
      </c>
      <c r="I583" s="6">
        <f t="shared" si="109"/>
        <v>5873600</v>
      </c>
      <c r="J583" s="6">
        <v>1115984</v>
      </c>
      <c r="K583" s="6">
        <v>0</v>
      </c>
      <c r="L583" s="6">
        <v>0</v>
      </c>
      <c r="M583" s="6">
        <f t="shared" si="119"/>
        <v>5873601</v>
      </c>
      <c r="N583" s="6">
        <f t="shared" si="120"/>
        <v>1115984</v>
      </c>
      <c r="O583" s="6">
        <f t="shared" si="110"/>
        <v>6989585</v>
      </c>
      <c r="P583" s="6">
        <v>6989585</v>
      </c>
      <c r="Q583" s="6">
        <f t="shared" si="117"/>
        <v>5873601</v>
      </c>
      <c r="R583" s="6">
        <f t="shared" si="116"/>
        <v>146840.02499999999</v>
      </c>
      <c r="T583"/>
      <c r="U583" s="6"/>
    </row>
    <row r="584" spans="2:22" s="5" customFormat="1" x14ac:dyDescent="0.3">
      <c r="B584" s="5" t="s">
        <v>16</v>
      </c>
      <c r="C584" s="5" t="s">
        <v>1181</v>
      </c>
      <c r="D584" s="5" t="s">
        <v>1173</v>
      </c>
      <c r="E584" s="5" t="s">
        <v>1032</v>
      </c>
      <c r="F584" s="5" t="s">
        <v>239</v>
      </c>
      <c r="G584" s="5" t="s">
        <v>240</v>
      </c>
      <c r="H584" s="6">
        <f t="shared" si="118"/>
        <v>-3.0526315784081817</v>
      </c>
      <c r="I584" s="6">
        <f t="shared" si="109"/>
        <v>4343221.0526315784</v>
      </c>
      <c r="J584" s="6">
        <v>825212</v>
      </c>
      <c r="K584" s="6">
        <v>0</v>
      </c>
      <c r="L584" s="6">
        <v>0</v>
      </c>
      <c r="M584" s="6">
        <f t="shared" si="119"/>
        <v>4343218</v>
      </c>
      <c r="N584" s="6">
        <f t="shared" si="120"/>
        <v>825212</v>
      </c>
      <c r="O584" s="6">
        <f t="shared" si="110"/>
        <v>5168430</v>
      </c>
      <c r="P584" s="6">
        <v>5168430</v>
      </c>
      <c r="Q584" s="6">
        <f t="shared" si="117"/>
        <v>4343218</v>
      </c>
      <c r="R584" s="6">
        <f t="shared" si="116"/>
        <v>108580.45</v>
      </c>
      <c r="T584"/>
      <c r="U584" s="6"/>
    </row>
    <row r="585" spans="2:22" s="5" customFormat="1" x14ac:dyDescent="0.3">
      <c r="B585" s="5" t="s">
        <v>16</v>
      </c>
      <c r="C585" s="5" t="s">
        <v>1182</v>
      </c>
      <c r="D585" s="5" t="s">
        <v>1173</v>
      </c>
      <c r="E585" s="5" t="s">
        <v>1032</v>
      </c>
      <c r="F585" s="5" t="s">
        <v>239</v>
      </c>
      <c r="G585" s="5" t="s">
        <v>240</v>
      </c>
      <c r="H585" s="6">
        <f t="shared" si="118"/>
        <v>1.1052631577476859</v>
      </c>
      <c r="I585" s="6">
        <f t="shared" si="109"/>
        <v>5499357.8947368423</v>
      </c>
      <c r="J585" s="6">
        <v>1044878</v>
      </c>
      <c r="K585" s="6">
        <v>0</v>
      </c>
      <c r="L585" s="6">
        <v>0</v>
      </c>
      <c r="M585" s="6">
        <f t="shared" si="119"/>
        <v>5499359</v>
      </c>
      <c r="N585" s="6">
        <f t="shared" si="120"/>
        <v>1044878</v>
      </c>
      <c r="O585" s="6">
        <f t="shared" si="110"/>
        <v>6544237</v>
      </c>
      <c r="P585" s="6">
        <v>6544237</v>
      </c>
      <c r="Q585" s="6">
        <f t="shared" si="117"/>
        <v>5499359</v>
      </c>
      <c r="R585" s="6">
        <f t="shared" si="116"/>
        <v>137483.97500000001</v>
      </c>
      <c r="T585"/>
      <c r="U585" s="6"/>
    </row>
    <row r="586" spans="2:22" s="5" customFormat="1" x14ac:dyDescent="0.3">
      <c r="B586" s="5" t="s">
        <v>16</v>
      </c>
      <c r="C586" s="5" t="s">
        <v>1183</v>
      </c>
      <c r="D586" s="5" t="s">
        <v>1173</v>
      </c>
      <c r="E586" s="5" t="s">
        <v>1184</v>
      </c>
      <c r="F586" s="5" t="s">
        <v>239</v>
      </c>
      <c r="G586" s="5" t="s">
        <v>240</v>
      </c>
      <c r="H586" s="6">
        <f>+P586-I586-J586-K586-L586</f>
        <v>-1.0526315791066736</v>
      </c>
      <c r="I586" s="6">
        <f t="shared" si="109"/>
        <v>1811521.0526315791</v>
      </c>
      <c r="J586" s="6">
        <v>344189</v>
      </c>
      <c r="K586" s="6">
        <v>0</v>
      </c>
      <c r="L586" s="6">
        <v>0</v>
      </c>
      <c r="M586" s="6">
        <f t="shared" si="119"/>
        <v>1811520</v>
      </c>
      <c r="N586" s="6">
        <f t="shared" si="120"/>
        <v>344189</v>
      </c>
      <c r="O586" s="6">
        <f t="shared" si="110"/>
        <v>2155709</v>
      </c>
      <c r="P586" s="6">
        <v>2155709</v>
      </c>
      <c r="Q586" s="6">
        <f t="shared" si="117"/>
        <v>1811520</v>
      </c>
      <c r="R586" s="6">
        <f t="shared" si="116"/>
        <v>45288</v>
      </c>
      <c r="T586"/>
    </row>
    <row r="587" spans="2:22" s="5" customFormat="1" x14ac:dyDescent="0.3">
      <c r="B587" s="5" t="s">
        <v>16</v>
      </c>
      <c r="C587" s="5" t="s">
        <v>1185</v>
      </c>
      <c r="D587" s="5" t="s">
        <v>1173</v>
      </c>
      <c r="E587" s="5" t="s">
        <v>1184</v>
      </c>
      <c r="F587" s="5" t="s">
        <v>239</v>
      </c>
      <c r="G587" s="5" t="s">
        <v>240</v>
      </c>
      <c r="H587" s="6">
        <f>+P587-I587-J587-K587-L587</f>
        <v>-2.8421052629128098</v>
      </c>
      <c r="I587" s="6">
        <f t="shared" si="109"/>
        <v>1824236.8421052629</v>
      </c>
      <c r="J587" s="6">
        <v>346605</v>
      </c>
      <c r="K587" s="6">
        <v>0</v>
      </c>
      <c r="L587" s="6">
        <v>0</v>
      </c>
      <c r="M587" s="6">
        <f t="shared" si="119"/>
        <v>1824234</v>
      </c>
      <c r="N587" s="6">
        <f t="shared" si="120"/>
        <v>346605</v>
      </c>
      <c r="O587" s="6">
        <f t="shared" si="110"/>
        <v>2170839</v>
      </c>
      <c r="P587" s="6">
        <v>2170839</v>
      </c>
      <c r="Q587" s="6">
        <f t="shared" si="117"/>
        <v>1824234</v>
      </c>
      <c r="R587" s="6">
        <f t="shared" si="116"/>
        <v>45605.85</v>
      </c>
      <c r="T587"/>
    </row>
    <row r="588" spans="2:22" s="5" customFormat="1" x14ac:dyDescent="0.3">
      <c r="B588" s="5" t="s">
        <v>16</v>
      </c>
      <c r="C588" s="5" t="s">
        <v>1186</v>
      </c>
      <c r="D588" s="5" t="s">
        <v>1173</v>
      </c>
      <c r="E588" s="5" t="s">
        <v>1184</v>
      </c>
      <c r="F588" s="5" t="s">
        <v>239</v>
      </c>
      <c r="G588" s="5" t="s">
        <v>240</v>
      </c>
      <c r="H588" s="6">
        <f>+P588-I588-J588-K588-L588</f>
        <v>0</v>
      </c>
      <c r="I588" s="6">
        <f t="shared" si="109"/>
        <v>2912400</v>
      </c>
      <c r="J588" s="6">
        <v>553356</v>
      </c>
      <c r="K588" s="6">
        <v>0</v>
      </c>
      <c r="L588" s="6">
        <v>0</v>
      </c>
      <c r="M588" s="6">
        <f t="shared" si="119"/>
        <v>2912400</v>
      </c>
      <c r="N588" s="6">
        <f t="shared" si="120"/>
        <v>553356</v>
      </c>
      <c r="O588" s="6">
        <f t="shared" si="110"/>
        <v>3465756</v>
      </c>
      <c r="P588" s="6">
        <v>3465756</v>
      </c>
      <c r="Q588" s="6">
        <f t="shared" si="117"/>
        <v>2912400</v>
      </c>
      <c r="R588" s="6">
        <f t="shared" si="116"/>
        <v>72810</v>
      </c>
      <c r="T588"/>
    </row>
    <row r="589" spans="2:22" x14ac:dyDescent="0.3">
      <c r="B589" s="5" t="s">
        <v>16</v>
      </c>
      <c r="C589" s="5" t="s">
        <v>1187</v>
      </c>
      <c r="D589" s="5" t="s">
        <v>1173</v>
      </c>
      <c r="E589" s="5" t="s">
        <v>1188</v>
      </c>
      <c r="F589" s="5" t="s">
        <v>239</v>
      </c>
      <c r="G589" s="5" t="s">
        <v>240</v>
      </c>
      <c r="H589" s="6">
        <f>+P589-I589-J589</f>
        <v>-1.0526315791066736</v>
      </c>
      <c r="I589" s="6">
        <f t="shared" si="109"/>
        <v>1811521.0526315791</v>
      </c>
      <c r="J589" s="6">
        <v>344189</v>
      </c>
      <c r="K589" s="6">
        <v>0</v>
      </c>
      <c r="L589" s="6">
        <v>0</v>
      </c>
      <c r="M589" s="6">
        <f t="shared" si="119"/>
        <v>1811520</v>
      </c>
      <c r="N589" s="6">
        <f t="shared" si="120"/>
        <v>344189</v>
      </c>
      <c r="O589" s="6">
        <f t="shared" si="110"/>
        <v>2155709</v>
      </c>
      <c r="P589" s="6">
        <v>2155709</v>
      </c>
      <c r="Q589" s="6">
        <f t="shared" si="117"/>
        <v>1811520</v>
      </c>
      <c r="R589" s="6">
        <f t="shared" si="116"/>
        <v>45288</v>
      </c>
      <c r="S589" s="5"/>
      <c r="U589" s="5"/>
      <c r="V589" s="5"/>
    </row>
    <row r="590" spans="2:22" x14ac:dyDescent="0.3">
      <c r="B590" s="5" t="s">
        <v>16</v>
      </c>
      <c r="C590" s="5" t="s">
        <v>1189</v>
      </c>
      <c r="D590" s="5" t="s">
        <v>1173</v>
      </c>
      <c r="E590" s="5" t="s">
        <v>1188</v>
      </c>
      <c r="F590" s="5" t="s">
        <v>239</v>
      </c>
      <c r="G590" s="5" t="s">
        <v>240</v>
      </c>
      <c r="H590" s="6">
        <f>+P590-I590-J590</f>
        <v>0</v>
      </c>
      <c r="I590" s="6">
        <f t="shared" si="109"/>
        <v>2192400</v>
      </c>
      <c r="J590" s="6">
        <v>416556</v>
      </c>
      <c r="K590" s="6">
        <v>0</v>
      </c>
      <c r="L590" s="6">
        <v>0</v>
      </c>
      <c r="M590" s="6">
        <f t="shared" si="119"/>
        <v>2192400</v>
      </c>
      <c r="N590" s="6">
        <f t="shared" si="120"/>
        <v>416556</v>
      </c>
      <c r="O590" s="6">
        <f t="shared" si="110"/>
        <v>2608956</v>
      </c>
      <c r="P590" s="6">
        <v>2608956</v>
      </c>
      <c r="Q590" s="6">
        <f t="shared" si="117"/>
        <v>2192400</v>
      </c>
      <c r="R590" s="6">
        <f t="shared" si="116"/>
        <v>54810</v>
      </c>
      <c r="S590" s="5"/>
      <c r="U590" s="5"/>
      <c r="V590" s="5"/>
    </row>
    <row r="591" spans="2:22" s="5" customFormat="1" x14ac:dyDescent="0.3">
      <c r="B591" s="5" t="s">
        <v>16</v>
      </c>
      <c r="C591" s="5" t="s">
        <v>1190</v>
      </c>
      <c r="D591" s="5" t="s">
        <v>1173</v>
      </c>
      <c r="E591" s="5" t="s">
        <v>1188</v>
      </c>
      <c r="F591" s="5" t="s">
        <v>239</v>
      </c>
      <c r="G591" s="5" t="s">
        <v>240</v>
      </c>
      <c r="H591" s="6">
        <f>+P591-I591-J591</f>
        <v>-1.8421052629128098</v>
      </c>
      <c r="I591" s="6">
        <f t="shared" si="109"/>
        <v>4513736.8421052629</v>
      </c>
      <c r="J591" s="6">
        <v>857610</v>
      </c>
      <c r="K591" s="6">
        <v>0</v>
      </c>
      <c r="L591" s="6">
        <v>0</v>
      </c>
      <c r="M591" s="6">
        <f t="shared" si="119"/>
        <v>4513735</v>
      </c>
      <c r="N591" s="6">
        <f t="shared" si="120"/>
        <v>857610</v>
      </c>
      <c r="O591" s="6">
        <f t="shared" si="110"/>
        <v>5371345</v>
      </c>
      <c r="P591" s="6">
        <v>5371345</v>
      </c>
      <c r="Q591" s="6">
        <f t="shared" si="117"/>
        <v>4513735</v>
      </c>
      <c r="R591" s="6">
        <f t="shared" si="116"/>
        <v>112843.375</v>
      </c>
      <c r="T591"/>
    </row>
    <row r="592" spans="2:22" s="5" customFormat="1" x14ac:dyDescent="0.3">
      <c r="B592" s="5" t="s">
        <v>16</v>
      </c>
      <c r="C592" s="5" t="s">
        <v>1191</v>
      </c>
      <c r="D592" s="5" t="s">
        <v>1192</v>
      </c>
      <c r="E592" s="5" t="s">
        <v>1193</v>
      </c>
      <c r="F592" s="5" t="s">
        <v>184</v>
      </c>
      <c r="G592" s="5" t="s">
        <v>185</v>
      </c>
      <c r="H592" s="6">
        <v>0.42105263145640492</v>
      </c>
      <c r="I592" s="6">
        <f t="shared" si="109"/>
        <v>2129831.5789473685</v>
      </c>
      <c r="J592" s="6">
        <v>404668</v>
      </c>
      <c r="K592" s="6">
        <v>0</v>
      </c>
      <c r="L592" s="6">
        <v>0</v>
      </c>
      <c r="M592" s="6">
        <f t="shared" si="119"/>
        <v>2129832</v>
      </c>
      <c r="N592" s="6">
        <f t="shared" si="120"/>
        <v>404668</v>
      </c>
      <c r="O592" s="6">
        <f t="shared" si="110"/>
        <v>2534500</v>
      </c>
      <c r="P592" s="6">
        <v>2534500</v>
      </c>
      <c r="Q592" s="6">
        <f t="shared" si="117"/>
        <v>2129832</v>
      </c>
      <c r="R592" s="6">
        <f t="shared" si="116"/>
        <v>53245.8</v>
      </c>
      <c r="T592"/>
      <c r="V592"/>
    </row>
    <row r="593" spans="2:22" x14ac:dyDescent="0.3">
      <c r="B593" s="5" t="s">
        <v>16</v>
      </c>
      <c r="C593" s="5" t="s">
        <v>1194</v>
      </c>
      <c r="D593" s="5" t="s">
        <v>1192</v>
      </c>
      <c r="E593" s="5" t="s">
        <v>694</v>
      </c>
      <c r="F593" s="5" t="s">
        <v>184</v>
      </c>
      <c r="G593" s="5" t="s">
        <v>185</v>
      </c>
      <c r="H593" s="6">
        <v>-1</v>
      </c>
      <c r="I593" s="6">
        <f t="shared" si="109"/>
        <v>1182900</v>
      </c>
      <c r="J593" s="6">
        <v>224751</v>
      </c>
      <c r="K593" s="6"/>
      <c r="L593" s="6"/>
      <c r="M593" s="6">
        <f>+H593+I593</f>
        <v>1182899</v>
      </c>
      <c r="N593" s="6">
        <f>+J593</f>
        <v>224751</v>
      </c>
      <c r="O593" s="6">
        <f t="shared" si="110"/>
        <v>1407650</v>
      </c>
      <c r="P593" s="6">
        <v>1407650</v>
      </c>
      <c r="Q593" s="6"/>
      <c r="R593" s="6">
        <f t="shared" si="116"/>
        <v>0</v>
      </c>
      <c r="S593" s="5"/>
      <c r="U593" s="5"/>
    </row>
    <row r="594" spans="2:22" x14ac:dyDescent="0.3">
      <c r="B594" s="5" t="s">
        <v>16</v>
      </c>
      <c r="C594" s="5" t="s">
        <v>1195</v>
      </c>
      <c r="D594" s="5" t="s">
        <v>1192</v>
      </c>
      <c r="E594" s="5" t="s">
        <v>357</v>
      </c>
      <c r="F594" s="5" t="s">
        <v>184</v>
      </c>
      <c r="G594" s="5" t="s">
        <v>185</v>
      </c>
      <c r="H594" s="6">
        <f>+P594-I594-J594</f>
        <v>0.68421052629128098</v>
      </c>
      <c r="I594" s="6">
        <f t="shared" si="109"/>
        <v>3048426.3157894737</v>
      </c>
      <c r="J594" s="6">
        <v>579201</v>
      </c>
      <c r="K594" s="6">
        <v>0</v>
      </c>
      <c r="L594" s="6">
        <v>0</v>
      </c>
      <c r="M594" s="6">
        <f t="shared" ref="M594:M604" si="121">+H594+I594+K594</f>
        <v>3048427</v>
      </c>
      <c r="N594" s="6">
        <f t="shared" ref="N594:N604" si="122">+J594+L594</f>
        <v>579201</v>
      </c>
      <c r="O594" s="6">
        <f t="shared" si="110"/>
        <v>3627628</v>
      </c>
      <c r="P594" s="6">
        <v>3627628</v>
      </c>
      <c r="Q594" s="6">
        <f t="shared" ref="Q594:Q599" si="123">+M594</f>
        <v>3048427</v>
      </c>
      <c r="R594" s="6">
        <f t="shared" si="116"/>
        <v>76210.675000000003</v>
      </c>
      <c r="S594" s="5"/>
      <c r="U594" s="5"/>
      <c r="V594" s="5"/>
    </row>
    <row r="595" spans="2:22" s="5" customFormat="1" x14ac:dyDescent="0.3">
      <c r="B595" s="5" t="s">
        <v>16</v>
      </c>
      <c r="C595" s="5" t="s">
        <v>1196</v>
      </c>
      <c r="D595" s="5" t="s">
        <v>1192</v>
      </c>
      <c r="E595" s="5" t="s">
        <v>751</v>
      </c>
      <c r="F595" s="5" t="s">
        <v>184</v>
      </c>
      <c r="G595" s="5" t="s">
        <v>185</v>
      </c>
      <c r="H595" s="6">
        <f>+P595-I595-J595</f>
        <v>0.21052631572820246</v>
      </c>
      <c r="I595" s="6">
        <f t="shared" si="109"/>
        <v>1469815.7894736843</v>
      </c>
      <c r="J595" s="6">
        <v>279265</v>
      </c>
      <c r="K595" s="6">
        <v>0</v>
      </c>
      <c r="L595" s="6">
        <v>0</v>
      </c>
      <c r="M595" s="6">
        <f t="shared" si="121"/>
        <v>1469816</v>
      </c>
      <c r="N595" s="6">
        <f t="shared" si="122"/>
        <v>279265</v>
      </c>
      <c r="O595" s="6">
        <f t="shared" si="110"/>
        <v>1749081</v>
      </c>
      <c r="P595" s="6">
        <v>1749081</v>
      </c>
      <c r="Q595" s="6">
        <f t="shared" si="123"/>
        <v>1469816</v>
      </c>
      <c r="R595" s="6">
        <f t="shared" si="116"/>
        <v>36745.4</v>
      </c>
      <c r="T595"/>
    </row>
    <row r="596" spans="2:22" s="5" customFormat="1" x14ac:dyDescent="0.3">
      <c r="B596" s="5" t="s">
        <v>16</v>
      </c>
      <c r="C596" s="5" t="s">
        <v>1197</v>
      </c>
      <c r="D596" s="5" t="s">
        <v>1192</v>
      </c>
      <c r="E596" s="5" t="s">
        <v>389</v>
      </c>
      <c r="F596" s="5" t="s">
        <v>184</v>
      </c>
      <c r="G596" s="5" t="s">
        <v>185</v>
      </c>
      <c r="H596" s="6">
        <f>+P596-I596-J596</f>
        <v>-1.1578947370871902</v>
      </c>
      <c r="I596" s="6">
        <f t="shared" si="109"/>
        <v>1704863.1578947371</v>
      </c>
      <c r="J596" s="6">
        <v>323924</v>
      </c>
      <c r="K596" s="6">
        <v>0</v>
      </c>
      <c r="L596" s="6">
        <v>0</v>
      </c>
      <c r="M596" s="6">
        <f t="shared" si="121"/>
        <v>1704862</v>
      </c>
      <c r="N596" s="6">
        <f t="shared" si="122"/>
        <v>323924</v>
      </c>
      <c r="O596" s="6">
        <f t="shared" si="110"/>
        <v>2028786</v>
      </c>
      <c r="P596" s="6">
        <v>2028786</v>
      </c>
      <c r="Q596" s="6">
        <f t="shared" si="123"/>
        <v>1704862</v>
      </c>
      <c r="R596" s="6">
        <f t="shared" si="116"/>
        <v>42621.55</v>
      </c>
      <c r="T596"/>
    </row>
    <row r="597" spans="2:22" s="5" customFormat="1" x14ac:dyDescent="0.3">
      <c r="B597" s="5" t="s">
        <v>16</v>
      </c>
      <c r="C597" s="5" t="s">
        <v>1198</v>
      </c>
      <c r="D597" s="5" t="s">
        <v>1192</v>
      </c>
      <c r="E597" s="5" t="s">
        <v>1199</v>
      </c>
      <c r="F597" s="5" t="s">
        <v>184</v>
      </c>
      <c r="G597" s="5" t="s">
        <v>185</v>
      </c>
      <c r="H597" s="6">
        <f>+P597-I597-J597</f>
        <v>-1.5789473685435951</v>
      </c>
      <c r="I597" s="6">
        <f t="shared" si="109"/>
        <v>1108231.5789473685</v>
      </c>
      <c r="J597" s="6">
        <v>210564</v>
      </c>
      <c r="K597" s="6">
        <v>0</v>
      </c>
      <c r="L597" s="6">
        <v>0</v>
      </c>
      <c r="M597" s="6">
        <f t="shared" si="121"/>
        <v>1108230</v>
      </c>
      <c r="N597" s="6">
        <f t="shared" si="122"/>
        <v>210564</v>
      </c>
      <c r="O597" s="6">
        <f t="shared" si="110"/>
        <v>1318794</v>
      </c>
      <c r="P597" s="6">
        <v>1318794</v>
      </c>
      <c r="Q597" s="6">
        <f t="shared" si="123"/>
        <v>1108230</v>
      </c>
      <c r="R597" s="6">
        <f t="shared" si="116"/>
        <v>27705.75</v>
      </c>
      <c r="T597"/>
    </row>
    <row r="598" spans="2:22" s="5" customFormat="1" x14ac:dyDescent="0.3">
      <c r="B598" s="5" t="s">
        <v>16</v>
      </c>
      <c r="C598" s="5" t="s">
        <v>1200</v>
      </c>
      <c r="D598" s="5" t="s">
        <v>1192</v>
      </c>
      <c r="E598" s="5" t="s">
        <v>885</v>
      </c>
      <c r="F598" s="5" t="s">
        <v>184</v>
      </c>
      <c r="G598" s="5" t="s">
        <v>185</v>
      </c>
      <c r="H598" s="6">
        <f>+P598-I598-J598-K598-L598</f>
        <v>-2.4210526314564049</v>
      </c>
      <c r="I598" s="6">
        <f t="shared" si="109"/>
        <v>3973268.4210526315</v>
      </c>
      <c r="J598" s="6">
        <v>754921</v>
      </c>
      <c r="K598" s="6">
        <v>0</v>
      </c>
      <c r="L598" s="6">
        <v>0</v>
      </c>
      <c r="M598" s="6">
        <f t="shared" si="121"/>
        <v>3973266</v>
      </c>
      <c r="N598" s="6">
        <f t="shared" si="122"/>
        <v>754921</v>
      </c>
      <c r="O598" s="6">
        <f t="shared" si="110"/>
        <v>4728187</v>
      </c>
      <c r="P598" s="6">
        <v>4728187</v>
      </c>
      <c r="Q598" s="6">
        <f t="shared" si="123"/>
        <v>3973266</v>
      </c>
      <c r="R598" s="6">
        <f t="shared" si="116"/>
        <v>99331.65</v>
      </c>
      <c r="T598"/>
    </row>
    <row r="599" spans="2:22" s="5" customFormat="1" x14ac:dyDescent="0.3">
      <c r="B599" s="5" t="s">
        <v>16</v>
      </c>
      <c r="C599" s="5" t="s">
        <v>1201</v>
      </c>
      <c r="D599" s="5" t="s">
        <v>1192</v>
      </c>
      <c r="E599" s="5" t="s">
        <v>1202</v>
      </c>
      <c r="F599" s="5" t="s">
        <v>184</v>
      </c>
      <c r="G599" s="5" t="s">
        <v>185</v>
      </c>
      <c r="H599" s="6">
        <v>0</v>
      </c>
      <c r="I599" s="6">
        <f t="shared" si="109"/>
        <v>1955073.6842105263</v>
      </c>
      <c r="J599" s="6">
        <v>371464</v>
      </c>
      <c r="K599" s="6">
        <v>0</v>
      </c>
      <c r="L599" s="6">
        <v>0</v>
      </c>
      <c r="M599" s="6">
        <f t="shared" si="121"/>
        <v>1955073.6842105263</v>
      </c>
      <c r="N599" s="6">
        <f t="shared" si="122"/>
        <v>371464</v>
      </c>
      <c r="O599" s="6">
        <f t="shared" si="110"/>
        <v>2326537.6842105263</v>
      </c>
      <c r="P599" s="6">
        <v>2326538</v>
      </c>
      <c r="Q599" s="6">
        <f t="shared" si="123"/>
        <v>1955073.6842105263</v>
      </c>
      <c r="R599" s="6">
        <f t="shared" si="116"/>
        <v>48876.842105263153</v>
      </c>
      <c r="T599"/>
    </row>
    <row r="600" spans="2:22" s="5" customFormat="1" x14ac:dyDescent="0.3">
      <c r="B600" s="5" t="s">
        <v>16</v>
      </c>
      <c r="C600" s="5" t="s">
        <v>1203</v>
      </c>
      <c r="D600" s="5" t="s">
        <v>41</v>
      </c>
      <c r="E600" s="5" t="s">
        <v>1204</v>
      </c>
      <c r="F600" s="5" t="s">
        <v>43</v>
      </c>
      <c r="G600" s="5" t="s">
        <v>44</v>
      </c>
      <c r="H600" s="6">
        <v>0</v>
      </c>
      <c r="I600" s="6">
        <f t="shared" si="109"/>
        <v>46722.684210526313</v>
      </c>
      <c r="J600" s="6">
        <v>8877.31</v>
      </c>
      <c r="K600" s="6">
        <v>0</v>
      </c>
      <c r="L600" s="6">
        <v>0</v>
      </c>
      <c r="M600" s="6">
        <f t="shared" si="121"/>
        <v>46722.684210526313</v>
      </c>
      <c r="N600" s="6">
        <f t="shared" si="122"/>
        <v>8877.31</v>
      </c>
      <c r="O600" s="6">
        <f t="shared" si="110"/>
        <v>55599.994210526311</v>
      </c>
      <c r="P600" s="6">
        <v>55599.99</v>
      </c>
      <c r="Q600" s="6">
        <v>0</v>
      </c>
      <c r="R600" s="6">
        <f t="shared" si="116"/>
        <v>0</v>
      </c>
      <c r="T600"/>
    </row>
    <row r="601" spans="2:22" s="5" customFormat="1" x14ac:dyDescent="0.3">
      <c r="B601" s="5" t="s">
        <v>16</v>
      </c>
      <c r="C601" s="5" t="s">
        <v>1205</v>
      </c>
      <c r="D601" s="5" t="s">
        <v>1206</v>
      </c>
      <c r="E601" s="5" t="s">
        <v>372</v>
      </c>
      <c r="F601" s="5" t="s">
        <v>461</v>
      </c>
      <c r="G601" s="5" t="s">
        <v>462</v>
      </c>
      <c r="H601" s="6">
        <f>+P601-I601-J601</f>
        <v>-0.10578947421163321</v>
      </c>
      <c r="I601" s="6">
        <f t="shared" si="109"/>
        <v>8854667.3157894742</v>
      </c>
      <c r="J601" s="6">
        <v>1682386.79</v>
      </c>
      <c r="K601" s="6">
        <v>0</v>
      </c>
      <c r="L601" s="6">
        <v>0</v>
      </c>
      <c r="M601" s="6">
        <f t="shared" si="121"/>
        <v>8854667.2100000009</v>
      </c>
      <c r="N601" s="6">
        <f t="shared" si="122"/>
        <v>1682386.79</v>
      </c>
      <c r="O601" s="6">
        <f t="shared" si="110"/>
        <v>10537054</v>
      </c>
      <c r="P601" s="6">
        <v>10537054</v>
      </c>
      <c r="Q601" s="6">
        <f t="shared" ref="Q601:Q607" si="124">+M601</f>
        <v>8854667.2100000009</v>
      </c>
      <c r="R601" s="6">
        <f t="shared" si="116"/>
        <v>221366.68025000003</v>
      </c>
      <c r="T601"/>
    </row>
    <row r="602" spans="2:22" s="5" customFormat="1" x14ac:dyDescent="0.3">
      <c r="B602" s="5" t="s">
        <v>16</v>
      </c>
      <c r="C602" s="5" t="s">
        <v>1207</v>
      </c>
      <c r="D602" s="5" t="s">
        <v>1206</v>
      </c>
      <c r="E602" s="5" t="s">
        <v>1170</v>
      </c>
      <c r="F602" s="5" t="s">
        <v>461</v>
      </c>
      <c r="G602" s="5" t="s">
        <v>462</v>
      </c>
      <c r="H602" s="6">
        <f>+P602-I602-J602-K602-L602</f>
        <v>1.421052630757913E-2</v>
      </c>
      <c r="I602" s="6">
        <f t="shared" si="109"/>
        <v>2570319.3157894737</v>
      </c>
      <c r="J602" s="6">
        <v>488360.67</v>
      </c>
      <c r="K602" s="6">
        <v>0</v>
      </c>
      <c r="L602" s="6">
        <v>0</v>
      </c>
      <c r="M602" s="6">
        <f t="shared" si="121"/>
        <v>2570319.33</v>
      </c>
      <c r="N602" s="6">
        <f t="shared" si="122"/>
        <v>488360.67</v>
      </c>
      <c r="O602" s="6">
        <f t="shared" si="110"/>
        <v>3058680</v>
      </c>
      <c r="P602" s="6">
        <v>3058680</v>
      </c>
      <c r="Q602" s="6">
        <f t="shared" si="124"/>
        <v>2570319.33</v>
      </c>
      <c r="R602" s="6">
        <f t="shared" si="116"/>
        <v>64257.983250000005</v>
      </c>
      <c r="T602"/>
      <c r="U602"/>
      <c r="V602"/>
    </row>
    <row r="603" spans="2:22" s="5" customFormat="1" x14ac:dyDescent="0.3">
      <c r="B603" s="5" t="s">
        <v>16</v>
      </c>
      <c r="C603" s="5" t="s">
        <v>1208</v>
      </c>
      <c r="D603" s="5" t="s">
        <v>1206</v>
      </c>
      <c r="E603" s="5" t="s">
        <v>1170</v>
      </c>
      <c r="F603" s="5" t="s">
        <v>461</v>
      </c>
      <c r="G603" s="5" t="s">
        <v>462</v>
      </c>
      <c r="H603" s="6">
        <f>+P603-I603-J603-K603-L603</f>
        <v>9.4736841274425387E-2</v>
      </c>
      <c r="I603" s="6">
        <f t="shared" si="109"/>
        <v>5195062.1052631587</v>
      </c>
      <c r="J603" s="6">
        <v>987061.8</v>
      </c>
      <c r="K603" s="6">
        <v>0</v>
      </c>
      <c r="L603" s="6">
        <v>0</v>
      </c>
      <c r="M603" s="6">
        <f t="shared" si="121"/>
        <v>5195062.2</v>
      </c>
      <c r="N603" s="6">
        <f t="shared" si="122"/>
        <v>987061.8</v>
      </c>
      <c r="O603" s="6">
        <f t="shared" si="110"/>
        <v>6182124</v>
      </c>
      <c r="P603" s="6">
        <v>6182124</v>
      </c>
      <c r="Q603" s="6">
        <f t="shared" si="124"/>
        <v>5195062.2</v>
      </c>
      <c r="R603" s="6">
        <f t="shared" si="116"/>
        <v>129876.55499999999</v>
      </c>
      <c r="T603"/>
      <c r="U603"/>
      <c r="V603"/>
    </row>
    <row r="604" spans="2:22" s="5" customFormat="1" x14ac:dyDescent="0.3">
      <c r="B604" s="5" t="s">
        <v>16</v>
      </c>
      <c r="C604" s="5" t="s">
        <v>1209</v>
      </c>
      <c r="D604" s="5" t="s">
        <v>1206</v>
      </c>
      <c r="E604" s="5" t="s">
        <v>1124</v>
      </c>
      <c r="F604" s="5" t="s">
        <v>461</v>
      </c>
      <c r="G604" s="5" t="s">
        <v>462</v>
      </c>
      <c r="H604" s="6">
        <f>+P604-I604-J604</f>
        <v>2652000</v>
      </c>
      <c r="I604" s="6">
        <f t="shared" si="109"/>
        <v>0</v>
      </c>
      <c r="J604" s="6">
        <v>0</v>
      </c>
      <c r="K604" s="6">
        <v>0</v>
      </c>
      <c r="L604" s="6">
        <v>0</v>
      </c>
      <c r="M604" s="6">
        <f t="shared" si="121"/>
        <v>2652000</v>
      </c>
      <c r="N604" s="6">
        <f t="shared" si="122"/>
        <v>0</v>
      </c>
      <c r="O604" s="6">
        <f t="shared" si="110"/>
        <v>2652000</v>
      </c>
      <c r="P604" s="6">
        <v>2652000</v>
      </c>
      <c r="Q604" s="6">
        <f t="shared" si="124"/>
        <v>2652000</v>
      </c>
      <c r="R604" s="6">
        <f t="shared" si="116"/>
        <v>66300</v>
      </c>
      <c r="T604"/>
    </row>
    <row r="605" spans="2:22" s="5" customFormat="1" x14ac:dyDescent="0.3">
      <c r="B605" s="5" t="s">
        <v>16</v>
      </c>
      <c r="C605" s="5" t="s">
        <v>1210</v>
      </c>
      <c r="D605" s="5" t="s">
        <v>29</v>
      </c>
      <c r="E605" s="5" t="s">
        <v>809</v>
      </c>
      <c r="F605" s="5" t="s">
        <v>135</v>
      </c>
      <c r="G605" s="5" t="s">
        <v>136</v>
      </c>
      <c r="H605" s="6">
        <v>0</v>
      </c>
      <c r="I605" s="6">
        <f t="shared" si="109"/>
        <v>4521684</v>
      </c>
      <c r="J605" s="6">
        <v>859119.96</v>
      </c>
      <c r="K605" s="6"/>
      <c r="L605" s="6"/>
      <c r="M605" s="6">
        <f>+H605+I605</f>
        <v>4521684</v>
      </c>
      <c r="N605" s="6">
        <f>+J605</f>
        <v>859119.96</v>
      </c>
      <c r="O605" s="6">
        <f t="shared" si="110"/>
        <v>5380803.96</v>
      </c>
      <c r="P605" s="6">
        <v>5380803.96</v>
      </c>
      <c r="Q605" s="6">
        <f t="shared" si="124"/>
        <v>4521684</v>
      </c>
      <c r="R605" s="6">
        <f t="shared" si="116"/>
        <v>113042.1</v>
      </c>
      <c r="T605"/>
    </row>
    <row r="606" spans="2:22" s="5" customFormat="1" x14ac:dyDescent="0.3">
      <c r="B606" s="5" t="s">
        <v>16</v>
      </c>
      <c r="C606" s="5" t="s">
        <v>1211</v>
      </c>
      <c r="D606" s="5" t="s">
        <v>29</v>
      </c>
      <c r="E606" s="5" t="s">
        <v>1108</v>
      </c>
      <c r="F606" s="5" t="s">
        <v>135</v>
      </c>
      <c r="G606" s="5" t="s">
        <v>136</v>
      </c>
      <c r="H606" s="6">
        <f t="shared" ref="H606:H613" si="125">+P606-I606-J606</f>
        <v>0</v>
      </c>
      <c r="I606" s="6">
        <f t="shared" ref="I606:I669" si="126">+J606/19*100</f>
        <v>4117139</v>
      </c>
      <c r="J606" s="6">
        <v>782256.41</v>
      </c>
      <c r="K606" s="6">
        <v>0</v>
      </c>
      <c r="L606" s="6">
        <v>0</v>
      </c>
      <c r="M606" s="6">
        <f>+H606+I606+K606</f>
        <v>4117139</v>
      </c>
      <c r="N606" s="6">
        <f>J606+L606</f>
        <v>782256.41</v>
      </c>
      <c r="O606" s="6">
        <f t="shared" ref="O606:O669" si="127">+M606+N606</f>
        <v>4899395.41</v>
      </c>
      <c r="P606" s="6">
        <v>4899395.41</v>
      </c>
      <c r="Q606" s="6">
        <f t="shared" si="124"/>
        <v>4117139</v>
      </c>
      <c r="R606" s="6">
        <f t="shared" si="116"/>
        <v>102928.47500000001</v>
      </c>
      <c r="T606"/>
    </row>
    <row r="607" spans="2:22" s="5" customFormat="1" x14ac:dyDescent="0.3">
      <c r="B607" s="5" t="s">
        <v>16</v>
      </c>
      <c r="C607" s="5" t="s">
        <v>1212</v>
      </c>
      <c r="D607" s="5" t="s">
        <v>29</v>
      </c>
      <c r="E607" s="5" t="s">
        <v>166</v>
      </c>
      <c r="F607" s="5" t="s">
        <v>135</v>
      </c>
      <c r="G607" s="5" t="s">
        <v>136</v>
      </c>
      <c r="H607" s="6">
        <f t="shared" si="125"/>
        <v>0</v>
      </c>
      <c r="I607" s="6">
        <f t="shared" si="126"/>
        <v>1597343.9999999998</v>
      </c>
      <c r="J607" s="6">
        <v>303495.36</v>
      </c>
      <c r="K607" s="6">
        <v>0</v>
      </c>
      <c r="L607" s="6">
        <v>0</v>
      </c>
      <c r="M607" s="6">
        <f>+H607+I607+K607</f>
        <v>1597343.9999999998</v>
      </c>
      <c r="N607" s="6">
        <f>+J607+L607</f>
        <v>303495.36</v>
      </c>
      <c r="O607" s="6">
        <f t="shared" si="127"/>
        <v>1900839.3599999999</v>
      </c>
      <c r="P607" s="6">
        <v>1900839.36</v>
      </c>
      <c r="Q607" s="6">
        <f t="shared" si="124"/>
        <v>1597343.9999999998</v>
      </c>
      <c r="R607" s="6">
        <f t="shared" si="116"/>
        <v>39933.599999999999</v>
      </c>
      <c r="T607"/>
    </row>
    <row r="608" spans="2:22" s="5" customFormat="1" x14ac:dyDescent="0.3">
      <c r="B608" s="5" t="s">
        <v>16</v>
      </c>
      <c r="C608" s="5" t="s">
        <v>1213</v>
      </c>
      <c r="D608" s="5" t="s">
        <v>29</v>
      </c>
      <c r="E608" s="5" t="s">
        <v>253</v>
      </c>
      <c r="F608" s="5" t="s">
        <v>135</v>
      </c>
      <c r="G608" s="5" t="s">
        <v>136</v>
      </c>
      <c r="H608" s="6">
        <f t="shared" si="125"/>
        <v>0</v>
      </c>
      <c r="I608" s="6">
        <f t="shared" si="126"/>
        <v>360000</v>
      </c>
      <c r="J608" s="6">
        <v>68400</v>
      </c>
      <c r="K608" s="6">
        <v>0</v>
      </c>
      <c r="L608" s="6">
        <v>0</v>
      </c>
      <c r="M608" s="6">
        <f>+H608+I608+K608</f>
        <v>360000</v>
      </c>
      <c r="N608" s="6">
        <f>+J608+L608</f>
        <v>68400</v>
      </c>
      <c r="O608" s="6">
        <f t="shared" si="127"/>
        <v>428400</v>
      </c>
      <c r="P608" s="6">
        <v>428400</v>
      </c>
      <c r="Q608" s="6">
        <v>0</v>
      </c>
      <c r="R608" s="6">
        <f t="shared" si="116"/>
        <v>0</v>
      </c>
      <c r="T608"/>
    </row>
    <row r="609" spans="2:22" s="5" customFormat="1" x14ac:dyDescent="0.3">
      <c r="B609" s="5" t="s">
        <v>16</v>
      </c>
      <c r="C609" s="5" t="s">
        <v>1214</v>
      </c>
      <c r="D609" s="5" t="s">
        <v>29</v>
      </c>
      <c r="E609" s="5" t="s">
        <v>911</v>
      </c>
      <c r="F609" s="5" t="s">
        <v>135</v>
      </c>
      <c r="G609" s="5" t="s">
        <v>136</v>
      </c>
      <c r="H609" s="6">
        <f t="shared" si="125"/>
        <v>0</v>
      </c>
      <c r="I609" s="6">
        <f t="shared" si="126"/>
        <v>2765544</v>
      </c>
      <c r="J609" s="6">
        <v>525453.36</v>
      </c>
      <c r="K609" s="6">
        <v>0</v>
      </c>
      <c r="L609" s="6">
        <v>0</v>
      </c>
      <c r="M609" s="6">
        <f>+H609+I609+K609</f>
        <v>2765544</v>
      </c>
      <c r="N609" s="6">
        <f>+J609+L609</f>
        <v>525453.36</v>
      </c>
      <c r="O609" s="6">
        <f t="shared" si="127"/>
        <v>3290997.36</v>
      </c>
      <c r="P609" s="6">
        <v>3290997.36</v>
      </c>
      <c r="Q609" s="6">
        <f>+M609</f>
        <v>2765544</v>
      </c>
      <c r="R609" s="6">
        <f t="shared" si="116"/>
        <v>69138.600000000006</v>
      </c>
      <c r="T609"/>
    </row>
    <row r="610" spans="2:22" s="5" customFormat="1" x14ac:dyDescent="0.3">
      <c r="B610" s="7" t="s">
        <v>16</v>
      </c>
      <c r="C610" s="7" t="s">
        <v>1215</v>
      </c>
      <c r="D610" s="7" t="s">
        <v>35</v>
      </c>
      <c r="E610" s="7" t="s">
        <v>393</v>
      </c>
      <c r="F610" s="7" t="s">
        <v>362</v>
      </c>
      <c r="G610" s="7" t="s">
        <v>363</v>
      </c>
      <c r="H610" s="8">
        <f t="shared" si="125"/>
        <v>2251428.5699999998</v>
      </c>
      <c r="I610" s="8">
        <f t="shared" si="126"/>
        <v>0</v>
      </c>
      <c r="J610" s="8">
        <v>0</v>
      </c>
      <c r="K610" s="8">
        <v>0</v>
      </c>
      <c r="L610" s="8">
        <v>0</v>
      </c>
      <c r="M610" s="8">
        <f>+I610+H610</f>
        <v>2251428.5699999998</v>
      </c>
      <c r="N610" s="8">
        <f>+J610+L610</f>
        <v>0</v>
      </c>
      <c r="O610" s="8">
        <f t="shared" si="127"/>
        <v>2251428.5699999998</v>
      </c>
      <c r="P610" s="8">
        <v>2251428.5699999998</v>
      </c>
      <c r="Q610" s="8">
        <f>+M610</f>
        <v>2251428.5699999998</v>
      </c>
      <c r="R610" s="8">
        <f t="shared" si="116"/>
        <v>56285.714249999997</v>
      </c>
      <c r="T610"/>
    </row>
    <row r="611" spans="2:22" s="5" customFormat="1" x14ac:dyDescent="0.3">
      <c r="B611" s="5" t="s">
        <v>16</v>
      </c>
      <c r="C611" s="5" t="s">
        <v>1216</v>
      </c>
      <c r="D611" s="5" t="s">
        <v>35</v>
      </c>
      <c r="E611" s="5" t="s">
        <v>361</v>
      </c>
      <c r="F611" s="5" t="s">
        <v>362</v>
      </c>
      <c r="G611" s="5" t="s">
        <v>363</v>
      </c>
      <c r="H611" s="6">
        <f t="shared" si="125"/>
        <v>-1.7894736782182008E-2</v>
      </c>
      <c r="I611" s="6">
        <f t="shared" si="126"/>
        <v>1546243.1578947369</v>
      </c>
      <c r="J611" s="6">
        <v>293786.2</v>
      </c>
      <c r="K611" s="6">
        <v>0</v>
      </c>
      <c r="L611" s="6">
        <v>0</v>
      </c>
      <c r="M611" s="6">
        <f t="shared" ref="M611:M618" si="128">+H611+I611+K611</f>
        <v>1546243.1400000001</v>
      </c>
      <c r="N611" s="6">
        <f>+J611+L611</f>
        <v>293786.2</v>
      </c>
      <c r="O611" s="6">
        <f t="shared" si="127"/>
        <v>1840029.34</v>
      </c>
      <c r="P611" s="6">
        <v>1840029.34</v>
      </c>
      <c r="Q611" s="6">
        <f>+M611</f>
        <v>1546243.1400000001</v>
      </c>
      <c r="R611" s="6">
        <f t="shared" si="116"/>
        <v>38656.078500000003</v>
      </c>
      <c r="T611"/>
    </row>
    <row r="612" spans="2:22" s="5" customFormat="1" x14ac:dyDescent="0.3">
      <c r="B612" s="5" t="s">
        <v>16</v>
      </c>
      <c r="C612" s="5" t="s">
        <v>1217</v>
      </c>
      <c r="D612" s="5" t="s">
        <v>35</v>
      </c>
      <c r="E612" s="5" t="s">
        <v>1218</v>
      </c>
      <c r="F612" s="5" t="s">
        <v>362</v>
      </c>
      <c r="G612" s="5" t="s">
        <v>363</v>
      </c>
      <c r="H612" s="6">
        <f t="shared" si="125"/>
        <v>3.1052631558850408E-2</v>
      </c>
      <c r="I612" s="6">
        <f t="shared" si="126"/>
        <v>613106.57894736843</v>
      </c>
      <c r="J612" s="6">
        <v>116490.25</v>
      </c>
      <c r="K612" s="6">
        <v>0</v>
      </c>
      <c r="L612" s="6">
        <v>0</v>
      </c>
      <c r="M612" s="6">
        <f t="shared" si="128"/>
        <v>613106.61</v>
      </c>
      <c r="N612" s="6">
        <f>J612+L612</f>
        <v>116490.25</v>
      </c>
      <c r="O612" s="6">
        <f t="shared" si="127"/>
        <v>729596.86</v>
      </c>
      <c r="P612" s="6">
        <v>729596.86</v>
      </c>
      <c r="Q612" s="6">
        <v>0</v>
      </c>
      <c r="R612" s="6">
        <f t="shared" si="116"/>
        <v>0</v>
      </c>
      <c r="T612"/>
    </row>
    <row r="613" spans="2:22" x14ac:dyDescent="0.3">
      <c r="B613" s="5" t="s">
        <v>16</v>
      </c>
      <c r="C613" s="5" t="s">
        <v>1219</v>
      </c>
      <c r="D613" s="5" t="s">
        <v>35</v>
      </c>
      <c r="E613" s="5" t="s">
        <v>404</v>
      </c>
      <c r="F613" s="5" t="s">
        <v>362</v>
      </c>
      <c r="G613" s="5" t="s">
        <v>363</v>
      </c>
      <c r="H613" s="6">
        <f t="shared" si="125"/>
        <v>1.421052630757913E-2</v>
      </c>
      <c r="I613" s="6">
        <f t="shared" si="126"/>
        <v>2397702.3157894737</v>
      </c>
      <c r="J613" s="6">
        <v>455563.44</v>
      </c>
      <c r="K613" s="6">
        <v>0</v>
      </c>
      <c r="L613" s="6">
        <v>0</v>
      </c>
      <c r="M613" s="6">
        <f t="shared" si="128"/>
        <v>2397702.33</v>
      </c>
      <c r="N613" s="6">
        <f t="shared" ref="N613:N618" si="129">+J613+L613</f>
        <v>455563.44</v>
      </c>
      <c r="O613" s="6">
        <f t="shared" si="127"/>
        <v>2853265.77</v>
      </c>
      <c r="P613" s="6">
        <v>2853265.77</v>
      </c>
      <c r="Q613" s="6">
        <f>+M613-87331</f>
        <v>2310371.33</v>
      </c>
      <c r="R613" s="6">
        <f t="shared" si="116"/>
        <v>57759.28325</v>
      </c>
      <c r="S613" s="5"/>
      <c r="U613" s="5"/>
      <c r="V613" s="5"/>
    </row>
    <row r="614" spans="2:22" s="5" customFormat="1" x14ac:dyDescent="0.3">
      <c r="B614" s="5" t="s">
        <v>16</v>
      </c>
      <c r="C614" s="5" t="s">
        <v>1220</v>
      </c>
      <c r="D614" s="5" t="s">
        <v>1221</v>
      </c>
      <c r="E614" s="5" t="s">
        <v>533</v>
      </c>
      <c r="F614" s="5" t="s">
        <v>174</v>
      </c>
      <c r="G614" s="5" t="s">
        <v>175</v>
      </c>
      <c r="H614" s="6">
        <v>1.0526315791066736</v>
      </c>
      <c r="I614" s="6">
        <f t="shared" si="126"/>
        <v>1085278.9473684209</v>
      </c>
      <c r="J614" s="6">
        <v>206203</v>
      </c>
      <c r="K614" s="6">
        <v>0</v>
      </c>
      <c r="L614" s="6">
        <v>0</v>
      </c>
      <c r="M614" s="6">
        <f t="shared" si="128"/>
        <v>1085280</v>
      </c>
      <c r="N614" s="6">
        <f t="shared" si="129"/>
        <v>206203</v>
      </c>
      <c r="O614" s="6">
        <f t="shared" si="127"/>
        <v>1291483</v>
      </c>
      <c r="P614" s="6">
        <v>1291483</v>
      </c>
      <c r="Q614" s="6">
        <v>0</v>
      </c>
      <c r="R614" s="6">
        <f t="shared" si="116"/>
        <v>0</v>
      </c>
      <c r="T614"/>
    </row>
    <row r="615" spans="2:22" s="5" customFormat="1" x14ac:dyDescent="0.3">
      <c r="B615" s="5" t="s">
        <v>16</v>
      </c>
      <c r="C615" s="5" t="s">
        <v>1222</v>
      </c>
      <c r="D615" s="5" t="s">
        <v>1221</v>
      </c>
      <c r="E615" s="5" t="s">
        <v>533</v>
      </c>
      <c r="F615" s="5" t="s">
        <v>174</v>
      </c>
      <c r="G615" s="5" t="s">
        <v>175</v>
      </c>
      <c r="H615" s="6">
        <v>-1.4736842103302479</v>
      </c>
      <c r="I615" s="6">
        <f t="shared" si="126"/>
        <v>6525689.4736842103</v>
      </c>
      <c r="J615" s="6">
        <v>1239881</v>
      </c>
      <c r="K615" s="6">
        <v>0</v>
      </c>
      <c r="L615" s="6">
        <v>0</v>
      </c>
      <c r="M615" s="6">
        <f t="shared" si="128"/>
        <v>6525688</v>
      </c>
      <c r="N615" s="6">
        <f t="shared" si="129"/>
        <v>1239881</v>
      </c>
      <c r="O615" s="6">
        <f t="shared" si="127"/>
        <v>7765569</v>
      </c>
      <c r="P615" s="6">
        <v>7765569</v>
      </c>
      <c r="Q615" s="6">
        <f>+M615</f>
        <v>6525688</v>
      </c>
      <c r="R615" s="6">
        <f t="shared" si="116"/>
        <v>163142.20000000001</v>
      </c>
      <c r="T615"/>
    </row>
    <row r="616" spans="2:22" s="5" customFormat="1" x14ac:dyDescent="0.3">
      <c r="B616" s="5" t="s">
        <v>16</v>
      </c>
      <c r="C616" s="5" t="s">
        <v>1223</v>
      </c>
      <c r="D616" s="5" t="s">
        <v>1221</v>
      </c>
      <c r="E616" s="5" t="s">
        <v>533</v>
      </c>
      <c r="F616" s="5" t="s">
        <v>174</v>
      </c>
      <c r="G616" s="5" t="s">
        <v>175</v>
      </c>
      <c r="H616" s="6">
        <v>-3.2631578948348761</v>
      </c>
      <c r="I616" s="6">
        <f t="shared" si="126"/>
        <v>10868905.263157895</v>
      </c>
      <c r="J616" s="6">
        <v>2065092</v>
      </c>
      <c r="K616" s="6">
        <v>0</v>
      </c>
      <c r="L616" s="6">
        <v>0</v>
      </c>
      <c r="M616" s="6">
        <f t="shared" si="128"/>
        <v>10868902</v>
      </c>
      <c r="N616" s="6">
        <f t="shared" si="129"/>
        <v>2065092</v>
      </c>
      <c r="O616" s="6">
        <f t="shared" si="127"/>
        <v>12933994</v>
      </c>
      <c r="P616" s="6">
        <v>12933994</v>
      </c>
      <c r="Q616" s="6">
        <f>+M616</f>
        <v>10868902</v>
      </c>
      <c r="R616" s="6">
        <f t="shared" si="116"/>
        <v>271722.55</v>
      </c>
      <c r="S616"/>
      <c r="T616"/>
    </row>
    <row r="617" spans="2:22" s="5" customFormat="1" x14ac:dyDescent="0.3">
      <c r="B617" s="5" t="s">
        <v>16</v>
      </c>
      <c r="C617" s="5" t="s">
        <v>1224</v>
      </c>
      <c r="D617" s="5" t="s">
        <v>1221</v>
      </c>
      <c r="E617" s="5" t="s">
        <v>245</v>
      </c>
      <c r="F617" s="5" t="s">
        <v>174</v>
      </c>
      <c r="G617" s="5" t="s">
        <v>175</v>
      </c>
      <c r="H617" s="6">
        <f>+P617-I617-J617</f>
        <v>-2.631578947417438</v>
      </c>
      <c r="I617" s="6">
        <f t="shared" si="126"/>
        <v>2369752.6315789474</v>
      </c>
      <c r="J617" s="6">
        <v>450253</v>
      </c>
      <c r="K617" s="6">
        <v>0</v>
      </c>
      <c r="L617" s="6">
        <v>0</v>
      </c>
      <c r="M617" s="6">
        <f t="shared" si="128"/>
        <v>2369750</v>
      </c>
      <c r="N617" s="6">
        <f t="shared" si="129"/>
        <v>450253</v>
      </c>
      <c r="O617" s="6">
        <f t="shared" si="127"/>
        <v>2820003</v>
      </c>
      <c r="P617" s="6">
        <v>2820003</v>
      </c>
      <c r="Q617" s="6">
        <f>+M617</f>
        <v>2369750</v>
      </c>
      <c r="R617" s="6">
        <f t="shared" si="116"/>
        <v>59243.75</v>
      </c>
      <c r="S617" s="5" t="s">
        <v>1225</v>
      </c>
      <c r="T617"/>
    </row>
    <row r="618" spans="2:22" s="5" customFormat="1" x14ac:dyDescent="0.3">
      <c r="B618" s="5" t="s">
        <v>16</v>
      </c>
      <c r="C618" s="5" t="s">
        <v>1226</v>
      </c>
      <c r="D618" s="5" t="s">
        <v>1227</v>
      </c>
      <c r="E618" s="5" t="s">
        <v>1228</v>
      </c>
      <c r="F618" s="5" t="s">
        <v>287</v>
      </c>
      <c r="G618" s="5" t="s">
        <v>288</v>
      </c>
      <c r="H618" s="6">
        <v>1786500</v>
      </c>
      <c r="I618" s="6">
        <f t="shared" si="126"/>
        <v>0</v>
      </c>
      <c r="J618" s="6">
        <v>0</v>
      </c>
      <c r="K618" s="6">
        <v>0</v>
      </c>
      <c r="L618" s="6">
        <v>0</v>
      </c>
      <c r="M618" s="6">
        <f t="shared" si="128"/>
        <v>1786500</v>
      </c>
      <c r="N618" s="6">
        <f t="shared" si="129"/>
        <v>0</v>
      </c>
      <c r="O618" s="6">
        <f t="shared" si="127"/>
        <v>1786500</v>
      </c>
      <c r="P618" s="6">
        <v>1786500</v>
      </c>
      <c r="Q618" s="6">
        <f>+M618</f>
        <v>1786500</v>
      </c>
      <c r="R618" s="6">
        <f t="shared" si="116"/>
        <v>44662.5</v>
      </c>
      <c r="S618" s="5" t="s">
        <v>1225</v>
      </c>
      <c r="T618"/>
    </row>
    <row r="619" spans="2:22" s="5" customFormat="1" x14ac:dyDescent="0.3">
      <c r="B619" s="5" t="s">
        <v>16</v>
      </c>
      <c r="C619" s="5" t="s">
        <v>1229</v>
      </c>
      <c r="D619" s="5" t="s">
        <v>1230</v>
      </c>
      <c r="E619" s="5" t="s">
        <v>652</v>
      </c>
      <c r="F619" s="5" t="s">
        <v>1231</v>
      </c>
      <c r="G619" s="5" t="s">
        <v>1232</v>
      </c>
      <c r="H619" s="6">
        <v>3.631578991189599E-2</v>
      </c>
      <c r="I619" s="6">
        <f t="shared" si="126"/>
        <v>8401924.4736842103</v>
      </c>
      <c r="J619" s="6">
        <v>1596365.65</v>
      </c>
      <c r="K619" s="6"/>
      <c r="L619" s="6"/>
      <c r="M619" s="6">
        <f>+H619+I619</f>
        <v>8401924.5099999998</v>
      </c>
      <c r="N619" s="6">
        <f>+J619</f>
        <v>1596365.65</v>
      </c>
      <c r="O619" s="6">
        <f t="shared" si="127"/>
        <v>9998290.1600000001</v>
      </c>
      <c r="P619" s="6">
        <v>9998290.1600000001</v>
      </c>
      <c r="Q619" s="6"/>
      <c r="R619" s="6">
        <f t="shared" si="116"/>
        <v>0</v>
      </c>
      <c r="T619"/>
    </row>
    <row r="620" spans="2:22" s="5" customFormat="1" x14ac:dyDescent="0.3">
      <c r="B620" s="5" t="s">
        <v>16</v>
      </c>
      <c r="C620" s="5" t="s">
        <v>1233</v>
      </c>
      <c r="D620" s="5" t="s">
        <v>1230</v>
      </c>
      <c r="E620" s="5" t="s">
        <v>1174</v>
      </c>
      <c r="F620" s="5" t="s">
        <v>1231</v>
      </c>
      <c r="G620" s="5" t="s">
        <v>1232</v>
      </c>
      <c r="H620" s="6">
        <v>-6.9473684998229146E-2</v>
      </c>
      <c r="I620" s="6">
        <f t="shared" si="126"/>
        <v>10652128.789473685</v>
      </c>
      <c r="J620" s="6">
        <v>2023904.47</v>
      </c>
      <c r="K620" s="6"/>
      <c r="L620" s="6"/>
      <c r="M620" s="6">
        <f>+H620+I620</f>
        <v>10652128.719999999</v>
      </c>
      <c r="N620" s="6">
        <f>+J620</f>
        <v>2023904.47</v>
      </c>
      <c r="O620" s="6">
        <f t="shared" si="127"/>
        <v>12676033.189999999</v>
      </c>
      <c r="P620" s="6">
        <v>12676033.189999999</v>
      </c>
      <c r="Q620" s="6"/>
      <c r="R620" s="6">
        <f t="shared" si="116"/>
        <v>0</v>
      </c>
      <c r="S620" s="6" t="s">
        <v>1234</v>
      </c>
      <c r="T620"/>
    </row>
    <row r="621" spans="2:22" s="5" customFormat="1" x14ac:dyDescent="0.3">
      <c r="B621" s="7" t="s">
        <v>16</v>
      </c>
      <c r="C621" s="7" t="s">
        <v>1235</v>
      </c>
      <c r="D621" s="7" t="s">
        <v>1230</v>
      </c>
      <c r="E621" s="7" t="s">
        <v>698</v>
      </c>
      <c r="F621" s="7" t="s">
        <v>1231</v>
      </c>
      <c r="G621" s="7" t="s">
        <v>1232</v>
      </c>
      <c r="H621" s="8">
        <f t="shared" ref="H621:H627" si="130">+P621-I621-J621</f>
        <v>-2.8947368497028947E-2</v>
      </c>
      <c r="I621" s="8">
        <f t="shared" si="126"/>
        <v>10860860.578947369</v>
      </c>
      <c r="J621" s="8">
        <v>2063563.51</v>
      </c>
      <c r="K621" s="8">
        <v>0</v>
      </c>
      <c r="L621" s="8">
        <v>0</v>
      </c>
      <c r="M621" s="8">
        <f>+I621+H621</f>
        <v>10860860.550000001</v>
      </c>
      <c r="N621" s="8">
        <f t="shared" ref="N621:N642" si="131">+J621+L621</f>
        <v>2063563.51</v>
      </c>
      <c r="O621" s="8">
        <f t="shared" si="127"/>
        <v>12924424.060000001</v>
      </c>
      <c r="P621" s="8">
        <v>12924424.060000001</v>
      </c>
      <c r="Q621" s="8">
        <v>0</v>
      </c>
      <c r="R621" s="8">
        <f t="shared" si="116"/>
        <v>0</v>
      </c>
      <c r="T621"/>
    </row>
    <row r="622" spans="2:22" s="5" customFormat="1" x14ac:dyDescent="0.3">
      <c r="B622" s="7" t="s">
        <v>16</v>
      </c>
      <c r="C622" s="7" t="s">
        <v>1236</v>
      </c>
      <c r="D622" s="7" t="s">
        <v>1230</v>
      </c>
      <c r="E622" s="7" t="s">
        <v>1237</v>
      </c>
      <c r="F622" s="7" t="s">
        <v>1231</v>
      </c>
      <c r="G622" s="7" t="s">
        <v>1232</v>
      </c>
      <c r="H622" s="8">
        <f t="shared" si="130"/>
        <v>0</v>
      </c>
      <c r="I622" s="8">
        <f t="shared" si="126"/>
        <v>3094017</v>
      </c>
      <c r="J622" s="8">
        <v>587863.23</v>
      </c>
      <c r="K622" s="8">
        <v>0</v>
      </c>
      <c r="L622" s="8">
        <v>0</v>
      </c>
      <c r="M622" s="8">
        <f>+I622+H622</f>
        <v>3094017</v>
      </c>
      <c r="N622" s="8">
        <f t="shared" si="131"/>
        <v>587863.23</v>
      </c>
      <c r="O622" s="8">
        <f t="shared" si="127"/>
        <v>3681880.23</v>
      </c>
      <c r="P622" s="8">
        <v>3681880.23</v>
      </c>
      <c r="Q622" s="8">
        <v>0</v>
      </c>
      <c r="R622" s="8">
        <f t="shared" si="116"/>
        <v>0</v>
      </c>
      <c r="T622"/>
    </row>
    <row r="623" spans="2:22" x14ac:dyDescent="0.3">
      <c r="B623" s="5" t="s">
        <v>16</v>
      </c>
      <c r="C623" s="5" t="s">
        <v>1238</v>
      </c>
      <c r="D623" s="5" t="s">
        <v>1230</v>
      </c>
      <c r="E623" s="5" t="s">
        <v>1091</v>
      </c>
      <c r="F623" s="5" t="s">
        <v>1231</v>
      </c>
      <c r="G623" s="5" t="s">
        <v>1232</v>
      </c>
      <c r="H623" s="6">
        <f t="shared" si="130"/>
        <v>0</v>
      </c>
      <c r="I623" s="6">
        <f t="shared" si="126"/>
        <v>1756625.9999999998</v>
      </c>
      <c r="J623" s="6">
        <v>333758.94</v>
      </c>
      <c r="K623" s="6">
        <v>0</v>
      </c>
      <c r="L623" s="6">
        <v>0</v>
      </c>
      <c r="M623" s="6">
        <f t="shared" ref="M623:M629" si="132">+H623+I623+K623</f>
        <v>1756625.9999999998</v>
      </c>
      <c r="N623" s="6">
        <f t="shared" si="131"/>
        <v>333758.94</v>
      </c>
      <c r="O623" s="6">
        <f t="shared" si="127"/>
        <v>2090384.9399999997</v>
      </c>
      <c r="P623" s="6">
        <v>2090384.94</v>
      </c>
      <c r="Q623" s="6"/>
      <c r="R623" s="6">
        <f t="shared" si="116"/>
        <v>0</v>
      </c>
      <c r="S623" s="5"/>
      <c r="U623" s="5"/>
      <c r="V623" s="5"/>
    </row>
    <row r="624" spans="2:22" s="5" customFormat="1" x14ac:dyDescent="0.3">
      <c r="B624" s="5" t="s">
        <v>16</v>
      </c>
      <c r="C624" s="5" t="s">
        <v>1239</v>
      </c>
      <c r="D624" s="5" t="s">
        <v>1230</v>
      </c>
      <c r="E624" s="5" t="s">
        <v>545</v>
      </c>
      <c r="F624" s="5" t="s">
        <v>1231</v>
      </c>
      <c r="G624" s="5" t="s">
        <v>1232</v>
      </c>
      <c r="H624" s="6">
        <f t="shared" si="130"/>
        <v>2.3157893214374781E-2</v>
      </c>
      <c r="I624" s="6">
        <f t="shared" si="126"/>
        <v>15815782.736842107</v>
      </c>
      <c r="J624" s="6">
        <v>3004998.72</v>
      </c>
      <c r="K624" s="6">
        <v>0</v>
      </c>
      <c r="L624" s="6">
        <v>0</v>
      </c>
      <c r="M624" s="6">
        <f t="shared" si="132"/>
        <v>15815782.76</v>
      </c>
      <c r="N624" s="6">
        <f t="shared" si="131"/>
        <v>3004998.72</v>
      </c>
      <c r="O624" s="6">
        <f t="shared" si="127"/>
        <v>18820781.48</v>
      </c>
      <c r="P624" s="6">
        <v>18820781.48</v>
      </c>
      <c r="Q624" s="6">
        <v>0</v>
      </c>
      <c r="R624" s="6">
        <f t="shared" si="116"/>
        <v>0</v>
      </c>
      <c r="S624"/>
      <c r="T624"/>
    </row>
    <row r="625" spans="2:22" s="5" customFormat="1" x14ac:dyDescent="0.3">
      <c r="B625" s="5" t="s">
        <v>16</v>
      </c>
      <c r="C625" s="5" t="s">
        <v>1240</v>
      </c>
      <c r="D625" s="5" t="s">
        <v>1230</v>
      </c>
      <c r="E625" s="5" t="s">
        <v>545</v>
      </c>
      <c r="F625" s="5" t="s">
        <v>1231</v>
      </c>
      <c r="G625" s="5" t="s">
        <v>1232</v>
      </c>
      <c r="H625" s="6">
        <f t="shared" si="130"/>
        <v>1.8947369186207652E-2</v>
      </c>
      <c r="I625" s="6">
        <f t="shared" si="126"/>
        <v>5651865.421052631</v>
      </c>
      <c r="J625" s="6">
        <v>1073854.43</v>
      </c>
      <c r="K625" s="6">
        <v>0</v>
      </c>
      <c r="L625" s="6">
        <v>0</v>
      </c>
      <c r="M625" s="6">
        <f t="shared" si="132"/>
        <v>5651865.4400000004</v>
      </c>
      <c r="N625" s="6">
        <f t="shared" si="131"/>
        <v>1073854.43</v>
      </c>
      <c r="O625" s="6">
        <f t="shared" si="127"/>
        <v>6725719.8700000001</v>
      </c>
      <c r="P625" s="6">
        <v>6725719.8700000001</v>
      </c>
      <c r="Q625" s="6">
        <v>0</v>
      </c>
      <c r="R625" s="6">
        <f t="shared" si="116"/>
        <v>0</v>
      </c>
      <c r="S625"/>
      <c r="T625"/>
    </row>
    <row r="626" spans="2:22" x14ac:dyDescent="0.3">
      <c r="B626" s="5" t="s">
        <v>16</v>
      </c>
      <c r="C626" s="5" t="s">
        <v>1241</v>
      </c>
      <c r="D626" s="5" t="s">
        <v>1230</v>
      </c>
      <c r="E626" s="5" t="s">
        <v>138</v>
      </c>
      <c r="F626" s="5" t="s">
        <v>1231</v>
      </c>
      <c r="G626" s="5" t="s">
        <v>1232</v>
      </c>
      <c r="H626" s="6">
        <f t="shared" si="130"/>
        <v>2.9473684262484312E-2</v>
      </c>
      <c r="I626" s="6">
        <f t="shared" si="126"/>
        <v>853878.21052631573</v>
      </c>
      <c r="J626" s="6">
        <v>162236.85999999999</v>
      </c>
      <c r="K626" s="6">
        <v>0</v>
      </c>
      <c r="L626" s="6">
        <v>0</v>
      </c>
      <c r="M626" s="6">
        <f t="shared" si="132"/>
        <v>853878.24</v>
      </c>
      <c r="N626" s="6">
        <f t="shared" si="131"/>
        <v>162236.85999999999</v>
      </c>
      <c r="O626" s="6">
        <f t="shared" si="127"/>
        <v>1016115.1</v>
      </c>
      <c r="P626" s="6">
        <v>1016115.1</v>
      </c>
      <c r="Q626" s="6">
        <v>0</v>
      </c>
      <c r="R626" s="6">
        <f t="shared" si="116"/>
        <v>0</v>
      </c>
      <c r="U626" s="5"/>
      <c r="V626" s="5"/>
    </row>
    <row r="627" spans="2:22" x14ac:dyDescent="0.3">
      <c r="B627" s="5" t="s">
        <v>16</v>
      </c>
      <c r="C627" s="5" t="s">
        <v>1242</v>
      </c>
      <c r="D627" s="5" t="s">
        <v>1230</v>
      </c>
      <c r="E627" s="5" t="s">
        <v>276</v>
      </c>
      <c r="F627" s="5" t="s">
        <v>1231</v>
      </c>
      <c r="G627" s="5" t="s">
        <v>1232</v>
      </c>
      <c r="H627" s="6">
        <f t="shared" si="130"/>
        <v>-2.894737059250474E-2</v>
      </c>
      <c r="I627" s="6">
        <f t="shared" si="126"/>
        <v>17324918.578947369</v>
      </c>
      <c r="J627" s="6">
        <v>3291734.53</v>
      </c>
      <c r="K627" s="6">
        <v>0</v>
      </c>
      <c r="L627" s="6">
        <v>0</v>
      </c>
      <c r="M627" s="6">
        <f t="shared" si="132"/>
        <v>17324918.549999997</v>
      </c>
      <c r="N627" s="6">
        <f t="shared" si="131"/>
        <v>3291734.53</v>
      </c>
      <c r="O627" s="6">
        <f t="shared" si="127"/>
        <v>20616653.079999998</v>
      </c>
      <c r="P627" s="6">
        <v>20616653.079999998</v>
      </c>
      <c r="Q627" s="6">
        <v>0</v>
      </c>
      <c r="R627" s="6">
        <f t="shared" si="116"/>
        <v>0</v>
      </c>
      <c r="S627" s="5"/>
      <c r="U627" s="5"/>
      <c r="V627" s="5"/>
    </row>
    <row r="628" spans="2:22" s="7" customFormat="1" x14ac:dyDescent="0.3">
      <c r="B628" s="5" t="s">
        <v>16</v>
      </c>
      <c r="C628" s="5" t="s">
        <v>1243</v>
      </c>
      <c r="D628" s="5" t="s">
        <v>1230</v>
      </c>
      <c r="E628" s="5" t="s">
        <v>481</v>
      </c>
      <c r="F628" s="5" t="s">
        <v>1231</v>
      </c>
      <c r="G628" s="5" t="s">
        <v>1232</v>
      </c>
      <c r="H628" s="6">
        <v>0</v>
      </c>
      <c r="I628" s="6">
        <f t="shared" si="126"/>
        <v>17513145.052631579</v>
      </c>
      <c r="J628" s="6">
        <v>3327497.56</v>
      </c>
      <c r="K628" s="6">
        <v>0</v>
      </c>
      <c r="L628" s="6">
        <v>0</v>
      </c>
      <c r="M628" s="6">
        <f t="shared" si="132"/>
        <v>17513145.052631579</v>
      </c>
      <c r="N628" s="6">
        <f t="shared" si="131"/>
        <v>3327497.56</v>
      </c>
      <c r="O628" s="6">
        <f t="shared" si="127"/>
        <v>20840642.612631578</v>
      </c>
      <c r="P628" s="6">
        <v>20840642.600000001</v>
      </c>
      <c r="Q628" s="6">
        <v>0</v>
      </c>
      <c r="R628" s="6">
        <f t="shared" ref="R628:R691" si="133">+Q628*2.5/100</f>
        <v>0</v>
      </c>
      <c r="S628" s="5"/>
      <c r="T628"/>
      <c r="U628" s="5"/>
      <c r="V628" s="5"/>
    </row>
    <row r="629" spans="2:22" s="7" customFormat="1" x14ac:dyDescent="0.3">
      <c r="B629" s="5" t="s">
        <v>16</v>
      </c>
      <c r="C629" s="5" t="s">
        <v>1244</v>
      </c>
      <c r="D629" s="5" t="s">
        <v>35</v>
      </c>
      <c r="E629" s="5" t="s">
        <v>1184</v>
      </c>
      <c r="F629" s="5" t="s">
        <v>505</v>
      </c>
      <c r="G629" s="5" t="s">
        <v>506</v>
      </c>
      <c r="H629" s="6">
        <f>+P629-I629-J629-K629-L629</f>
        <v>-1.6315789194777608E-2</v>
      </c>
      <c r="I629" s="6">
        <f t="shared" si="126"/>
        <v>3678781.5263157892</v>
      </c>
      <c r="J629" s="6">
        <v>698968.49</v>
      </c>
      <c r="K629" s="6">
        <v>0</v>
      </c>
      <c r="L629" s="6">
        <v>0</v>
      </c>
      <c r="M629" s="6">
        <f t="shared" si="132"/>
        <v>3678781.51</v>
      </c>
      <c r="N629" s="6">
        <f t="shared" si="131"/>
        <v>698968.49</v>
      </c>
      <c r="O629" s="6">
        <f t="shared" si="127"/>
        <v>4377750</v>
      </c>
      <c r="P629" s="6">
        <v>4377750</v>
      </c>
      <c r="Q629" s="6">
        <f>+M629</f>
        <v>3678781.51</v>
      </c>
      <c r="R629" s="6">
        <f t="shared" si="133"/>
        <v>91969.537749999989</v>
      </c>
      <c r="S629" s="5"/>
      <c r="T629"/>
      <c r="U629" s="5"/>
      <c r="V629" s="5"/>
    </row>
    <row r="630" spans="2:22" s="7" customFormat="1" x14ac:dyDescent="0.3">
      <c r="B630" s="7" t="s">
        <v>16</v>
      </c>
      <c r="C630" s="7" t="s">
        <v>1245</v>
      </c>
      <c r="D630" s="7" t="s">
        <v>35</v>
      </c>
      <c r="E630" s="7" t="s">
        <v>980</v>
      </c>
      <c r="F630" s="7" t="s">
        <v>1246</v>
      </c>
      <c r="G630" s="7" t="s">
        <v>1247</v>
      </c>
      <c r="H630" s="8">
        <f>+P630-I630-J630</f>
        <v>0</v>
      </c>
      <c r="I630" s="8">
        <f t="shared" si="126"/>
        <v>14887500</v>
      </c>
      <c r="J630" s="8">
        <v>2828625</v>
      </c>
      <c r="K630" s="8">
        <v>0</v>
      </c>
      <c r="L630" s="8">
        <v>0</v>
      </c>
      <c r="M630" s="8">
        <f>+I630+H630</f>
        <v>14887500</v>
      </c>
      <c r="N630" s="8">
        <f t="shared" si="131"/>
        <v>2828625</v>
      </c>
      <c r="O630" s="8">
        <f t="shared" si="127"/>
        <v>17716125</v>
      </c>
      <c r="P630" s="8">
        <v>17716125</v>
      </c>
      <c r="Q630" s="8">
        <v>0</v>
      </c>
      <c r="R630" s="8">
        <f t="shared" si="133"/>
        <v>0</v>
      </c>
      <c r="S630" s="5"/>
      <c r="T630"/>
      <c r="U630" s="5"/>
      <c r="V630" s="5"/>
    </row>
    <row r="631" spans="2:22" s="7" customFormat="1" x14ac:dyDescent="0.3">
      <c r="B631" s="5" t="s">
        <v>16</v>
      </c>
      <c r="C631" s="5" t="s">
        <v>1248</v>
      </c>
      <c r="D631" s="5" t="s">
        <v>35</v>
      </c>
      <c r="E631" s="5" t="s">
        <v>397</v>
      </c>
      <c r="F631" s="5" t="s">
        <v>1246</v>
      </c>
      <c r="G631" s="5" t="s">
        <v>1247</v>
      </c>
      <c r="H631" s="6">
        <f>+P631-I631-J631</f>
        <v>0</v>
      </c>
      <c r="I631" s="6">
        <f t="shared" si="126"/>
        <v>10168000</v>
      </c>
      <c r="J631" s="6">
        <v>1931920</v>
      </c>
      <c r="K631" s="6">
        <v>0</v>
      </c>
      <c r="L631" s="6">
        <v>0</v>
      </c>
      <c r="M631" s="6">
        <f t="shared" ref="M631:M642" si="134">+H631+I631+K631</f>
        <v>10168000</v>
      </c>
      <c r="N631" s="6">
        <f t="shared" si="131"/>
        <v>1931920</v>
      </c>
      <c r="O631" s="6">
        <f t="shared" si="127"/>
        <v>12099920</v>
      </c>
      <c r="P631" s="6">
        <v>12099920</v>
      </c>
      <c r="Q631" s="6">
        <v>0</v>
      </c>
      <c r="R631" s="6">
        <f t="shared" si="133"/>
        <v>0</v>
      </c>
      <c r="S631" s="6"/>
      <c r="T631"/>
      <c r="U631"/>
      <c r="V631" s="5"/>
    </row>
    <row r="632" spans="2:22" s="7" customFormat="1" x14ac:dyDescent="0.3">
      <c r="B632" s="5" t="s">
        <v>16</v>
      </c>
      <c r="C632" s="5" t="s">
        <v>1249</v>
      </c>
      <c r="D632" s="5" t="s">
        <v>1250</v>
      </c>
      <c r="E632" s="5" t="s">
        <v>949</v>
      </c>
      <c r="F632" s="5" t="s">
        <v>261</v>
      </c>
      <c r="G632" s="5" t="s">
        <v>262</v>
      </c>
      <c r="H632" s="6">
        <f>+P632-I632-J632</f>
        <v>0</v>
      </c>
      <c r="I632" s="6">
        <f t="shared" si="126"/>
        <v>2986500</v>
      </c>
      <c r="J632" s="6">
        <v>567435</v>
      </c>
      <c r="K632" s="6">
        <v>0</v>
      </c>
      <c r="L632" s="6">
        <v>0</v>
      </c>
      <c r="M632" s="6">
        <f t="shared" si="134"/>
        <v>2986500</v>
      </c>
      <c r="N632" s="6">
        <f t="shared" si="131"/>
        <v>567435</v>
      </c>
      <c r="O632" s="6">
        <f t="shared" si="127"/>
        <v>3553935</v>
      </c>
      <c r="P632" s="6">
        <v>3553935</v>
      </c>
      <c r="Q632" s="6">
        <f>+M632</f>
        <v>2986500</v>
      </c>
      <c r="R632" s="6">
        <f t="shared" si="133"/>
        <v>74662.5</v>
      </c>
      <c r="S632" s="6"/>
      <c r="T632"/>
      <c r="U632" s="5"/>
      <c r="V632" s="5"/>
    </row>
    <row r="633" spans="2:22" s="7" customFormat="1" x14ac:dyDescent="0.3">
      <c r="B633" s="5" t="s">
        <v>16</v>
      </c>
      <c r="C633" s="5" t="s">
        <v>1251</v>
      </c>
      <c r="D633" s="5" t="s">
        <v>1250</v>
      </c>
      <c r="E633" s="5" t="s">
        <v>413</v>
      </c>
      <c r="F633" s="5" t="s">
        <v>261</v>
      </c>
      <c r="G633" s="5" t="s">
        <v>262</v>
      </c>
      <c r="H633" s="6">
        <f>+P633-I633-J633</f>
        <v>-2.6315789669752121E-2</v>
      </c>
      <c r="I633" s="6">
        <f t="shared" si="126"/>
        <v>47064796.526315793</v>
      </c>
      <c r="J633" s="6">
        <v>8942311.3399999999</v>
      </c>
      <c r="K633" s="6">
        <v>0</v>
      </c>
      <c r="L633" s="6">
        <v>0</v>
      </c>
      <c r="M633" s="6">
        <f t="shared" si="134"/>
        <v>47064796.5</v>
      </c>
      <c r="N633" s="6">
        <f t="shared" si="131"/>
        <v>8942311.3399999999</v>
      </c>
      <c r="O633" s="6">
        <f t="shared" si="127"/>
        <v>56007107.840000004</v>
      </c>
      <c r="P633" s="6">
        <v>56007107.840000004</v>
      </c>
      <c r="Q633" s="6">
        <f>+M633</f>
        <v>47064796.5</v>
      </c>
      <c r="R633" s="6">
        <f t="shared" si="133"/>
        <v>1176619.9125000001</v>
      </c>
      <c r="S633" s="6"/>
      <c r="T633"/>
      <c r="U633" s="5"/>
      <c r="V633" s="5"/>
    </row>
    <row r="634" spans="2:22" s="7" customFormat="1" x14ac:dyDescent="0.3">
      <c r="B634" s="5" t="s">
        <v>16</v>
      </c>
      <c r="C634" s="5" t="s">
        <v>1252</v>
      </c>
      <c r="D634" s="5" t="s">
        <v>1250</v>
      </c>
      <c r="E634" s="5" t="s">
        <v>763</v>
      </c>
      <c r="F634" s="5" t="s">
        <v>261</v>
      </c>
      <c r="G634" s="5" t="s">
        <v>262</v>
      </c>
      <c r="H634" s="6">
        <f>+P634-I634-J634-K634-L634</f>
        <v>1.3157894703908823E-2</v>
      </c>
      <c r="I634" s="6">
        <f t="shared" si="126"/>
        <v>444490.73684210528</v>
      </c>
      <c r="J634" s="6">
        <v>84453.24</v>
      </c>
      <c r="K634" s="6">
        <v>0</v>
      </c>
      <c r="L634" s="6">
        <v>0</v>
      </c>
      <c r="M634" s="6">
        <f t="shared" si="134"/>
        <v>444490.75</v>
      </c>
      <c r="N634" s="6">
        <f t="shared" si="131"/>
        <v>84453.24</v>
      </c>
      <c r="O634" s="6">
        <f t="shared" si="127"/>
        <v>528943.99</v>
      </c>
      <c r="P634" s="6">
        <v>528943.99</v>
      </c>
      <c r="Q634" s="6">
        <v>0</v>
      </c>
      <c r="R634" s="6">
        <f t="shared" si="133"/>
        <v>0</v>
      </c>
      <c r="S634" s="5"/>
      <c r="T634"/>
      <c r="U634" s="5"/>
      <c r="V634" s="5"/>
    </row>
    <row r="635" spans="2:22" s="7" customFormat="1" x14ac:dyDescent="0.3">
      <c r="B635" s="5" t="s">
        <v>16</v>
      </c>
      <c r="C635" s="5" t="s">
        <v>1253</v>
      </c>
      <c r="D635" s="5" t="s">
        <v>1250</v>
      </c>
      <c r="E635" s="5" t="s">
        <v>1254</v>
      </c>
      <c r="F635" s="5" t="s">
        <v>261</v>
      </c>
      <c r="G635" s="5" t="s">
        <v>262</v>
      </c>
      <c r="H635" s="6">
        <f>+P635-I635-J635-K635-L635</f>
        <v>-1.7462298274040222E-10</v>
      </c>
      <c r="I635" s="6">
        <f t="shared" si="126"/>
        <v>1519857.0000000002</v>
      </c>
      <c r="J635" s="6">
        <v>288772.83</v>
      </c>
      <c r="K635" s="6">
        <v>0</v>
      </c>
      <c r="L635" s="6">
        <v>0</v>
      </c>
      <c r="M635" s="6">
        <f t="shared" si="134"/>
        <v>1519857</v>
      </c>
      <c r="N635" s="6">
        <f t="shared" si="131"/>
        <v>288772.83</v>
      </c>
      <c r="O635" s="6">
        <f t="shared" si="127"/>
        <v>1808629.83</v>
      </c>
      <c r="P635" s="6">
        <v>1808629.83</v>
      </c>
      <c r="Q635" s="6">
        <f>+M635</f>
        <v>1519857</v>
      </c>
      <c r="R635" s="6">
        <f t="shared" si="133"/>
        <v>37996.425000000003</v>
      </c>
      <c r="S635" s="5"/>
      <c r="T635"/>
      <c r="U635"/>
      <c r="V635"/>
    </row>
    <row r="636" spans="2:22" s="7" customFormat="1" x14ac:dyDescent="0.3">
      <c r="B636" s="5" t="s">
        <v>16</v>
      </c>
      <c r="C636" s="5" t="s">
        <v>1255</v>
      </c>
      <c r="D636" s="5" t="s">
        <v>1250</v>
      </c>
      <c r="E636" s="5" t="s">
        <v>1071</v>
      </c>
      <c r="F636" s="5" t="s">
        <v>261</v>
      </c>
      <c r="G636" s="5" t="s">
        <v>262</v>
      </c>
      <c r="H636" s="6">
        <f>+P636-I636-J636-K636-L636</f>
        <v>-2.6315789902582765E-2</v>
      </c>
      <c r="I636" s="6">
        <f t="shared" si="126"/>
        <v>6892932.5263157897</v>
      </c>
      <c r="J636" s="6">
        <v>1309657.18</v>
      </c>
      <c r="K636" s="6">
        <v>0</v>
      </c>
      <c r="L636" s="6">
        <v>0</v>
      </c>
      <c r="M636" s="6">
        <f t="shared" si="134"/>
        <v>6892932.5</v>
      </c>
      <c r="N636" s="6">
        <f t="shared" si="131"/>
        <v>1309657.18</v>
      </c>
      <c r="O636" s="6">
        <f t="shared" si="127"/>
        <v>8202589.6799999997</v>
      </c>
      <c r="P636" s="6">
        <v>8202589.6799999997</v>
      </c>
      <c r="Q636" s="6">
        <f>+M636</f>
        <v>6892932.5</v>
      </c>
      <c r="R636" s="6">
        <f t="shared" si="133"/>
        <v>172323.3125</v>
      </c>
      <c r="S636" s="5"/>
      <c r="T636"/>
      <c r="U636"/>
      <c r="V636"/>
    </row>
    <row r="637" spans="2:22" s="7" customFormat="1" x14ac:dyDescent="0.3">
      <c r="B637" s="5" t="s">
        <v>16</v>
      </c>
      <c r="C637" s="5" t="s">
        <v>1256</v>
      </c>
      <c r="D637" s="5" t="s">
        <v>1250</v>
      </c>
      <c r="E637" s="5" t="s">
        <v>1257</v>
      </c>
      <c r="F637" s="5" t="s">
        <v>261</v>
      </c>
      <c r="G637" s="5" t="s">
        <v>262</v>
      </c>
      <c r="H637" s="6">
        <f>+P637-I637-J637-K637-L637</f>
        <v>0</v>
      </c>
      <c r="I637" s="6">
        <f t="shared" si="126"/>
        <v>7914225</v>
      </c>
      <c r="J637" s="6">
        <v>1503702.75</v>
      </c>
      <c r="K637" s="6">
        <v>0</v>
      </c>
      <c r="L637" s="6">
        <v>0</v>
      </c>
      <c r="M637" s="6">
        <f t="shared" si="134"/>
        <v>7914225</v>
      </c>
      <c r="N637" s="6">
        <f t="shared" si="131"/>
        <v>1503702.75</v>
      </c>
      <c r="O637" s="6">
        <f t="shared" si="127"/>
        <v>9417927.75</v>
      </c>
      <c r="P637" s="6">
        <v>9417927.75</v>
      </c>
      <c r="Q637" s="6">
        <f>+M637</f>
        <v>7914225</v>
      </c>
      <c r="R637" s="6">
        <f t="shared" si="133"/>
        <v>197855.625</v>
      </c>
      <c r="S637" s="5"/>
      <c r="T637"/>
      <c r="U637" s="5"/>
      <c r="V637" s="5"/>
    </row>
    <row r="638" spans="2:22" s="7" customFormat="1" x14ac:dyDescent="0.3">
      <c r="B638" s="5" t="s">
        <v>16</v>
      </c>
      <c r="C638" s="5" t="s">
        <v>1258</v>
      </c>
      <c r="D638" s="5" t="s">
        <v>1250</v>
      </c>
      <c r="E638" s="5" t="s">
        <v>928</v>
      </c>
      <c r="F638" s="5" t="s">
        <v>261</v>
      </c>
      <c r="G638" s="5" t="s">
        <v>262</v>
      </c>
      <c r="H638" s="6">
        <v>0</v>
      </c>
      <c r="I638" s="6">
        <f t="shared" si="126"/>
        <v>1177586</v>
      </c>
      <c r="J638" s="6">
        <v>223741.34</v>
      </c>
      <c r="K638" s="6">
        <v>0</v>
      </c>
      <c r="L638" s="6">
        <v>0</v>
      </c>
      <c r="M638" s="6">
        <f t="shared" si="134"/>
        <v>1177586</v>
      </c>
      <c r="N638" s="6">
        <f t="shared" si="131"/>
        <v>223741.34</v>
      </c>
      <c r="O638" s="6">
        <f t="shared" si="127"/>
        <v>1401327.34</v>
      </c>
      <c r="P638" s="6">
        <v>1401327.34</v>
      </c>
      <c r="Q638" s="6">
        <f>+M638</f>
        <v>1177586</v>
      </c>
      <c r="R638" s="6">
        <f t="shared" si="133"/>
        <v>29439.65</v>
      </c>
      <c r="S638" s="5"/>
      <c r="T638"/>
      <c r="U638" s="5"/>
      <c r="V638" s="5"/>
    </row>
    <row r="639" spans="2:22" s="7" customFormat="1" x14ac:dyDescent="0.3">
      <c r="B639" s="5" t="s">
        <v>16</v>
      </c>
      <c r="C639" s="5" t="s">
        <v>1259</v>
      </c>
      <c r="D639" s="5" t="s">
        <v>1260</v>
      </c>
      <c r="E639" s="5" t="s">
        <v>791</v>
      </c>
      <c r="F639" s="5" t="s">
        <v>1261</v>
      </c>
      <c r="G639" s="5" t="s">
        <v>1262</v>
      </c>
      <c r="H639" s="6">
        <v>246312</v>
      </c>
      <c r="I639" s="6">
        <f t="shared" si="126"/>
        <v>592911</v>
      </c>
      <c r="J639" s="6">
        <v>112653.09</v>
      </c>
      <c r="K639" s="6">
        <v>0</v>
      </c>
      <c r="L639" s="6">
        <v>0</v>
      </c>
      <c r="M639" s="6">
        <f t="shared" si="134"/>
        <v>839223</v>
      </c>
      <c r="N639" s="6">
        <f t="shared" si="131"/>
        <v>112653.09</v>
      </c>
      <c r="O639" s="6">
        <f t="shared" si="127"/>
        <v>951876.09</v>
      </c>
      <c r="P639" s="6">
        <v>951876.09</v>
      </c>
      <c r="Q639" s="6">
        <f>+P639-O639</f>
        <v>0</v>
      </c>
      <c r="R639" s="6">
        <f t="shared" si="133"/>
        <v>0</v>
      </c>
      <c r="S639" s="5"/>
      <c r="T639"/>
      <c r="U639" s="5"/>
      <c r="V639" s="5"/>
    </row>
    <row r="640" spans="2:22" s="7" customFormat="1" x14ac:dyDescent="0.3">
      <c r="B640" s="5" t="s">
        <v>16</v>
      </c>
      <c r="C640" s="5" t="s">
        <v>1263</v>
      </c>
      <c r="D640" s="5" t="s">
        <v>1260</v>
      </c>
      <c r="E640" s="5" t="s">
        <v>643</v>
      </c>
      <c r="F640" s="5" t="s">
        <v>1261</v>
      </c>
      <c r="G640" s="5" t="s">
        <v>1262</v>
      </c>
      <c r="H640" s="6">
        <v>0</v>
      </c>
      <c r="I640" s="6">
        <f t="shared" si="126"/>
        <v>1773139.9999999998</v>
      </c>
      <c r="J640" s="6">
        <v>336896.6</v>
      </c>
      <c r="K640" s="6">
        <v>0</v>
      </c>
      <c r="L640" s="6">
        <v>0</v>
      </c>
      <c r="M640" s="6">
        <f t="shared" si="134"/>
        <v>1773139.9999999998</v>
      </c>
      <c r="N640" s="6">
        <f t="shared" si="131"/>
        <v>336896.6</v>
      </c>
      <c r="O640" s="6">
        <f t="shared" si="127"/>
        <v>2110036.5999999996</v>
      </c>
      <c r="P640" s="6">
        <v>2110036.6</v>
      </c>
      <c r="Q640" s="6">
        <v>0</v>
      </c>
      <c r="R640" s="6">
        <f t="shared" si="133"/>
        <v>0</v>
      </c>
      <c r="S640" s="5"/>
      <c r="T640"/>
      <c r="U640"/>
      <c r="V640"/>
    </row>
    <row r="641" spans="2:22" s="7" customFormat="1" x14ac:dyDescent="0.3">
      <c r="B641" s="5" t="s">
        <v>16</v>
      </c>
      <c r="C641" s="5" t="s">
        <v>1264</v>
      </c>
      <c r="D641" s="5" t="s">
        <v>1260</v>
      </c>
      <c r="E641" s="5" t="s">
        <v>1094</v>
      </c>
      <c r="F641" s="5" t="s">
        <v>1261</v>
      </c>
      <c r="G641" s="5" t="s">
        <v>1262</v>
      </c>
      <c r="H641" s="6">
        <v>0</v>
      </c>
      <c r="I641" s="6">
        <f t="shared" si="126"/>
        <v>9864464</v>
      </c>
      <c r="J641" s="6">
        <v>1874248.16</v>
      </c>
      <c r="K641" s="6">
        <v>0</v>
      </c>
      <c r="L641" s="6">
        <v>0</v>
      </c>
      <c r="M641" s="6">
        <f t="shared" si="134"/>
        <v>9864464</v>
      </c>
      <c r="N641" s="6">
        <f t="shared" si="131"/>
        <v>1874248.16</v>
      </c>
      <c r="O641" s="6">
        <f t="shared" si="127"/>
        <v>11738712.16</v>
      </c>
      <c r="P641" s="6">
        <v>11738712.16</v>
      </c>
      <c r="Q641" s="6">
        <v>0</v>
      </c>
      <c r="R641" s="6">
        <f t="shared" si="133"/>
        <v>0</v>
      </c>
      <c r="S641" s="5"/>
      <c r="T641"/>
      <c r="U641" s="5"/>
      <c r="V641" s="5"/>
    </row>
    <row r="642" spans="2:22" s="7" customFormat="1" x14ac:dyDescent="0.3">
      <c r="B642" s="5" t="s">
        <v>16</v>
      </c>
      <c r="C642" s="5" t="s">
        <v>1265</v>
      </c>
      <c r="D642" s="5" t="s">
        <v>1260</v>
      </c>
      <c r="E642" s="5" t="s">
        <v>803</v>
      </c>
      <c r="F642" s="5" t="s">
        <v>1261</v>
      </c>
      <c r="G642" s="5" t="s">
        <v>1262</v>
      </c>
      <c r="H642" s="6">
        <v>0</v>
      </c>
      <c r="I642" s="6">
        <f t="shared" si="126"/>
        <v>591480</v>
      </c>
      <c r="J642" s="6">
        <v>112381.2</v>
      </c>
      <c r="K642" s="6">
        <v>0</v>
      </c>
      <c r="L642" s="6">
        <v>0</v>
      </c>
      <c r="M642" s="6">
        <f t="shared" si="134"/>
        <v>591480</v>
      </c>
      <c r="N642" s="6">
        <f t="shared" si="131"/>
        <v>112381.2</v>
      </c>
      <c r="O642" s="6">
        <f t="shared" si="127"/>
        <v>703861.2</v>
      </c>
      <c r="P642" s="6">
        <v>703861.2</v>
      </c>
      <c r="Q642" s="6">
        <v>0</v>
      </c>
      <c r="R642" s="6">
        <f t="shared" si="133"/>
        <v>0</v>
      </c>
      <c r="S642" s="5"/>
      <c r="T642"/>
      <c r="U642" s="5"/>
      <c r="V642" s="5"/>
    </row>
    <row r="643" spans="2:22" s="7" customFormat="1" x14ac:dyDescent="0.3">
      <c r="B643" s="5" t="s">
        <v>16</v>
      </c>
      <c r="C643" s="5" t="s">
        <v>1266</v>
      </c>
      <c r="D643" s="5" t="s">
        <v>1260</v>
      </c>
      <c r="E643" s="5" t="s">
        <v>1267</v>
      </c>
      <c r="F643" s="5" t="s">
        <v>1261</v>
      </c>
      <c r="G643" s="5" t="s">
        <v>1262</v>
      </c>
      <c r="H643" s="6">
        <v>0</v>
      </c>
      <c r="I643" s="6">
        <f t="shared" si="126"/>
        <v>456359.99999999994</v>
      </c>
      <c r="J643" s="6">
        <v>86708.4</v>
      </c>
      <c r="K643" s="6"/>
      <c r="L643" s="6"/>
      <c r="M643" s="6">
        <f t="shared" ref="M643:M650" si="135">+H643+I643</f>
        <v>456359.99999999994</v>
      </c>
      <c r="N643" s="6">
        <f t="shared" ref="N643:N650" si="136">+J643</f>
        <v>86708.4</v>
      </c>
      <c r="O643" s="6">
        <f t="shared" si="127"/>
        <v>543068.39999999991</v>
      </c>
      <c r="P643" s="6">
        <v>543068.4</v>
      </c>
      <c r="Q643" s="6"/>
      <c r="R643" s="6">
        <f t="shared" si="133"/>
        <v>0</v>
      </c>
      <c r="S643" s="5"/>
      <c r="T643"/>
      <c r="U643" s="5"/>
      <c r="V643" s="5"/>
    </row>
    <row r="644" spans="2:22" s="7" customFormat="1" x14ac:dyDescent="0.3">
      <c r="B644" s="5" t="s">
        <v>16</v>
      </c>
      <c r="C644" s="5" t="s">
        <v>1268</v>
      </c>
      <c r="D644" s="5" t="s">
        <v>1260</v>
      </c>
      <c r="E644" s="5" t="s">
        <v>1267</v>
      </c>
      <c r="F644" s="5" t="s">
        <v>1261</v>
      </c>
      <c r="G644" s="5" t="s">
        <v>1262</v>
      </c>
      <c r="H644" s="6">
        <v>0</v>
      </c>
      <c r="I644" s="6">
        <f t="shared" si="126"/>
        <v>14878266</v>
      </c>
      <c r="J644" s="6">
        <v>2826870.54</v>
      </c>
      <c r="K644" s="6"/>
      <c r="L644" s="6"/>
      <c r="M644" s="6">
        <f t="shared" si="135"/>
        <v>14878266</v>
      </c>
      <c r="N644" s="6">
        <f t="shared" si="136"/>
        <v>2826870.54</v>
      </c>
      <c r="O644" s="6">
        <f t="shared" si="127"/>
        <v>17705136.539999999</v>
      </c>
      <c r="P644" s="6">
        <v>17705136.539999999</v>
      </c>
      <c r="Q644" s="6"/>
      <c r="R644" s="6">
        <f t="shared" si="133"/>
        <v>0</v>
      </c>
      <c r="S644" s="5"/>
      <c r="T644"/>
      <c r="U644" s="5"/>
      <c r="V644" s="5"/>
    </row>
    <row r="645" spans="2:22" s="7" customFormat="1" x14ac:dyDescent="0.3">
      <c r="B645" s="5" t="s">
        <v>16</v>
      </c>
      <c r="C645" s="5" t="s">
        <v>1269</v>
      </c>
      <c r="D645" s="5" t="s">
        <v>1260</v>
      </c>
      <c r="E645" s="5" t="s">
        <v>1267</v>
      </c>
      <c r="F645" s="5" t="s">
        <v>1261</v>
      </c>
      <c r="G645" s="5" t="s">
        <v>1262</v>
      </c>
      <c r="H645" s="6">
        <v>555240</v>
      </c>
      <c r="I645" s="6">
        <f t="shared" si="126"/>
        <v>440583</v>
      </c>
      <c r="J645" s="6">
        <v>83710.77</v>
      </c>
      <c r="K645" s="6"/>
      <c r="L645" s="6"/>
      <c r="M645" s="6">
        <f t="shared" si="135"/>
        <v>995823</v>
      </c>
      <c r="N645" s="6">
        <f t="shared" si="136"/>
        <v>83710.77</v>
      </c>
      <c r="O645" s="6">
        <f t="shared" si="127"/>
        <v>1079533.77</v>
      </c>
      <c r="P645" s="6">
        <v>1079533.77</v>
      </c>
      <c r="Q645" s="6"/>
      <c r="R645" s="6">
        <f t="shared" si="133"/>
        <v>0</v>
      </c>
      <c r="S645" s="5"/>
      <c r="T645"/>
      <c r="U645"/>
      <c r="V645"/>
    </row>
    <row r="646" spans="2:22" s="7" customFormat="1" x14ac:dyDescent="0.3">
      <c r="B646" s="5" t="s">
        <v>16</v>
      </c>
      <c r="C646" s="5" t="s">
        <v>1270</v>
      </c>
      <c r="D646" s="5" t="s">
        <v>1260</v>
      </c>
      <c r="E646" s="5" t="s">
        <v>1271</v>
      </c>
      <c r="F646" s="5" t="s">
        <v>1261</v>
      </c>
      <c r="G646" s="5" t="s">
        <v>1262</v>
      </c>
      <c r="H646" s="6">
        <v>0</v>
      </c>
      <c r="I646" s="6">
        <f t="shared" si="126"/>
        <v>141312</v>
      </c>
      <c r="J646" s="6">
        <v>26849.279999999999</v>
      </c>
      <c r="K646" s="6"/>
      <c r="L646" s="6"/>
      <c r="M646" s="6">
        <f t="shared" si="135"/>
        <v>141312</v>
      </c>
      <c r="N646" s="6">
        <f t="shared" si="136"/>
        <v>26849.279999999999</v>
      </c>
      <c r="O646" s="6">
        <f t="shared" si="127"/>
        <v>168161.28</v>
      </c>
      <c r="P646" s="6">
        <v>168161.28</v>
      </c>
      <c r="Q646" s="6"/>
      <c r="R646" s="6">
        <f t="shared" si="133"/>
        <v>0</v>
      </c>
      <c r="S646" s="5"/>
      <c r="T646"/>
      <c r="U646"/>
      <c r="V646"/>
    </row>
    <row r="647" spans="2:22" s="5" customFormat="1" x14ac:dyDescent="0.3">
      <c r="B647" s="5" t="s">
        <v>16</v>
      </c>
      <c r="C647" s="5" t="s">
        <v>1272</v>
      </c>
      <c r="D647" s="5" t="s">
        <v>1260</v>
      </c>
      <c r="E647" s="5" t="s">
        <v>918</v>
      </c>
      <c r="F647" s="5" t="s">
        <v>1261</v>
      </c>
      <c r="G647" s="5" t="s">
        <v>1262</v>
      </c>
      <c r="H647" s="6">
        <v>0</v>
      </c>
      <c r="I647" s="6">
        <f t="shared" si="126"/>
        <v>10891468</v>
      </c>
      <c r="J647" s="6">
        <v>2069378.92</v>
      </c>
      <c r="K647" s="6"/>
      <c r="L647" s="6"/>
      <c r="M647" s="6">
        <f t="shared" si="135"/>
        <v>10891468</v>
      </c>
      <c r="N647" s="6">
        <f t="shared" si="136"/>
        <v>2069378.92</v>
      </c>
      <c r="O647" s="6">
        <f t="shared" si="127"/>
        <v>12960846.92</v>
      </c>
      <c r="P647" s="6">
        <v>12960846.92</v>
      </c>
      <c r="Q647" s="6"/>
      <c r="R647" s="6">
        <f t="shared" si="133"/>
        <v>0</v>
      </c>
      <c r="T647"/>
      <c r="U647"/>
      <c r="V647"/>
    </row>
    <row r="648" spans="2:22" s="5" customFormat="1" x14ac:dyDescent="0.3">
      <c r="B648" s="5" t="s">
        <v>16</v>
      </c>
      <c r="C648" s="5" t="s">
        <v>1273</v>
      </c>
      <c r="D648" s="5" t="s">
        <v>1260</v>
      </c>
      <c r="E648" s="5" t="s">
        <v>918</v>
      </c>
      <c r="F648" s="5" t="s">
        <v>1261</v>
      </c>
      <c r="G648" s="5" t="s">
        <v>1262</v>
      </c>
      <c r="H648" s="6">
        <v>0</v>
      </c>
      <c r="I648" s="6">
        <f t="shared" si="126"/>
        <v>911550</v>
      </c>
      <c r="J648" s="6">
        <v>173194.5</v>
      </c>
      <c r="K648" s="6"/>
      <c r="L648" s="6"/>
      <c r="M648" s="6">
        <f t="shared" si="135"/>
        <v>911550</v>
      </c>
      <c r="N648" s="6">
        <f t="shared" si="136"/>
        <v>173194.5</v>
      </c>
      <c r="O648" s="6">
        <f t="shared" si="127"/>
        <v>1084744.5</v>
      </c>
      <c r="P648" s="6">
        <v>1084744.5</v>
      </c>
      <c r="Q648" s="6"/>
      <c r="R648" s="6">
        <f t="shared" si="133"/>
        <v>0</v>
      </c>
      <c r="T648"/>
      <c r="U648"/>
      <c r="V648"/>
    </row>
    <row r="649" spans="2:22" s="5" customFormat="1" x14ac:dyDescent="0.3">
      <c r="B649" s="5" t="s">
        <v>16</v>
      </c>
      <c r="C649" s="5" t="s">
        <v>1274</v>
      </c>
      <c r="D649" s="5" t="s">
        <v>1260</v>
      </c>
      <c r="E649" s="5" t="s">
        <v>1275</v>
      </c>
      <c r="F649" s="5" t="s">
        <v>1261</v>
      </c>
      <c r="G649" s="5" t="s">
        <v>1262</v>
      </c>
      <c r="H649" s="6">
        <v>3.4924596548080444E-10</v>
      </c>
      <c r="I649" s="6">
        <f t="shared" si="126"/>
        <v>1201793.9999999998</v>
      </c>
      <c r="J649" s="6">
        <v>228340.86</v>
      </c>
      <c r="K649" s="6"/>
      <c r="L649" s="6"/>
      <c r="M649" s="6">
        <f t="shared" si="135"/>
        <v>1201794</v>
      </c>
      <c r="N649" s="6">
        <f t="shared" si="136"/>
        <v>228340.86</v>
      </c>
      <c r="O649" s="6">
        <f t="shared" si="127"/>
        <v>1430134.8599999999</v>
      </c>
      <c r="P649" s="6">
        <v>1430134.86</v>
      </c>
      <c r="Q649" s="6"/>
      <c r="R649" s="6">
        <f t="shared" si="133"/>
        <v>0</v>
      </c>
      <c r="T649"/>
      <c r="U649"/>
      <c r="V649"/>
    </row>
    <row r="650" spans="2:22" s="5" customFormat="1" x14ac:dyDescent="0.3">
      <c r="B650" s="5" t="s">
        <v>16</v>
      </c>
      <c r="C650" s="5" t="s">
        <v>1276</v>
      </c>
      <c r="D650" s="5" t="s">
        <v>1260</v>
      </c>
      <c r="E650" s="5" t="s">
        <v>694</v>
      </c>
      <c r="F650" s="5" t="s">
        <v>1261</v>
      </c>
      <c r="G650" s="5" t="s">
        <v>1262</v>
      </c>
      <c r="H650" s="6">
        <v>-4.6566128730773926E-10</v>
      </c>
      <c r="I650" s="6">
        <f t="shared" si="126"/>
        <v>1779812.0000000002</v>
      </c>
      <c r="J650" s="6">
        <v>338164.28</v>
      </c>
      <c r="K650" s="6"/>
      <c r="L650" s="6"/>
      <c r="M650" s="6">
        <f t="shared" si="135"/>
        <v>1779811.9999999998</v>
      </c>
      <c r="N650" s="6">
        <f t="shared" si="136"/>
        <v>338164.28</v>
      </c>
      <c r="O650" s="6">
        <f t="shared" si="127"/>
        <v>2117976.2799999998</v>
      </c>
      <c r="P650" s="6">
        <v>2117976.2799999998</v>
      </c>
      <c r="Q650" s="6"/>
      <c r="R650" s="6">
        <f t="shared" si="133"/>
        <v>0</v>
      </c>
      <c r="S650"/>
      <c r="T650"/>
      <c r="V650"/>
    </row>
    <row r="651" spans="2:22" s="5" customFormat="1" x14ac:dyDescent="0.3">
      <c r="B651" s="7" t="s">
        <v>16</v>
      </c>
      <c r="C651" s="7" t="s">
        <v>1277</v>
      </c>
      <c r="D651" s="7" t="s">
        <v>1260</v>
      </c>
      <c r="E651" s="7" t="s">
        <v>1278</v>
      </c>
      <c r="F651" s="7" t="s">
        <v>1261</v>
      </c>
      <c r="G651" s="7" t="s">
        <v>1262</v>
      </c>
      <c r="H651" s="8">
        <f t="shared" ref="H651:H682" si="137">+P651-I651-J651</f>
        <v>0</v>
      </c>
      <c r="I651" s="8">
        <f t="shared" si="126"/>
        <v>12797001</v>
      </c>
      <c r="J651" s="8">
        <v>2431430.19</v>
      </c>
      <c r="K651" s="8">
        <v>0</v>
      </c>
      <c r="L651" s="8">
        <v>0</v>
      </c>
      <c r="M651" s="8">
        <f>+I651+H651</f>
        <v>12797001</v>
      </c>
      <c r="N651" s="8">
        <f t="shared" ref="N651:N660" si="138">+J651+L651</f>
        <v>2431430.19</v>
      </c>
      <c r="O651" s="8">
        <f t="shared" si="127"/>
        <v>15228431.189999999</v>
      </c>
      <c r="P651" s="8">
        <v>15228431.189999999</v>
      </c>
      <c r="Q651" s="8">
        <v>0</v>
      </c>
      <c r="R651" s="8">
        <f t="shared" si="133"/>
        <v>0</v>
      </c>
      <c r="S651"/>
      <c r="T651"/>
      <c r="U651" s="6"/>
    </row>
    <row r="652" spans="2:22" s="5" customFormat="1" x14ac:dyDescent="0.3">
      <c r="B652" s="7" t="s">
        <v>16</v>
      </c>
      <c r="C652" s="7" t="s">
        <v>1279</v>
      </c>
      <c r="D652" s="7" t="s">
        <v>1260</v>
      </c>
      <c r="E652" s="7" t="s">
        <v>238</v>
      </c>
      <c r="F652" s="7" t="s">
        <v>1261</v>
      </c>
      <c r="G652" s="7" t="s">
        <v>1262</v>
      </c>
      <c r="H652" s="8">
        <f t="shared" si="137"/>
        <v>960000</v>
      </c>
      <c r="I652" s="8">
        <f t="shared" si="126"/>
        <v>0</v>
      </c>
      <c r="J652" s="8">
        <v>0</v>
      </c>
      <c r="K652" s="8">
        <v>0</v>
      </c>
      <c r="L652" s="8">
        <v>0</v>
      </c>
      <c r="M652" s="8">
        <f>+I652+H652</f>
        <v>960000</v>
      </c>
      <c r="N652" s="8">
        <f t="shared" si="138"/>
        <v>0</v>
      </c>
      <c r="O652" s="8">
        <f t="shared" si="127"/>
        <v>960000</v>
      </c>
      <c r="P652" s="8">
        <v>960000</v>
      </c>
      <c r="Q652" s="8">
        <v>0</v>
      </c>
      <c r="R652" s="8">
        <f t="shared" si="133"/>
        <v>0</v>
      </c>
      <c r="T652"/>
      <c r="U652" s="6"/>
    </row>
    <row r="653" spans="2:22" s="5" customFormat="1" x14ac:dyDescent="0.3">
      <c r="B653" s="5" t="s">
        <v>16</v>
      </c>
      <c r="C653" s="5" t="s">
        <v>1280</v>
      </c>
      <c r="D653" s="5" t="s">
        <v>1260</v>
      </c>
      <c r="E653" s="5" t="s">
        <v>535</v>
      </c>
      <c r="F653" s="5" t="s">
        <v>1261</v>
      </c>
      <c r="G653" s="5" t="s">
        <v>1262</v>
      </c>
      <c r="H653" s="6">
        <f t="shared" si="137"/>
        <v>0</v>
      </c>
      <c r="I653" s="6">
        <f t="shared" si="126"/>
        <v>13446738</v>
      </c>
      <c r="J653" s="6">
        <v>2554880.2200000002</v>
      </c>
      <c r="K653" s="6">
        <v>0</v>
      </c>
      <c r="L653" s="6">
        <v>0</v>
      </c>
      <c r="M653" s="6">
        <f t="shared" ref="M653:M698" si="139">+H653+I653+K653</f>
        <v>13446738</v>
      </c>
      <c r="N653" s="6">
        <f t="shared" si="138"/>
        <v>2554880.2200000002</v>
      </c>
      <c r="O653" s="6">
        <f t="shared" si="127"/>
        <v>16001618.220000001</v>
      </c>
      <c r="P653" s="6">
        <v>16001618.220000001</v>
      </c>
      <c r="Q653" s="6"/>
      <c r="R653" s="6">
        <f t="shared" si="133"/>
        <v>0</v>
      </c>
      <c r="T653"/>
    </row>
    <row r="654" spans="2:22" s="5" customFormat="1" x14ac:dyDescent="0.3">
      <c r="B654" s="5" t="s">
        <v>16</v>
      </c>
      <c r="C654" s="5" t="s">
        <v>1281</v>
      </c>
      <c r="D654" s="5" t="s">
        <v>1260</v>
      </c>
      <c r="E654" s="5" t="s">
        <v>1282</v>
      </c>
      <c r="F654" s="5" t="s">
        <v>1261</v>
      </c>
      <c r="G654" s="5" t="s">
        <v>1262</v>
      </c>
      <c r="H654" s="6">
        <f t="shared" si="137"/>
        <v>0</v>
      </c>
      <c r="I654" s="6">
        <f t="shared" si="126"/>
        <v>1125246</v>
      </c>
      <c r="J654" s="6">
        <v>213796.74</v>
      </c>
      <c r="K654" s="6">
        <v>0</v>
      </c>
      <c r="L654" s="6">
        <v>0</v>
      </c>
      <c r="M654" s="6">
        <f t="shared" si="139"/>
        <v>1125246</v>
      </c>
      <c r="N654" s="6">
        <f t="shared" si="138"/>
        <v>213796.74</v>
      </c>
      <c r="O654" s="6">
        <f t="shared" si="127"/>
        <v>1339042.74</v>
      </c>
      <c r="P654" s="6">
        <v>1339042.74</v>
      </c>
      <c r="Q654" s="6"/>
      <c r="R654" s="6">
        <f t="shared" si="133"/>
        <v>0</v>
      </c>
      <c r="T654"/>
    </row>
    <row r="655" spans="2:22" s="5" customFormat="1" x14ac:dyDescent="0.3">
      <c r="B655" s="5" t="s">
        <v>16</v>
      </c>
      <c r="C655" s="5" t="s">
        <v>1283</v>
      </c>
      <c r="D655" s="5" t="s">
        <v>1260</v>
      </c>
      <c r="E655" s="5" t="s">
        <v>1284</v>
      </c>
      <c r="F655" s="5" t="s">
        <v>1261</v>
      </c>
      <c r="G655" s="5" t="s">
        <v>1262</v>
      </c>
      <c r="H655" s="6">
        <f t="shared" si="137"/>
        <v>1570424</v>
      </c>
      <c r="I655" s="6">
        <f t="shared" si="126"/>
        <v>0</v>
      </c>
      <c r="J655" s="6">
        <v>0</v>
      </c>
      <c r="K655" s="6">
        <v>0</v>
      </c>
      <c r="L655" s="6">
        <v>0</v>
      </c>
      <c r="M655" s="6">
        <f t="shared" si="139"/>
        <v>1570424</v>
      </c>
      <c r="N655" s="6">
        <f t="shared" si="138"/>
        <v>0</v>
      </c>
      <c r="O655" s="6">
        <f t="shared" si="127"/>
        <v>1570424</v>
      </c>
      <c r="P655" s="6">
        <v>1570424</v>
      </c>
      <c r="Q655" s="6"/>
      <c r="R655" s="6">
        <f t="shared" si="133"/>
        <v>0</v>
      </c>
      <c r="T655"/>
    </row>
    <row r="656" spans="2:22" s="5" customFormat="1" x14ac:dyDescent="0.3">
      <c r="B656" s="5" t="s">
        <v>16</v>
      </c>
      <c r="C656" s="5" t="s">
        <v>1285</v>
      </c>
      <c r="D656" s="5" t="s">
        <v>1260</v>
      </c>
      <c r="E656" s="5" t="s">
        <v>328</v>
      </c>
      <c r="F656" s="5" t="s">
        <v>1261</v>
      </c>
      <c r="G656" s="5" t="s">
        <v>1262</v>
      </c>
      <c r="H656" s="6">
        <f t="shared" si="137"/>
        <v>0</v>
      </c>
      <c r="I656" s="6">
        <f t="shared" si="126"/>
        <v>628704</v>
      </c>
      <c r="J656" s="6">
        <v>119453.75999999999</v>
      </c>
      <c r="K656" s="6">
        <v>0</v>
      </c>
      <c r="L656" s="6">
        <v>0</v>
      </c>
      <c r="M656" s="6">
        <f t="shared" si="139"/>
        <v>628704</v>
      </c>
      <c r="N656" s="6">
        <f t="shared" si="138"/>
        <v>119453.75999999999</v>
      </c>
      <c r="O656" s="6">
        <f t="shared" si="127"/>
        <v>748157.76</v>
      </c>
      <c r="P656" s="6">
        <v>748157.76</v>
      </c>
      <c r="Q656" s="6"/>
      <c r="R656" s="6">
        <f t="shared" si="133"/>
        <v>0</v>
      </c>
      <c r="T656"/>
      <c r="U656"/>
      <c r="V656"/>
    </row>
    <row r="657" spans="2:22" s="5" customFormat="1" x14ac:dyDescent="0.3">
      <c r="B657" s="5" t="s">
        <v>16</v>
      </c>
      <c r="C657" s="5" t="s">
        <v>1286</v>
      </c>
      <c r="D657" s="5" t="s">
        <v>1260</v>
      </c>
      <c r="E657" s="5" t="s">
        <v>1287</v>
      </c>
      <c r="F657" s="5" t="s">
        <v>1261</v>
      </c>
      <c r="G657" s="5" t="s">
        <v>1262</v>
      </c>
      <c r="H657" s="6">
        <f t="shared" si="137"/>
        <v>0</v>
      </c>
      <c r="I657" s="6">
        <f t="shared" si="126"/>
        <v>8055712</v>
      </c>
      <c r="J657" s="6">
        <v>1530585.28</v>
      </c>
      <c r="K657" s="6">
        <v>0</v>
      </c>
      <c r="L657" s="6">
        <v>0</v>
      </c>
      <c r="M657" s="6">
        <f t="shared" si="139"/>
        <v>8055712</v>
      </c>
      <c r="N657" s="6">
        <f t="shared" si="138"/>
        <v>1530585.28</v>
      </c>
      <c r="O657" s="6">
        <f t="shared" si="127"/>
        <v>9586297.2799999993</v>
      </c>
      <c r="P657" s="6">
        <v>9586297.2799999993</v>
      </c>
      <c r="Q657" s="6"/>
      <c r="R657" s="6">
        <f t="shared" si="133"/>
        <v>0</v>
      </c>
      <c r="T657"/>
      <c r="U657"/>
      <c r="V657"/>
    </row>
    <row r="658" spans="2:22" s="5" customFormat="1" x14ac:dyDescent="0.3">
      <c r="B658" s="5" t="s">
        <v>16</v>
      </c>
      <c r="C658" s="5" t="s">
        <v>1288</v>
      </c>
      <c r="D658" s="5" t="s">
        <v>1260</v>
      </c>
      <c r="E658" s="5" t="s">
        <v>675</v>
      </c>
      <c r="F658" s="5" t="s">
        <v>1261</v>
      </c>
      <c r="G658" s="5" t="s">
        <v>1262</v>
      </c>
      <c r="H658" s="6">
        <f t="shared" si="137"/>
        <v>0</v>
      </c>
      <c r="I658" s="6">
        <f t="shared" si="126"/>
        <v>325018</v>
      </c>
      <c r="J658" s="6">
        <v>61753.42</v>
      </c>
      <c r="K658" s="6">
        <v>0</v>
      </c>
      <c r="L658" s="6">
        <v>0</v>
      </c>
      <c r="M658" s="6">
        <f t="shared" si="139"/>
        <v>325018</v>
      </c>
      <c r="N658" s="6">
        <f t="shared" si="138"/>
        <v>61753.42</v>
      </c>
      <c r="O658" s="6">
        <f t="shared" si="127"/>
        <v>386771.42</v>
      </c>
      <c r="P658" s="6">
        <v>386771.42</v>
      </c>
      <c r="Q658" s="6">
        <v>0</v>
      </c>
      <c r="R658" s="6">
        <f t="shared" si="133"/>
        <v>0</v>
      </c>
      <c r="T658"/>
    </row>
    <row r="659" spans="2:22" s="5" customFormat="1" x14ac:dyDescent="0.3">
      <c r="B659" s="5" t="s">
        <v>16</v>
      </c>
      <c r="C659" s="5" t="s">
        <v>1289</v>
      </c>
      <c r="D659" s="5" t="s">
        <v>1260</v>
      </c>
      <c r="E659" s="5" t="s">
        <v>456</v>
      </c>
      <c r="F659" s="5" t="s">
        <v>1261</v>
      </c>
      <c r="G659" s="5" t="s">
        <v>1262</v>
      </c>
      <c r="H659" s="6">
        <f t="shared" si="137"/>
        <v>0</v>
      </c>
      <c r="I659" s="6">
        <f t="shared" si="126"/>
        <v>2147097</v>
      </c>
      <c r="J659" s="6">
        <v>407948.43</v>
      </c>
      <c r="K659" s="6">
        <v>0</v>
      </c>
      <c r="L659" s="6">
        <v>0</v>
      </c>
      <c r="M659" s="6">
        <f t="shared" si="139"/>
        <v>2147097</v>
      </c>
      <c r="N659" s="6">
        <f t="shared" si="138"/>
        <v>407948.43</v>
      </c>
      <c r="O659" s="6">
        <f t="shared" si="127"/>
        <v>2555045.4300000002</v>
      </c>
      <c r="P659" s="6">
        <v>2555045.4300000002</v>
      </c>
      <c r="Q659" s="6">
        <v>0</v>
      </c>
      <c r="R659" s="6">
        <f t="shared" si="133"/>
        <v>0</v>
      </c>
      <c r="T659"/>
    </row>
    <row r="660" spans="2:22" s="5" customFormat="1" x14ac:dyDescent="0.3">
      <c r="B660" s="5" t="s">
        <v>16</v>
      </c>
      <c r="C660" s="5" t="s">
        <v>1290</v>
      </c>
      <c r="D660" s="5" t="s">
        <v>1260</v>
      </c>
      <c r="E660" s="5" t="s">
        <v>537</v>
      </c>
      <c r="F660" s="5" t="s">
        <v>1261</v>
      </c>
      <c r="G660" s="5" t="s">
        <v>1262</v>
      </c>
      <c r="H660" s="6">
        <f t="shared" si="137"/>
        <v>-2.315789507701993E-2</v>
      </c>
      <c r="I660" s="6">
        <f t="shared" si="126"/>
        <v>16364406.263157895</v>
      </c>
      <c r="J660" s="6">
        <v>3109237.19</v>
      </c>
      <c r="K660" s="6">
        <v>0</v>
      </c>
      <c r="L660" s="6">
        <v>0</v>
      </c>
      <c r="M660" s="6">
        <f t="shared" si="139"/>
        <v>16364406.24</v>
      </c>
      <c r="N660" s="6">
        <f t="shared" si="138"/>
        <v>3109237.19</v>
      </c>
      <c r="O660" s="6">
        <f t="shared" si="127"/>
        <v>19473643.43</v>
      </c>
      <c r="P660" s="6">
        <v>19473643.43</v>
      </c>
      <c r="Q660" s="6">
        <v>0</v>
      </c>
      <c r="R660" s="6">
        <f t="shared" si="133"/>
        <v>0</v>
      </c>
      <c r="T660"/>
    </row>
    <row r="661" spans="2:22" s="5" customFormat="1" x14ac:dyDescent="0.3">
      <c r="B661" s="5" t="s">
        <v>16</v>
      </c>
      <c r="C661" s="5" t="s">
        <v>1291</v>
      </c>
      <c r="D661" s="5" t="s">
        <v>1260</v>
      </c>
      <c r="E661" s="5" t="s">
        <v>1108</v>
      </c>
      <c r="F661" s="5" t="s">
        <v>1261</v>
      </c>
      <c r="G661" s="5" t="s">
        <v>1262</v>
      </c>
      <c r="H661" s="6">
        <f t="shared" si="137"/>
        <v>0</v>
      </c>
      <c r="I661" s="6">
        <f t="shared" si="126"/>
        <v>12707993</v>
      </c>
      <c r="J661" s="6">
        <v>2414518.67</v>
      </c>
      <c r="K661" s="6">
        <v>0</v>
      </c>
      <c r="L661" s="6">
        <v>0</v>
      </c>
      <c r="M661" s="6">
        <f t="shared" si="139"/>
        <v>12707993</v>
      </c>
      <c r="N661" s="6">
        <f>J661+L661</f>
        <v>2414518.67</v>
      </c>
      <c r="O661" s="6">
        <f t="shared" si="127"/>
        <v>15122511.67</v>
      </c>
      <c r="P661" s="6">
        <v>15122511.67</v>
      </c>
      <c r="Q661" s="6">
        <v>0</v>
      </c>
      <c r="R661" s="6">
        <f t="shared" si="133"/>
        <v>0</v>
      </c>
      <c r="T661"/>
      <c r="V661"/>
    </row>
    <row r="662" spans="2:22" s="5" customFormat="1" x14ac:dyDescent="0.3">
      <c r="B662" s="5" t="s">
        <v>16</v>
      </c>
      <c r="C662" s="5" t="s">
        <v>1292</v>
      </c>
      <c r="D662" s="5" t="s">
        <v>1260</v>
      </c>
      <c r="E662" s="5" t="s">
        <v>845</v>
      </c>
      <c r="F662" s="5" t="s">
        <v>1261</v>
      </c>
      <c r="G662" s="5" t="s">
        <v>1262</v>
      </c>
      <c r="H662" s="6">
        <f t="shared" si="137"/>
        <v>493840.00000000006</v>
      </c>
      <c r="I662" s="6">
        <f t="shared" si="126"/>
        <v>219923.99999999997</v>
      </c>
      <c r="J662" s="6">
        <v>41785.56</v>
      </c>
      <c r="K662" s="6">
        <v>0</v>
      </c>
      <c r="L662" s="6">
        <v>0</v>
      </c>
      <c r="M662" s="6">
        <f t="shared" si="139"/>
        <v>713764</v>
      </c>
      <c r="N662" s="6">
        <f>J662+L662</f>
        <v>41785.56</v>
      </c>
      <c r="O662" s="6">
        <f t="shared" si="127"/>
        <v>755549.56</v>
      </c>
      <c r="P662" s="6">
        <v>755549.56</v>
      </c>
      <c r="Q662" s="6">
        <v>0</v>
      </c>
      <c r="R662" s="6">
        <f t="shared" si="133"/>
        <v>0</v>
      </c>
      <c r="T662"/>
      <c r="U662"/>
      <c r="V662"/>
    </row>
    <row r="663" spans="2:22" s="5" customFormat="1" x14ac:dyDescent="0.3">
      <c r="B663" s="5" t="s">
        <v>16</v>
      </c>
      <c r="C663" s="5" t="s">
        <v>1293</v>
      </c>
      <c r="D663" s="5" t="s">
        <v>1260</v>
      </c>
      <c r="E663" s="5" t="s">
        <v>677</v>
      </c>
      <c r="F663" s="5" t="s">
        <v>1261</v>
      </c>
      <c r="G663" s="5" t="s">
        <v>1262</v>
      </c>
      <c r="H663" s="6">
        <f t="shared" si="137"/>
        <v>0</v>
      </c>
      <c r="I663" s="6">
        <f t="shared" si="126"/>
        <v>10703920</v>
      </c>
      <c r="J663" s="6">
        <v>2033744.8</v>
      </c>
      <c r="K663" s="6">
        <v>0</v>
      </c>
      <c r="L663" s="6">
        <v>0</v>
      </c>
      <c r="M663" s="6">
        <f t="shared" si="139"/>
        <v>10703920</v>
      </c>
      <c r="N663" s="6">
        <f t="shared" ref="N663:N698" si="140">+J663+L663</f>
        <v>2033744.8</v>
      </c>
      <c r="O663" s="6">
        <f t="shared" si="127"/>
        <v>12737664.800000001</v>
      </c>
      <c r="P663" s="6">
        <v>12737664.800000001</v>
      </c>
      <c r="Q663" s="6">
        <v>0</v>
      </c>
      <c r="R663" s="6">
        <f t="shared" si="133"/>
        <v>0</v>
      </c>
      <c r="T663"/>
      <c r="V663"/>
    </row>
    <row r="664" spans="2:22" s="5" customFormat="1" x14ac:dyDescent="0.3">
      <c r="B664" s="5" t="s">
        <v>16</v>
      </c>
      <c r="C664" s="5" t="s">
        <v>1294</v>
      </c>
      <c r="D664" s="5" t="s">
        <v>1260</v>
      </c>
      <c r="E664" s="5" t="s">
        <v>636</v>
      </c>
      <c r="F664" s="5" t="s">
        <v>1261</v>
      </c>
      <c r="G664" s="5" t="s">
        <v>1262</v>
      </c>
      <c r="H664" s="6">
        <f t="shared" si="137"/>
        <v>0</v>
      </c>
      <c r="I664" s="6">
        <f t="shared" si="126"/>
        <v>19635674</v>
      </c>
      <c r="J664" s="6">
        <v>3730778.06</v>
      </c>
      <c r="K664" s="6">
        <v>0</v>
      </c>
      <c r="L664" s="6">
        <v>0</v>
      </c>
      <c r="M664" s="6">
        <f t="shared" si="139"/>
        <v>19635674</v>
      </c>
      <c r="N664" s="6">
        <f t="shared" si="140"/>
        <v>3730778.06</v>
      </c>
      <c r="O664" s="6">
        <f t="shared" si="127"/>
        <v>23366452.059999999</v>
      </c>
      <c r="P664" s="6">
        <v>23366452.059999999</v>
      </c>
      <c r="Q664" s="6">
        <v>0</v>
      </c>
      <c r="R664" s="6">
        <f t="shared" si="133"/>
        <v>0</v>
      </c>
      <c r="T664"/>
    </row>
    <row r="665" spans="2:22" s="5" customFormat="1" x14ac:dyDescent="0.3">
      <c r="B665" s="5" t="s">
        <v>16</v>
      </c>
      <c r="C665" s="5" t="s">
        <v>1295</v>
      </c>
      <c r="D665" s="5" t="s">
        <v>1260</v>
      </c>
      <c r="E665" s="5" t="s">
        <v>581</v>
      </c>
      <c r="F665" s="5" t="s">
        <v>1261</v>
      </c>
      <c r="G665" s="5" t="s">
        <v>1262</v>
      </c>
      <c r="H665" s="6">
        <f t="shared" si="137"/>
        <v>933696.00000000023</v>
      </c>
      <c r="I665" s="6">
        <f t="shared" si="126"/>
        <v>1257772</v>
      </c>
      <c r="J665" s="6">
        <v>238976.68</v>
      </c>
      <c r="K665" s="6">
        <v>0</v>
      </c>
      <c r="L665" s="6">
        <v>0</v>
      </c>
      <c r="M665" s="6">
        <f t="shared" si="139"/>
        <v>2191468</v>
      </c>
      <c r="N665" s="6">
        <f t="shared" si="140"/>
        <v>238976.68</v>
      </c>
      <c r="O665" s="6">
        <f t="shared" si="127"/>
        <v>2430444.6800000002</v>
      </c>
      <c r="P665" s="6">
        <v>2430444.6800000002</v>
      </c>
      <c r="Q665" s="6">
        <v>0</v>
      </c>
      <c r="R665" s="6">
        <f t="shared" si="133"/>
        <v>0</v>
      </c>
      <c r="T665"/>
    </row>
    <row r="666" spans="2:22" s="5" customFormat="1" x14ac:dyDescent="0.3">
      <c r="B666" s="5" t="s">
        <v>16</v>
      </c>
      <c r="C666" s="5" t="s">
        <v>1296</v>
      </c>
      <c r="D666" s="5" t="s">
        <v>1260</v>
      </c>
      <c r="E666" s="5" t="s">
        <v>636</v>
      </c>
      <c r="F666" s="5" t="s">
        <v>1261</v>
      </c>
      <c r="G666" s="5" t="s">
        <v>1262</v>
      </c>
      <c r="H666" s="6">
        <f t="shared" si="137"/>
        <v>0</v>
      </c>
      <c r="I666" s="6">
        <f t="shared" si="126"/>
        <v>120150</v>
      </c>
      <c r="J666" s="6">
        <v>22828.5</v>
      </c>
      <c r="K666" s="6">
        <v>0</v>
      </c>
      <c r="L666" s="6">
        <v>0</v>
      </c>
      <c r="M666" s="6">
        <f t="shared" si="139"/>
        <v>120150</v>
      </c>
      <c r="N666" s="6">
        <f t="shared" si="140"/>
        <v>22828.5</v>
      </c>
      <c r="O666" s="6">
        <f t="shared" si="127"/>
        <v>142978.5</v>
      </c>
      <c r="P666" s="6">
        <v>142978.5</v>
      </c>
      <c r="Q666" s="6">
        <v>0</v>
      </c>
      <c r="R666" s="6">
        <f t="shared" si="133"/>
        <v>0</v>
      </c>
      <c r="T666"/>
    </row>
    <row r="667" spans="2:22" s="5" customFormat="1" x14ac:dyDescent="0.3">
      <c r="B667" s="5" t="s">
        <v>16</v>
      </c>
      <c r="C667" s="5" t="s">
        <v>1297</v>
      </c>
      <c r="D667" s="5" t="s">
        <v>1260</v>
      </c>
      <c r="E667" s="5" t="s">
        <v>117</v>
      </c>
      <c r="F667" s="5" t="s">
        <v>1261</v>
      </c>
      <c r="G667" s="5" t="s">
        <v>1262</v>
      </c>
      <c r="H667" s="6">
        <f t="shared" si="137"/>
        <v>0</v>
      </c>
      <c r="I667" s="6">
        <f t="shared" si="126"/>
        <v>3036587.9999999995</v>
      </c>
      <c r="J667" s="6">
        <v>576951.72</v>
      </c>
      <c r="K667" s="6">
        <v>0</v>
      </c>
      <c r="L667" s="6">
        <v>0</v>
      </c>
      <c r="M667" s="6">
        <f t="shared" si="139"/>
        <v>3036587.9999999995</v>
      </c>
      <c r="N667" s="6">
        <f t="shared" si="140"/>
        <v>576951.72</v>
      </c>
      <c r="O667" s="6">
        <f t="shared" si="127"/>
        <v>3613539.7199999997</v>
      </c>
      <c r="P667" s="6">
        <v>3613539.72</v>
      </c>
      <c r="Q667" s="6">
        <v>0</v>
      </c>
      <c r="R667" s="6">
        <f t="shared" si="133"/>
        <v>0</v>
      </c>
      <c r="T667"/>
      <c r="U667"/>
      <c r="V667"/>
    </row>
    <row r="668" spans="2:22" s="5" customFormat="1" x14ac:dyDescent="0.3">
      <c r="B668" s="5" t="s">
        <v>16</v>
      </c>
      <c r="C668" s="5" t="s">
        <v>1298</v>
      </c>
      <c r="D668" s="5" t="s">
        <v>1260</v>
      </c>
      <c r="E668" s="5" t="s">
        <v>1014</v>
      </c>
      <c r="F668" s="5" t="s">
        <v>1261</v>
      </c>
      <c r="G668" s="5" t="s">
        <v>1262</v>
      </c>
      <c r="H668" s="6">
        <f t="shared" si="137"/>
        <v>0</v>
      </c>
      <c r="I668" s="6">
        <f t="shared" si="126"/>
        <v>2122176</v>
      </c>
      <c r="J668" s="6">
        <v>403213.44</v>
      </c>
      <c r="K668" s="6">
        <v>0</v>
      </c>
      <c r="L668" s="6">
        <v>0</v>
      </c>
      <c r="M668" s="6">
        <f t="shared" si="139"/>
        <v>2122176</v>
      </c>
      <c r="N668" s="6">
        <f t="shared" si="140"/>
        <v>403213.44</v>
      </c>
      <c r="O668" s="6">
        <f t="shared" si="127"/>
        <v>2525389.44</v>
      </c>
      <c r="P668" s="6">
        <v>2525389.44</v>
      </c>
      <c r="Q668" s="6">
        <v>0</v>
      </c>
      <c r="R668" s="6">
        <f t="shared" si="133"/>
        <v>0</v>
      </c>
      <c r="T668"/>
      <c r="U668"/>
      <c r="V668"/>
    </row>
    <row r="669" spans="2:22" s="5" customFormat="1" x14ac:dyDescent="0.3">
      <c r="B669" s="5" t="s">
        <v>16</v>
      </c>
      <c r="C669" s="5" t="s">
        <v>1299</v>
      </c>
      <c r="D669" s="5" t="s">
        <v>1260</v>
      </c>
      <c r="E669" s="5" t="s">
        <v>1014</v>
      </c>
      <c r="F669" s="5" t="s">
        <v>1261</v>
      </c>
      <c r="G669" s="5" t="s">
        <v>1262</v>
      </c>
      <c r="H669" s="6">
        <f t="shared" si="137"/>
        <v>0</v>
      </c>
      <c r="I669" s="6">
        <f t="shared" si="126"/>
        <v>363093</v>
      </c>
      <c r="J669" s="6">
        <v>68987.67</v>
      </c>
      <c r="K669" s="6">
        <v>0</v>
      </c>
      <c r="L669" s="6">
        <v>0</v>
      </c>
      <c r="M669" s="6">
        <f t="shared" si="139"/>
        <v>363093</v>
      </c>
      <c r="N669" s="6">
        <f t="shared" si="140"/>
        <v>68987.67</v>
      </c>
      <c r="O669" s="6">
        <f t="shared" si="127"/>
        <v>432080.67</v>
      </c>
      <c r="P669" s="6">
        <v>432080.67</v>
      </c>
      <c r="Q669" s="6">
        <v>0</v>
      </c>
      <c r="R669" s="6">
        <f t="shared" si="133"/>
        <v>0</v>
      </c>
      <c r="T669"/>
      <c r="U669"/>
      <c r="V669"/>
    </row>
    <row r="670" spans="2:22" s="5" customFormat="1" x14ac:dyDescent="0.3">
      <c r="B670" s="5" t="s">
        <v>16</v>
      </c>
      <c r="C670" s="5" t="s">
        <v>1300</v>
      </c>
      <c r="D670" s="5" t="s">
        <v>1260</v>
      </c>
      <c r="E670" s="5" t="s">
        <v>1068</v>
      </c>
      <c r="F670" s="5" t="s">
        <v>1261</v>
      </c>
      <c r="G670" s="5" t="s">
        <v>1262</v>
      </c>
      <c r="H670" s="6">
        <f t="shared" si="137"/>
        <v>-1.4551915228366852E-11</v>
      </c>
      <c r="I670" s="6">
        <f t="shared" ref="I670:I733" si="141">+J670/19*100</f>
        <v>63866.000000000007</v>
      </c>
      <c r="J670" s="6">
        <v>12134.54</v>
      </c>
      <c r="K670" s="6">
        <v>0</v>
      </c>
      <c r="L670" s="6">
        <v>0</v>
      </c>
      <c r="M670" s="6">
        <f t="shared" si="139"/>
        <v>63865.999999999993</v>
      </c>
      <c r="N670" s="6">
        <f t="shared" si="140"/>
        <v>12134.54</v>
      </c>
      <c r="O670" s="6">
        <f t="shared" ref="O670:O733" si="142">+M670+N670</f>
        <v>76000.539999999994</v>
      </c>
      <c r="P670" s="6">
        <v>76000.539999999994</v>
      </c>
      <c r="Q670" s="6">
        <v>0</v>
      </c>
      <c r="R670" s="6">
        <f t="shared" si="133"/>
        <v>0</v>
      </c>
      <c r="T670"/>
      <c r="U670"/>
      <c r="V670"/>
    </row>
    <row r="671" spans="2:22" s="5" customFormat="1" x14ac:dyDescent="0.3">
      <c r="B671" s="5" t="s">
        <v>16</v>
      </c>
      <c r="C671" s="5" t="s">
        <v>1301</v>
      </c>
      <c r="D671" s="5" t="s">
        <v>1260</v>
      </c>
      <c r="E671" s="5" t="s">
        <v>1068</v>
      </c>
      <c r="F671" s="5" t="s">
        <v>1261</v>
      </c>
      <c r="G671" s="5" t="s">
        <v>1262</v>
      </c>
      <c r="H671" s="6">
        <f t="shared" si="137"/>
        <v>0</v>
      </c>
      <c r="I671" s="6">
        <f t="shared" si="141"/>
        <v>1512576</v>
      </c>
      <c r="J671" s="6">
        <v>287389.44</v>
      </c>
      <c r="K671" s="6">
        <v>0</v>
      </c>
      <c r="L671" s="6">
        <v>0</v>
      </c>
      <c r="M671" s="6">
        <f t="shared" si="139"/>
        <v>1512576</v>
      </c>
      <c r="N671" s="6">
        <f t="shared" si="140"/>
        <v>287389.44</v>
      </c>
      <c r="O671" s="6">
        <f t="shared" si="142"/>
        <v>1799965.44</v>
      </c>
      <c r="P671" s="6">
        <v>1799965.44</v>
      </c>
      <c r="Q671" s="6">
        <v>0</v>
      </c>
      <c r="R671" s="6">
        <f t="shared" si="133"/>
        <v>0</v>
      </c>
      <c r="T671"/>
      <c r="U671"/>
      <c r="V671"/>
    </row>
    <row r="672" spans="2:22" s="5" customFormat="1" x14ac:dyDescent="0.3">
      <c r="B672" s="5" t="s">
        <v>16</v>
      </c>
      <c r="C672" s="5" t="s">
        <v>1302</v>
      </c>
      <c r="D672" s="5" t="s">
        <v>1260</v>
      </c>
      <c r="E672" s="5" t="s">
        <v>397</v>
      </c>
      <c r="F672" s="5" t="s">
        <v>1261</v>
      </c>
      <c r="G672" s="5" t="s">
        <v>1262</v>
      </c>
      <c r="H672" s="6">
        <f t="shared" si="137"/>
        <v>0</v>
      </c>
      <c r="I672" s="6">
        <f t="shared" si="141"/>
        <v>14133024</v>
      </c>
      <c r="J672" s="6">
        <v>2685274.56</v>
      </c>
      <c r="K672" s="6">
        <v>0</v>
      </c>
      <c r="L672" s="6">
        <v>0</v>
      </c>
      <c r="M672" s="6">
        <f t="shared" si="139"/>
        <v>14133024</v>
      </c>
      <c r="N672" s="6">
        <f t="shared" si="140"/>
        <v>2685274.56</v>
      </c>
      <c r="O672" s="6">
        <f t="shared" si="142"/>
        <v>16818298.559999999</v>
      </c>
      <c r="P672" s="6">
        <v>16818298.559999999</v>
      </c>
      <c r="Q672" s="6">
        <v>0</v>
      </c>
      <c r="R672" s="6">
        <f t="shared" si="133"/>
        <v>0</v>
      </c>
      <c r="T672"/>
      <c r="U672"/>
      <c r="V672"/>
    </row>
    <row r="673" spans="2:22" s="5" customFormat="1" x14ac:dyDescent="0.3">
      <c r="B673" s="5" t="s">
        <v>16</v>
      </c>
      <c r="C673" s="5" t="s">
        <v>1303</v>
      </c>
      <c r="D673" s="5" t="s">
        <v>1260</v>
      </c>
      <c r="E673" s="5" t="s">
        <v>1304</v>
      </c>
      <c r="F673" s="5" t="s">
        <v>1261</v>
      </c>
      <c r="G673" s="5" t="s">
        <v>1262</v>
      </c>
      <c r="H673" s="6">
        <f t="shared" si="137"/>
        <v>511632.00000000023</v>
      </c>
      <c r="I673" s="6">
        <f t="shared" si="141"/>
        <v>1364338</v>
      </c>
      <c r="J673" s="6">
        <v>259224.22</v>
      </c>
      <c r="K673" s="6">
        <v>0</v>
      </c>
      <c r="L673" s="6">
        <v>0</v>
      </c>
      <c r="M673" s="6">
        <f t="shared" si="139"/>
        <v>1875970.0000000002</v>
      </c>
      <c r="N673" s="6">
        <f t="shared" si="140"/>
        <v>259224.22</v>
      </c>
      <c r="O673" s="6">
        <f t="shared" si="142"/>
        <v>2135194.2200000002</v>
      </c>
      <c r="P673" s="6">
        <v>2135194.2200000002</v>
      </c>
      <c r="Q673" s="6">
        <v>0</v>
      </c>
      <c r="R673" s="6">
        <f t="shared" si="133"/>
        <v>0</v>
      </c>
      <c r="T673"/>
      <c r="U673"/>
      <c r="V673"/>
    </row>
    <row r="674" spans="2:22" s="5" customFormat="1" x14ac:dyDescent="0.3">
      <c r="B674" s="5" t="s">
        <v>16</v>
      </c>
      <c r="C674" s="5" t="s">
        <v>1305</v>
      </c>
      <c r="D674" s="5" t="s">
        <v>1260</v>
      </c>
      <c r="E674" s="5" t="s">
        <v>216</v>
      </c>
      <c r="F674" s="5" t="s">
        <v>1261</v>
      </c>
      <c r="G674" s="5" t="s">
        <v>1262</v>
      </c>
      <c r="H674" s="6">
        <f t="shared" si="137"/>
        <v>462000</v>
      </c>
      <c r="I674" s="6">
        <f t="shared" si="141"/>
        <v>0</v>
      </c>
      <c r="J674" s="6">
        <v>0</v>
      </c>
      <c r="K674" s="6">
        <v>0</v>
      </c>
      <c r="L674" s="6">
        <v>0</v>
      </c>
      <c r="M674" s="6">
        <f t="shared" si="139"/>
        <v>462000</v>
      </c>
      <c r="N674" s="6">
        <f t="shared" si="140"/>
        <v>0</v>
      </c>
      <c r="O674" s="6">
        <f t="shared" si="142"/>
        <v>462000</v>
      </c>
      <c r="P674" s="6">
        <v>462000</v>
      </c>
      <c r="Q674" s="6">
        <v>0</v>
      </c>
      <c r="R674" s="6">
        <f t="shared" si="133"/>
        <v>0</v>
      </c>
      <c r="T674"/>
      <c r="U674"/>
      <c r="V674"/>
    </row>
    <row r="675" spans="2:22" s="5" customFormat="1" x14ac:dyDescent="0.3">
      <c r="B675" s="5" t="s">
        <v>16</v>
      </c>
      <c r="C675" s="5" t="s">
        <v>1306</v>
      </c>
      <c r="D675" s="5" t="s">
        <v>1260</v>
      </c>
      <c r="E675" s="5" t="s">
        <v>404</v>
      </c>
      <c r="F675" s="5" t="s">
        <v>1261</v>
      </c>
      <c r="G675" s="5" t="s">
        <v>1262</v>
      </c>
      <c r="H675" s="6">
        <f t="shared" si="137"/>
        <v>1002840.0000000001</v>
      </c>
      <c r="I675" s="6">
        <f t="shared" si="141"/>
        <v>77840</v>
      </c>
      <c r="J675" s="6">
        <v>14789.6</v>
      </c>
      <c r="K675" s="6">
        <v>0</v>
      </c>
      <c r="L675" s="6">
        <v>0</v>
      </c>
      <c r="M675" s="6">
        <f t="shared" si="139"/>
        <v>1080680</v>
      </c>
      <c r="N675" s="6">
        <f t="shared" si="140"/>
        <v>14789.6</v>
      </c>
      <c r="O675" s="6">
        <f t="shared" si="142"/>
        <v>1095469.6000000001</v>
      </c>
      <c r="P675" s="6">
        <v>1095469.6000000001</v>
      </c>
      <c r="Q675" s="6">
        <v>0</v>
      </c>
      <c r="R675" s="6">
        <f t="shared" si="133"/>
        <v>0</v>
      </c>
      <c r="T675"/>
    </row>
    <row r="676" spans="2:22" s="5" customFormat="1" x14ac:dyDescent="0.3">
      <c r="B676" s="5" t="s">
        <v>16</v>
      </c>
      <c r="C676" s="5" t="s">
        <v>1307</v>
      </c>
      <c r="D676" s="5" t="s">
        <v>1260</v>
      </c>
      <c r="E676" s="5" t="s">
        <v>758</v>
      </c>
      <c r="F676" s="5" t="s">
        <v>1261</v>
      </c>
      <c r="G676" s="5" t="s">
        <v>1262</v>
      </c>
      <c r="H676" s="6">
        <f t="shared" si="137"/>
        <v>876068</v>
      </c>
      <c r="I676" s="6">
        <f t="shared" si="141"/>
        <v>1925125</v>
      </c>
      <c r="J676" s="6">
        <v>365773.75</v>
      </c>
      <c r="K676" s="6">
        <v>0</v>
      </c>
      <c r="L676" s="6">
        <v>0</v>
      </c>
      <c r="M676" s="6">
        <f t="shared" si="139"/>
        <v>2801193</v>
      </c>
      <c r="N676" s="6">
        <f t="shared" si="140"/>
        <v>365773.75</v>
      </c>
      <c r="O676" s="6">
        <f t="shared" si="142"/>
        <v>3166966.75</v>
      </c>
      <c r="P676" s="6">
        <v>3166966.75</v>
      </c>
      <c r="Q676" s="6">
        <v>0</v>
      </c>
      <c r="R676" s="6">
        <f t="shared" si="133"/>
        <v>0</v>
      </c>
      <c r="T676"/>
    </row>
    <row r="677" spans="2:22" s="7" customFormat="1" x14ac:dyDescent="0.3">
      <c r="B677" s="5" t="s">
        <v>16</v>
      </c>
      <c r="C677" s="5" t="s">
        <v>1308</v>
      </c>
      <c r="D677" s="5" t="s">
        <v>1260</v>
      </c>
      <c r="E677" s="5" t="s">
        <v>758</v>
      </c>
      <c r="F677" s="5" t="s">
        <v>1261</v>
      </c>
      <c r="G677" s="5" t="s">
        <v>1262</v>
      </c>
      <c r="H677" s="6">
        <f t="shared" si="137"/>
        <v>0</v>
      </c>
      <c r="I677" s="6">
        <f t="shared" si="141"/>
        <v>756368</v>
      </c>
      <c r="J677" s="6">
        <v>143709.92000000001</v>
      </c>
      <c r="K677" s="6">
        <v>0</v>
      </c>
      <c r="L677" s="6">
        <v>0</v>
      </c>
      <c r="M677" s="6">
        <f t="shared" si="139"/>
        <v>756368</v>
      </c>
      <c r="N677" s="6">
        <f t="shared" si="140"/>
        <v>143709.92000000001</v>
      </c>
      <c r="O677" s="6">
        <f t="shared" si="142"/>
        <v>900077.92</v>
      </c>
      <c r="P677" s="6">
        <v>900077.92</v>
      </c>
      <c r="Q677" s="6">
        <v>0</v>
      </c>
      <c r="R677" s="6">
        <f t="shared" si="133"/>
        <v>0</v>
      </c>
      <c r="S677" s="5"/>
      <c r="T677"/>
      <c r="U677" s="5"/>
      <c r="V677" s="5"/>
    </row>
    <row r="678" spans="2:22" x14ac:dyDescent="0.3">
      <c r="B678" s="5" t="s">
        <v>16</v>
      </c>
      <c r="C678" s="5" t="s">
        <v>1309</v>
      </c>
      <c r="D678" s="5" t="s">
        <v>1260</v>
      </c>
      <c r="E678" s="5" t="s">
        <v>758</v>
      </c>
      <c r="F678" s="5" t="s">
        <v>1261</v>
      </c>
      <c r="G678" s="5" t="s">
        <v>1262</v>
      </c>
      <c r="H678" s="6">
        <f t="shared" si="137"/>
        <v>0</v>
      </c>
      <c r="I678" s="6">
        <f t="shared" si="141"/>
        <v>11806868.999999998</v>
      </c>
      <c r="J678" s="6">
        <v>2243305.11</v>
      </c>
      <c r="K678" s="6">
        <v>0</v>
      </c>
      <c r="L678" s="6">
        <v>0</v>
      </c>
      <c r="M678" s="6">
        <f t="shared" si="139"/>
        <v>11806868.999999998</v>
      </c>
      <c r="N678" s="6">
        <f t="shared" si="140"/>
        <v>2243305.11</v>
      </c>
      <c r="O678" s="6">
        <f t="shared" si="142"/>
        <v>14050174.109999998</v>
      </c>
      <c r="P678" s="6">
        <v>14050174.109999999</v>
      </c>
      <c r="Q678" s="6">
        <v>0</v>
      </c>
      <c r="R678" s="6">
        <f t="shared" si="133"/>
        <v>0</v>
      </c>
      <c r="S678" s="5"/>
      <c r="U678" s="5"/>
      <c r="V678" s="5"/>
    </row>
    <row r="679" spans="2:22" x14ac:dyDescent="0.3">
      <c r="B679" s="5" t="s">
        <v>16</v>
      </c>
      <c r="C679" s="5" t="s">
        <v>1310</v>
      </c>
      <c r="D679" s="5" t="s">
        <v>1260</v>
      </c>
      <c r="E679" s="5" t="s">
        <v>30</v>
      </c>
      <c r="F679" s="5" t="s">
        <v>1261</v>
      </c>
      <c r="G679" s="5" t="s">
        <v>1262</v>
      </c>
      <c r="H679" s="6">
        <f t="shared" si="137"/>
        <v>0</v>
      </c>
      <c r="I679" s="6">
        <f t="shared" si="141"/>
        <v>768108.99999999988</v>
      </c>
      <c r="J679" s="6">
        <v>145940.71</v>
      </c>
      <c r="K679" s="6">
        <v>0</v>
      </c>
      <c r="L679" s="6">
        <v>0</v>
      </c>
      <c r="M679" s="6">
        <f t="shared" si="139"/>
        <v>768108.99999999988</v>
      </c>
      <c r="N679" s="6">
        <f t="shared" si="140"/>
        <v>145940.71</v>
      </c>
      <c r="O679" s="6">
        <f t="shared" si="142"/>
        <v>914049.70999999985</v>
      </c>
      <c r="P679" s="6">
        <v>914049.71</v>
      </c>
      <c r="Q679" s="6">
        <v>0</v>
      </c>
      <c r="R679" s="6">
        <f t="shared" si="133"/>
        <v>0</v>
      </c>
      <c r="U679" s="5"/>
      <c r="V679" s="5"/>
    </row>
    <row r="680" spans="2:22" s="5" customFormat="1" x14ac:dyDescent="0.3">
      <c r="B680" s="5" t="s">
        <v>16</v>
      </c>
      <c r="C680" s="5" t="s">
        <v>1311</v>
      </c>
      <c r="D680" s="5" t="s">
        <v>1260</v>
      </c>
      <c r="E680" s="5" t="s">
        <v>724</v>
      </c>
      <c r="F680" s="5" t="s">
        <v>1261</v>
      </c>
      <c r="G680" s="5" t="s">
        <v>1262</v>
      </c>
      <c r="H680" s="6">
        <f t="shared" si="137"/>
        <v>0</v>
      </c>
      <c r="I680" s="6">
        <f t="shared" si="141"/>
        <v>7866000</v>
      </c>
      <c r="J680" s="6">
        <v>1494540</v>
      </c>
      <c r="K680" s="6">
        <v>0</v>
      </c>
      <c r="L680" s="6">
        <v>0</v>
      </c>
      <c r="M680" s="6">
        <f t="shared" si="139"/>
        <v>7866000</v>
      </c>
      <c r="N680" s="6">
        <f t="shared" si="140"/>
        <v>1494540</v>
      </c>
      <c r="O680" s="6">
        <f t="shared" si="142"/>
        <v>9360540</v>
      </c>
      <c r="P680" s="6">
        <v>9360540</v>
      </c>
      <c r="Q680" s="6">
        <v>0</v>
      </c>
      <c r="R680" s="6">
        <f t="shared" si="133"/>
        <v>0</v>
      </c>
      <c r="T680"/>
      <c r="U680"/>
      <c r="V680"/>
    </row>
    <row r="681" spans="2:22" s="5" customFormat="1" x14ac:dyDescent="0.3">
      <c r="B681" s="5" t="s">
        <v>16</v>
      </c>
      <c r="C681" s="5" t="s">
        <v>1312</v>
      </c>
      <c r="D681" s="5" t="s">
        <v>1260</v>
      </c>
      <c r="E681" s="5" t="s">
        <v>544</v>
      </c>
      <c r="F681" s="5" t="s">
        <v>1261</v>
      </c>
      <c r="G681" s="5" t="s">
        <v>1262</v>
      </c>
      <c r="H681" s="6">
        <f t="shared" si="137"/>
        <v>0</v>
      </c>
      <c r="I681" s="6">
        <f t="shared" si="141"/>
        <v>11077068</v>
      </c>
      <c r="J681" s="6">
        <v>2104642.92</v>
      </c>
      <c r="K681" s="6">
        <v>0</v>
      </c>
      <c r="L681" s="6">
        <v>0</v>
      </c>
      <c r="M681" s="6">
        <f t="shared" si="139"/>
        <v>11077068</v>
      </c>
      <c r="N681" s="6">
        <f t="shared" si="140"/>
        <v>2104642.92</v>
      </c>
      <c r="O681" s="6">
        <f t="shared" si="142"/>
        <v>13181710.92</v>
      </c>
      <c r="P681" s="6">
        <v>13181710.92</v>
      </c>
      <c r="Q681" s="6">
        <v>0</v>
      </c>
      <c r="R681" s="6">
        <f t="shared" si="133"/>
        <v>0</v>
      </c>
      <c r="T681"/>
      <c r="U681"/>
      <c r="V681"/>
    </row>
    <row r="682" spans="2:22" s="5" customFormat="1" x14ac:dyDescent="0.3">
      <c r="B682" s="5" t="s">
        <v>16</v>
      </c>
      <c r="C682" s="5" t="s">
        <v>1313</v>
      </c>
      <c r="D682" s="5" t="s">
        <v>1260</v>
      </c>
      <c r="E682" s="5" t="s">
        <v>1314</v>
      </c>
      <c r="F682" s="5" t="s">
        <v>1261</v>
      </c>
      <c r="G682" s="5" t="s">
        <v>1262</v>
      </c>
      <c r="H682" s="6">
        <f t="shared" si="137"/>
        <v>0</v>
      </c>
      <c r="I682" s="6">
        <f t="shared" si="141"/>
        <v>6043236.0000000009</v>
      </c>
      <c r="J682" s="6">
        <v>1148214.8400000001</v>
      </c>
      <c r="K682" s="6">
        <v>0</v>
      </c>
      <c r="L682" s="6">
        <v>0</v>
      </c>
      <c r="M682" s="6">
        <f t="shared" si="139"/>
        <v>6043236.0000000009</v>
      </c>
      <c r="N682" s="6">
        <f t="shared" si="140"/>
        <v>1148214.8400000001</v>
      </c>
      <c r="O682" s="6">
        <f t="shared" si="142"/>
        <v>7191450.8400000008</v>
      </c>
      <c r="P682" s="6">
        <v>7191450.8399999999</v>
      </c>
      <c r="Q682" s="6">
        <v>0</v>
      </c>
      <c r="R682" s="6">
        <f t="shared" si="133"/>
        <v>0</v>
      </c>
      <c r="T682"/>
    </row>
    <row r="683" spans="2:22" s="5" customFormat="1" x14ac:dyDescent="0.3">
      <c r="B683" s="5" t="s">
        <v>16</v>
      </c>
      <c r="C683" s="5" t="s">
        <v>1315</v>
      </c>
      <c r="D683" s="5" t="s">
        <v>1260</v>
      </c>
      <c r="E683" s="5" t="s">
        <v>418</v>
      </c>
      <c r="F683" s="5" t="s">
        <v>1261</v>
      </c>
      <c r="G683" s="5" t="s">
        <v>1262</v>
      </c>
      <c r="H683" s="6">
        <f t="shared" ref="H683:H689" si="143">+P683-I683-J683-K683-L683</f>
        <v>676500</v>
      </c>
      <c r="I683" s="6">
        <f t="shared" si="141"/>
        <v>0</v>
      </c>
      <c r="J683" s="6">
        <v>0</v>
      </c>
      <c r="K683" s="6">
        <v>0</v>
      </c>
      <c r="L683" s="6">
        <v>0</v>
      </c>
      <c r="M683" s="6">
        <f t="shared" si="139"/>
        <v>676500</v>
      </c>
      <c r="N683" s="6">
        <f t="shared" si="140"/>
        <v>0</v>
      </c>
      <c r="O683" s="6">
        <f t="shared" si="142"/>
        <v>676500</v>
      </c>
      <c r="P683" s="6">
        <v>676500</v>
      </c>
      <c r="Q683" s="6">
        <v>0</v>
      </c>
      <c r="R683" s="6">
        <f t="shared" si="133"/>
        <v>0</v>
      </c>
      <c r="S683"/>
      <c r="T683"/>
    </row>
    <row r="684" spans="2:22" s="5" customFormat="1" x14ac:dyDescent="0.3">
      <c r="B684" s="5" t="s">
        <v>16</v>
      </c>
      <c r="C684" s="5" t="s">
        <v>1316</v>
      </c>
      <c r="D684" s="5" t="s">
        <v>1260</v>
      </c>
      <c r="E684" s="5" t="s">
        <v>1317</v>
      </c>
      <c r="F684" s="5" t="s">
        <v>1261</v>
      </c>
      <c r="G684" s="5" t="s">
        <v>1262</v>
      </c>
      <c r="H684" s="6">
        <f t="shared" si="143"/>
        <v>-9.3132257461547852E-10</v>
      </c>
      <c r="I684" s="6">
        <f t="shared" si="141"/>
        <v>17489352</v>
      </c>
      <c r="J684" s="6">
        <v>3322976.88</v>
      </c>
      <c r="K684" s="6">
        <v>0</v>
      </c>
      <c r="L684" s="6">
        <v>0</v>
      </c>
      <c r="M684" s="6">
        <f t="shared" si="139"/>
        <v>17489352</v>
      </c>
      <c r="N684" s="6">
        <f t="shared" si="140"/>
        <v>3322976.88</v>
      </c>
      <c r="O684" s="6">
        <f t="shared" si="142"/>
        <v>20812328.879999999</v>
      </c>
      <c r="P684" s="6">
        <v>20812328.879999999</v>
      </c>
      <c r="Q684" s="6">
        <v>0</v>
      </c>
      <c r="R684" s="6">
        <f t="shared" si="133"/>
        <v>0</v>
      </c>
      <c r="S684"/>
      <c r="T684"/>
    </row>
    <row r="685" spans="2:22" s="5" customFormat="1" x14ac:dyDescent="0.3">
      <c r="B685" s="5" t="s">
        <v>16</v>
      </c>
      <c r="C685" s="5" t="s">
        <v>1318</v>
      </c>
      <c r="D685" s="5" t="s">
        <v>1260</v>
      </c>
      <c r="E685" s="5" t="s">
        <v>1257</v>
      </c>
      <c r="F685" s="5" t="s">
        <v>1261</v>
      </c>
      <c r="G685" s="5" t="s">
        <v>1262</v>
      </c>
      <c r="H685" s="6">
        <f t="shared" si="143"/>
        <v>4.3655745685100555E-11</v>
      </c>
      <c r="I685" s="6">
        <f t="shared" si="141"/>
        <v>459045</v>
      </c>
      <c r="J685" s="6">
        <v>87218.55</v>
      </c>
      <c r="K685" s="6">
        <v>0</v>
      </c>
      <c r="L685" s="6">
        <v>0</v>
      </c>
      <c r="M685" s="6">
        <f t="shared" si="139"/>
        <v>459045.00000000006</v>
      </c>
      <c r="N685" s="6">
        <f t="shared" si="140"/>
        <v>87218.55</v>
      </c>
      <c r="O685" s="6">
        <f t="shared" si="142"/>
        <v>546263.55000000005</v>
      </c>
      <c r="P685" s="6">
        <v>546263.55000000005</v>
      </c>
      <c r="Q685" s="6">
        <v>0</v>
      </c>
      <c r="R685" s="6">
        <f t="shared" si="133"/>
        <v>0</v>
      </c>
      <c r="T685"/>
    </row>
    <row r="686" spans="2:22" s="5" customFormat="1" x14ac:dyDescent="0.3">
      <c r="B686" s="5" t="s">
        <v>16</v>
      </c>
      <c r="C686" s="5" t="s">
        <v>1319</v>
      </c>
      <c r="D686" s="5" t="s">
        <v>1260</v>
      </c>
      <c r="E686" s="5" t="s">
        <v>1257</v>
      </c>
      <c r="F686" s="5" t="s">
        <v>1261</v>
      </c>
      <c r="G686" s="5" t="s">
        <v>1262</v>
      </c>
      <c r="H686" s="6">
        <f t="shared" si="143"/>
        <v>-8.7311491370201111E-11</v>
      </c>
      <c r="I686" s="6">
        <f t="shared" si="141"/>
        <v>1325864</v>
      </c>
      <c r="J686" s="6">
        <v>251914.16</v>
      </c>
      <c r="K686" s="6">
        <v>0</v>
      </c>
      <c r="L686" s="6">
        <v>0</v>
      </c>
      <c r="M686" s="6">
        <f t="shared" si="139"/>
        <v>1325864</v>
      </c>
      <c r="N686" s="6">
        <f t="shared" si="140"/>
        <v>251914.16</v>
      </c>
      <c r="O686" s="6">
        <f t="shared" si="142"/>
        <v>1577778.16</v>
      </c>
      <c r="P686" s="6">
        <v>1577778.16</v>
      </c>
      <c r="Q686" s="6">
        <v>0</v>
      </c>
      <c r="R686" s="6">
        <f t="shared" si="133"/>
        <v>0</v>
      </c>
      <c r="T686"/>
    </row>
    <row r="687" spans="2:22" s="5" customFormat="1" x14ac:dyDescent="0.3">
      <c r="B687" s="5" t="s">
        <v>16</v>
      </c>
      <c r="C687" s="5" t="s">
        <v>1320</v>
      </c>
      <c r="D687" s="5" t="s">
        <v>1260</v>
      </c>
      <c r="E687" s="5" t="s">
        <v>727</v>
      </c>
      <c r="F687" s="5" t="s">
        <v>1261</v>
      </c>
      <c r="G687" s="5" t="s">
        <v>1262</v>
      </c>
      <c r="H687" s="6">
        <f t="shared" si="143"/>
        <v>-5.8207660913467407E-11</v>
      </c>
      <c r="I687" s="6">
        <f t="shared" si="141"/>
        <v>714330</v>
      </c>
      <c r="J687" s="6">
        <v>135722.70000000001</v>
      </c>
      <c r="K687" s="6">
        <v>0</v>
      </c>
      <c r="L687" s="6">
        <v>0</v>
      </c>
      <c r="M687" s="6">
        <f t="shared" si="139"/>
        <v>714330</v>
      </c>
      <c r="N687" s="6">
        <f t="shared" si="140"/>
        <v>135722.70000000001</v>
      </c>
      <c r="O687" s="6">
        <f t="shared" si="142"/>
        <v>850052.7</v>
      </c>
      <c r="P687" s="6">
        <v>850052.7</v>
      </c>
      <c r="Q687" s="6">
        <v>0</v>
      </c>
      <c r="R687" s="6">
        <f t="shared" si="133"/>
        <v>0</v>
      </c>
      <c r="T687"/>
    </row>
    <row r="688" spans="2:22" s="5" customFormat="1" x14ac:dyDescent="0.3">
      <c r="B688" s="5" t="s">
        <v>16</v>
      </c>
      <c r="C688" s="5" t="s">
        <v>1321</v>
      </c>
      <c r="D688" s="5" t="s">
        <v>1260</v>
      </c>
      <c r="E688" s="5" t="s">
        <v>727</v>
      </c>
      <c r="F688" s="5" t="s">
        <v>1261</v>
      </c>
      <c r="G688" s="5" t="s">
        <v>1262</v>
      </c>
      <c r="H688" s="6">
        <f t="shared" si="143"/>
        <v>-2.3283064365386963E-10</v>
      </c>
      <c r="I688" s="6">
        <f t="shared" si="141"/>
        <v>5087388</v>
      </c>
      <c r="J688" s="6">
        <v>966603.72</v>
      </c>
      <c r="K688" s="6">
        <v>0</v>
      </c>
      <c r="L688" s="6">
        <v>0</v>
      </c>
      <c r="M688" s="6">
        <f t="shared" si="139"/>
        <v>5087388</v>
      </c>
      <c r="N688" s="6">
        <f t="shared" si="140"/>
        <v>966603.72</v>
      </c>
      <c r="O688" s="6">
        <f t="shared" si="142"/>
        <v>6053991.7199999997</v>
      </c>
      <c r="P688" s="6">
        <v>6053991.7199999997</v>
      </c>
      <c r="Q688" s="6">
        <v>0</v>
      </c>
      <c r="R688" s="6">
        <f t="shared" si="133"/>
        <v>0</v>
      </c>
      <c r="S688"/>
      <c r="T688"/>
    </row>
    <row r="689" spans="2:22" s="5" customFormat="1" x14ac:dyDescent="0.3">
      <c r="B689" s="5" t="s">
        <v>16</v>
      </c>
      <c r="C689" s="5" t="s">
        <v>1322</v>
      </c>
      <c r="D689" s="5" t="s">
        <v>1260</v>
      </c>
      <c r="E689" s="5" t="s">
        <v>87</v>
      </c>
      <c r="F689" s="5" t="s">
        <v>1261</v>
      </c>
      <c r="G689" s="5" t="s">
        <v>1262</v>
      </c>
      <c r="H689" s="6">
        <f t="shared" si="143"/>
        <v>5.8207660913467407E-11</v>
      </c>
      <c r="I689" s="6">
        <f t="shared" si="141"/>
        <v>1833216</v>
      </c>
      <c r="J689" s="6">
        <v>348311.03999999998</v>
      </c>
      <c r="K689" s="6">
        <v>0</v>
      </c>
      <c r="L689" s="6">
        <v>0</v>
      </c>
      <c r="M689" s="6">
        <f t="shared" si="139"/>
        <v>1833216</v>
      </c>
      <c r="N689" s="6">
        <f t="shared" si="140"/>
        <v>348311.03999999998</v>
      </c>
      <c r="O689" s="6">
        <f t="shared" si="142"/>
        <v>2181527.04</v>
      </c>
      <c r="P689" s="6">
        <v>2181527.04</v>
      </c>
      <c r="Q689" s="6">
        <v>0</v>
      </c>
      <c r="R689" s="6">
        <f t="shared" si="133"/>
        <v>0</v>
      </c>
      <c r="T689"/>
    </row>
    <row r="690" spans="2:22" s="5" customFormat="1" x14ac:dyDescent="0.3">
      <c r="B690" s="5" t="s">
        <v>16</v>
      </c>
      <c r="C690" s="5" t="s">
        <v>1323</v>
      </c>
      <c r="D690" s="5" t="s">
        <v>1260</v>
      </c>
      <c r="E690" s="5" t="s">
        <v>1324</v>
      </c>
      <c r="F690" s="5" t="s">
        <v>1261</v>
      </c>
      <c r="G690" s="5" t="s">
        <v>1262</v>
      </c>
      <c r="H690" s="6">
        <v>0</v>
      </c>
      <c r="I690" s="6">
        <f t="shared" si="141"/>
        <v>222765</v>
      </c>
      <c r="J690" s="6">
        <v>42325.35</v>
      </c>
      <c r="K690" s="6">
        <v>0</v>
      </c>
      <c r="L690" s="6">
        <v>0</v>
      </c>
      <c r="M690" s="6">
        <f t="shared" si="139"/>
        <v>222765</v>
      </c>
      <c r="N690" s="6">
        <f t="shared" si="140"/>
        <v>42325.35</v>
      </c>
      <c r="O690" s="6">
        <f t="shared" si="142"/>
        <v>265090.34999999998</v>
      </c>
      <c r="P690" s="6">
        <v>265090.34999999998</v>
      </c>
      <c r="Q690" s="6">
        <v>0</v>
      </c>
      <c r="R690" s="6">
        <f t="shared" si="133"/>
        <v>0</v>
      </c>
      <c r="T690"/>
    </row>
    <row r="691" spans="2:22" s="5" customFormat="1" x14ac:dyDescent="0.3">
      <c r="B691" s="5" t="s">
        <v>16</v>
      </c>
      <c r="C691" s="5" t="s">
        <v>1325</v>
      </c>
      <c r="D691" s="5" t="s">
        <v>1260</v>
      </c>
      <c r="E691" s="5" t="s">
        <v>1324</v>
      </c>
      <c r="F691" s="5" t="s">
        <v>1261</v>
      </c>
      <c r="G691" s="5" t="s">
        <v>1262</v>
      </c>
      <c r="H691" s="6">
        <v>0</v>
      </c>
      <c r="I691" s="6">
        <f t="shared" si="141"/>
        <v>10151464</v>
      </c>
      <c r="J691" s="6">
        <v>1928778.16</v>
      </c>
      <c r="K691" s="6">
        <v>0</v>
      </c>
      <c r="L691" s="6">
        <v>0</v>
      </c>
      <c r="M691" s="6">
        <f t="shared" si="139"/>
        <v>10151464</v>
      </c>
      <c r="N691" s="6">
        <f t="shared" si="140"/>
        <v>1928778.16</v>
      </c>
      <c r="O691" s="6">
        <f t="shared" si="142"/>
        <v>12080242.16</v>
      </c>
      <c r="P691" s="6">
        <v>12080242.16</v>
      </c>
      <c r="Q691" s="6">
        <v>0</v>
      </c>
      <c r="R691" s="6">
        <f t="shared" si="133"/>
        <v>0</v>
      </c>
      <c r="T691"/>
    </row>
    <row r="692" spans="2:22" x14ac:dyDescent="0.3">
      <c r="B692" s="5" t="s">
        <v>16</v>
      </c>
      <c r="C692" s="5" t="s">
        <v>1326</v>
      </c>
      <c r="D692" s="5" t="s">
        <v>1260</v>
      </c>
      <c r="E692" s="5" t="s">
        <v>486</v>
      </c>
      <c r="F692" s="5" t="s">
        <v>1261</v>
      </c>
      <c r="G692" s="5" t="s">
        <v>1262</v>
      </c>
      <c r="H692" s="6">
        <v>0</v>
      </c>
      <c r="I692" s="6">
        <f t="shared" si="141"/>
        <v>1771907.2105263155</v>
      </c>
      <c r="J692" s="6">
        <v>336662.37</v>
      </c>
      <c r="K692" s="6">
        <v>0</v>
      </c>
      <c r="L692" s="6">
        <v>0</v>
      </c>
      <c r="M692" s="6">
        <f t="shared" si="139"/>
        <v>1771907.2105263155</v>
      </c>
      <c r="N692" s="6">
        <f t="shared" si="140"/>
        <v>336662.37</v>
      </c>
      <c r="O692" s="6">
        <f t="shared" si="142"/>
        <v>2108569.5805263156</v>
      </c>
      <c r="P692" s="6">
        <v>2108569.5699999998</v>
      </c>
      <c r="Q692" s="6">
        <v>0</v>
      </c>
      <c r="R692" s="6">
        <f t="shared" ref="R692:R755" si="144">+Q692*2.5/100</f>
        <v>0</v>
      </c>
      <c r="S692" s="5"/>
      <c r="U692" s="5"/>
      <c r="V692" s="5"/>
    </row>
    <row r="693" spans="2:22" s="5" customFormat="1" x14ac:dyDescent="0.3">
      <c r="B693" s="5" t="s">
        <v>16</v>
      </c>
      <c r="C693" s="5" t="s">
        <v>1327</v>
      </c>
      <c r="D693" s="5" t="s">
        <v>1260</v>
      </c>
      <c r="E693" s="5" t="s">
        <v>1328</v>
      </c>
      <c r="F693" s="5" t="s">
        <v>1261</v>
      </c>
      <c r="G693" s="5" t="s">
        <v>1262</v>
      </c>
      <c r="H693" s="6">
        <v>0</v>
      </c>
      <c r="I693" s="6">
        <f t="shared" si="141"/>
        <v>10969614</v>
      </c>
      <c r="J693" s="6">
        <v>2084226.66</v>
      </c>
      <c r="K693" s="6">
        <v>0</v>
      </c>
      <c r="L693" s="6">
        <v>0</v>
      </c>
      <c r="M693" s="6">
        <f t="shared" si="139"/>
        <v>10969614</v>
      </c>
      <c r="N693" s="6">
        <f t="shared" si="140"/>
        <v>2084226.66</v>
      </c>
      <c r="O693" s="6">
        <f t="shared" si="142"/>
        <v>13053840.66</v>
      </c>
      <c r="P693" s="6">
        <v>13053840.66</v>
      </c>
      <c r="Q693" s="6">
        <v>0</v>
      </c>
      <c r="R693" s="6">
        <f t="shared" si="144"/>
        <v>0</v>
      </c>
      <c r="S693"/>
      <c r="T693"/>
    </row>
    <row r="694" spans="2:22" s="5" customFormat="1" x14ac:dyDescent="0.3">
      <c r="B694" s="5" t="s">
        <v>16</v>
      </c>
      <c r="C694" s="5" t="s">
        <v>1329</v>
      </c>
      <c r="D694" s="5" t="s">
        <v>1260</v>
      </c>
      <c r="E694" s="5" t="s">
        <v>81</v>
      </c>
      <c r="F694" s="5" t="s">
        <v>1261</v>
      </c>
      <c r="G694" s="5" t="s">
        <v>1262</v>
      </c>
      <c r="H694" s="6">
        <f>+P694-I694-J694</f>
        <v>0</v>
      </c>
      <c r="I694" s="6">
        <f t="shared" si="141"/>
        <v>566296</v>
      </c>
      <c r="J694" s="6">
        <v>107596.24</v>
      </c>
      <c r="K694" s="6">
        <v>0</v>
      </c>
      <c r="L694" s="6">
        <v>0</v>
      </c>
      <c r="M694" s="6">
        <f t="shared" si="139"/>
        <v>566296</v>
      </c>
      <c r="N694" s="6">
        <f t="shared" si="140"/>
        <v>107596.24</v>
      </c>
      <c r="O694" s="6">
        <f t="shared" si="142"/>
        <v>673892.24</v>
      </c>
      <c r="P694" s="6">
        <v>673892.24</v>
      </c>
      <c r="Q694" s="6">
        <v>0</v>
      </c>
      <c r="R694" s="6">
        <f t="shared" si="144"/>
        <v>0</v>
      </c>
      <c r="S694"/>
      <c r="T694"/>
    </row>
    <row r="695" spans="2:22" s="5" customFormat="1" x14ac:dyDescent="0.3">
      <c r="B695" s="5" t="s">
        <v>16</v>
      </c>
      <c r="C695" s="5" t="s">
        <v>1330</v>
      </c>
      <c r="D695" s="5" t="s">
        <v>1260</v>
      </c>
      <c r="E695" s="5" t="s">
        <v>427</v>
      </c>
      <c r="F695" s="5" t="s">
        <v>1261</v>
      </c>
      <c r="G695" s="5" t="s">
        <v>1262</v>
      </c>
      <c r="H695" s="6">
        <f>+P695-I695-J695</f>
        <v>0</v>
      </c>
      <c r="I695" s="6">
        <f t="shared" si="141"/>
        <v>593100</v>
      </c>
      <c r="J695" s="6">
        <v>112689</v>
      </c>
      <c r="K695" s="6">
        <v>0</v>
      </c>
      <c r="L695" s="6">
        <v>0</v>
      </c>
      <c r="M695" s="6">
        <f t="shared" si="139"/>
        <v>593100</v>
      </c>
      <c r="N695" s="6">
        <f t="shared" si="140"/>
        <v>112689</v>
      </c>
      <c r="O695" s="6">
        <f t="shared" si="142"/>
        <v>705789</v>
      </c>
      <c r="P695" s="6">
        <v>705789</v>
      </c>
      <c r="Q695" s="6">
        <v>0</v>
      </c>
      <c r="R695" s="6">
        <f t="shared" si="144"/>
        <v>0</v>
      </c>
      <c r="S695"/>
      <c r="T695"/>
    </row>
    <row r="696" spans="2:22" s="5" customFormat="1" x14ac:dyDescent="0.3">
      <c r="B696" s="5" t="s">
        <v>16</v>
      </c>
      <c r="C696" s="5" t="s">
        <v>1331</v>
      </c>
      <c r="D696" s="5" t="s">
        <v>1260</v>
      </c>
      <c r="E696" s="5" t="s">
        <v>1332</v>
      </c>
      <c r="F696" s="5" t="s">
        <v>1261</v>
      </c>
      <c r="G696" s="5" t="s">
        <v>1262</v>
      </c>
      <c r="H696" s="6">
        <f>+P696-I696-J696</f>
        <v>0</v>
      </c>
      <c r="I696" s="6">
        <f t="shared" si="141"/>
        <v>9875618</v>
      </c>
      <c r="J696" s="6">
        <v>1876367.42</v>
      </c>
      <c r="K696" s="6">
        <v>0</v>
      </c>
      <c r="L696" s="6">
        <v>0</v>
      </c>
      <c r="M696" s="6">
        <f t="shared" si="139"/>
        <v>9875618</v>
      </c>
      <c r="N696" s="6">
        <f t="shared" si="140"/>
        <v>1876367.42</v>
      </c>
      <c r="O696" s="6">
        <f t="shared" si="142"/>
        <v>11751985.42</v>
      </c>
      <c r="P696" s="6">
        <v>11751985.42</v>
      </c>
      <c r="Q696" s="6">
        <v>0</v>
      </c>
      <c r="R696" s="6">
        <f t="shared" si="144"/>
        <v>0</v>
      </c>
      <c r="S696"/>
      <c r="T696"/>
    </row>
    <row r="697" spans="2:22" s="5" customFormat="1" x14ac:dyDescent="0.3">
      <c r="B697" s="5" t="s">
        <v>16</v>
      </c>
      <c r="C697" s="5" t="s">
        <v>1333</v>
      </c>
      <c r="D697" s="5" t="s">
        <v>35</v>
      </c>
      <c r="E697" s="5" t="s">
        <v>230</v>
      </c>
      <c r="F697" s="5" t="s">
        <v>499</v>
      </c>
      <c r="G697" s="5" t="s">
        <v>500</v>
      </c>
      <c r="H697" s="6">
        <v>0</v>
      </c>
      <c r="I697" s="6">
        <f t="shared" si="141"/>
        <v>3751957</v>
      </c>
      <c r="J697" s="6">
        <v>712871.83</v>
      </c>
      <c r="K697" s="6">
        <v>0</v>
      </c>
      <c r="L697" s="6">
        <v>0</v>
      </c>
      <c r="M697" s="6">
        <f t="shared" si="139"/>
        <v>3751957</v>
      </c>
      <c r="N697" s="6">
        <f t="shared" si="140"/>
        <v>712871.83</v>
      </c>
      <c r="O697" s="6">
        <f t="shared" si="142"/>
        <v>4464828.83</v>
      </c>
      <c r="P697" s="6">
        <v>4464828.83</v>
      </c>
      <c r="Q697" s="6">
        <f>+M697</f>
        <v>3751957</v>
      </c>
      <c r="R697" s="6">
        <f t="shared" si="144"/>
        <v>93798.925000000003</v>
      </c>
      <c r="S697"/>
      <c r="T697"/>
    </row>
    <row r="698" spans="2:22" s="5" customFormat="1" x14ac:dyDescent="0.3">
      <c r="B698" s="5" t="s">
        <v>16</v>
      </c>
      <c r="C698" s="5" t="s">
        <v>1334</v>
      </c>
      <c r="D698" s="5" t="s">
        <v>35</v>
      </c>
      <c r="E698" s="5" t="s">
        <v>230</v>
      </c>
      <c r="F698" s="5" t="s">
        <v>499</v>
      </c>
      <c r="G698" s="5" t="s">
        <v>500</v>
      </c>
      <c r="H698" s="6">
        <v>0</v>
      </c>
      <c r="I698" s="6">
        <f t="shared" si="141"/>
        <v>8573040</v>
      </c>
      <c r="J698" s="6">
        <v>1628877.6</v>
      </c>
      <c r="K698" s="6">
        <v>0</v>
      </c>
      <c r="L698" s="6">
        <v>0</v>
      </c>
      <c r="M698" s="6">
        <f t="shared" si="139"/>
        <v>8573040</v>
      </c>
      <c r="N698" s="6">
        <f t="shared" si="140"/>
        <v>1628877.6</v>
      </c>
      <c r="O698" s="6">
        <f t="shared" si="142"/>
        <v>10201917.6</v>
      </c>
      <c r="P698" s="6">
        <v>10201917.6</v>
      </c>
      <c r="Q698" s="6">
        <f>+M698</f>
        <v>8573040</v>
      </c>
      <c r="R698" s="6">
        <f t="shared" si="144"/>
        <v>214326</v>
      </c>
      <c r="T698"/>
    </row>
    <row r="699" spans="2:22" s="5" customFormat="1" x14ac:dyDescent="0.3">
      <c r="B699" s="5" t="s">
        <v>16</v>
      </c>
      <c r="C699" s="5" t="s">
        <v>1335</v>
      </c>
      <c r="D699" s="5" t="s">
        <v>35</v>
      </c>
      <c r="E699" s="5" t="s">
        <v>694</v>
      </c>
      <c r="F699" s="5" t="s">
        <v>499</v>
      </c>
      <c r="G699" s="5" t="s">
        <v>500</v>
      </c>
      <c r="H699" s="6">
        <v>0</v>
      </c>
      <c r="I699" s="6">
        <f t="shared" si="141"/>
        <v>1250420</v>
      </c>
      <c r="J699" s="6">
        <v>237579.8</v>
      </c>
      <c r="K699" s="6"/>
      <c r="L699" s="6"/>
      <c r="M699" s="6">
        <f>+H699+I699</f>
        <v>1250420</v>
      </c>
      <c r="N699" s="6">
        <f>+J699</f>
        <v>237579.8</v>
      </c>
      <c r="O699" s="6">
        <f t="shared" si="142"/>
        <v>1487999.8</v>
      </c>
      <c r="P699" s="6">
        <v>1487999.8</v>
      </c>
      <c r="Q699" s="6"/>
      <c r="R699" s="6">
        <f t="shared" si="144"/>
        <v>0</v>
      </c>
      <c r="S699" s="6"/>
      <c r="T699"/>
    </row>
    <row r="700" spans="2:22" s="5" customFormat="1" x14ac:dyDescent="0.3">
      <c r="B700" s="7" t="s">
        <v>16</v>
      </c>
      <c r="C700" s="7" t="s">
        <v>1336</v>
      </c>
      <c r="D700" s="7" t="s">
        <v>35</v>
      </c>
      <c r="E700" s="7" t="s">
        <v>464</v>
      </c>
      <c r="F700" s="7" t="s">
        <v>499</v>
      </c>
      <c r="G700" s="7" t="s">
        <v>500</v>
      </c>
      <c r="H700" s="8">
        <f>+P700-I700-J700</f>
        <v>0</v>
      </c>
      <c r="I700" s="8">
        <f t="shared" si="141"/>
        <v>580659</v>
      </c>
      <c r="J700" s="8">
        <v>110325.21</v>
      </c>
      <c r="K700" s="8">
        <v>0</v>
      </c>
      <c r="L700" s="8">
        <v>0</v>
      </c>
      <c r="M700" s="8">
        <f>+I700+H700</f>
        <v>580659</v>
      </c>
      <c r="N700" s="8">
        <f t="shared" ref="N700:N708" si="145">+J700+L700</f>
        <v>110325.21</v>
      </c>
      <c r="O700" s="8">
        <f t="shared" si="142"/>
        <v>690984.21</v>
      </c>
      <c r="P700" s="8">
        <v>690984.21</v>
      </c>
      <c r="Q700" s="8">
        <v>0</v>
      </c>
      <c r="R700" s="8">
        <f t="shared" si="144"/>
        <v>0</v>
      </c>
      <c r="S700" s="6"/>
      <c r="T700"/>
    </row>
    <row r="701" spans="2:22" s="5" customFormat="1" x14ac:dyDescent="0.3">
      <c r="B701" s="7" t="s">
        <v>16</v>
      </c>
      <c r="C701" s="7" t="s">
        <v>1337</v>
      </c>
      <c r="D701" s="7" t="s">
        <v>35</v>
      </c>
      <c r="E701" s="7" t="s">
        <v>431</v>
      </c>
      <c r="F701" s="7" t="s">
        <v>499</v>
      </c>
      <c r="G701" s="7" t="s">
        <v>500</v>
      </c>
      <c r="H701" s="8">
        <f>+P701-I701-J701</f>
        <v>0</v>
      </c>
      <c r="I701" s="8">
        <f t="shared" si="141"/>
        <v>1451646</v>
      </c>
      <c r="J701" s="8">
        <v>275812.74</v>
      </c>
      <c r="K701" s="8">
        <v>0</v>
      </c>
      <c r="L701" s="8">
        <v>0</v>
      </c>
      <c r="M701" s="8">
        <f>+I701+H701</f>
        <v>1451646</v>
      </c>
      <c r="N701" s="8">
        <f t="shared" si="145"/>
        <v>275812.74</v>
      </c>
      <c r="O701" s="8">
        <f t="shared" si="142"/>
        <v>1727458.74</v>
      </c>
      <c r="P701" s="8">
        <v>1727458.74</v>
      </c>
      <c r="Q701" s="8">
        <f>+M701</f>
        <v>1451646</v>
      </c>
      <c r="R701" s="8">
        <f t="shared" si="144"/>
        <v>36291.15</v>
      </c>
      <c r="T701"/>
      <c r="U701"/>
      <c r="V701"/>
    </row>
    <row r="702" spans="2:22" s="5" customFormat="1" x14ac:dyDescent="0.3">
      <c r="B702" s="7" t="s">
        <v>16</v>
      </c>
      <c r="C702" s="7" t="s">
        <v>1338</v>
      </c>
      <c r="D702" s="7" t="s">
        <v>35</v>
      </c>
      <c r="E702" s="7" t="s">
        <v>464</v>
      </c>
      <c r="F702" s="7" t="s">
        <v>499</v>
      </c>
      <c r="G702" s="7" t="s">
        <v>500</v>
      </c>
      <c r="H702" s="8">
        <f>+P702-I702-J702</f>
        <v>0</v>
      </c>
      <c r="I702" s="8">
        <f t="shared" si="141"/>
        <v>6728780</v>
      </c>
      <c r="J702" s="8">
        <v>1278468.2</v>
      </c>
      <c r="K702" s="8">
        <v>0</v>
      </c>
      <c r="L702" s="8">
        <v>0</v>
      </c>
      <c r="M702" s="8">
        <f>+I702+H702</f>
        <v>6728780</v>
      </c>
      <c r="N702" s="8">
        <f t="shared" si="145"/>
        <v>1278468.2</v>
      </c>
      <c r="O702" s="8">
        <f t="shared" si="142"/>
        <v>8007248.2000000002</v>
      </c>
      <c r="P702" s="8">
        <v>8007248.2000000002</v>
      </c>
      <c r="Q702" s="8">
        <f>+M702</f>
        <v>6728780</v>
      </c>
      <c r="R702" s="8">
        <f t="shared" si="144"/>
        <v>168219.5</v>
      </c>
      <c r="T702"/>
    </row>
    <row r="703" spans="2:22" s="5" customFormat="1" x14ac:dyDescent="0.3">
      <c r="B703" s="5" t="s">
        <v>16</v>
      </c>
      <c r="C703" s="5" t="s">
        <v>1339</v>
      </c>
      <c r="D703" s="5" t="s">
        <v>35</v>
      </c>
      <c r="E703" s="5" t="s">
        <v>1340</v>
      </c>
      <c r="F703" s="5" t="s">
        <v>499</v>
      </c>
      <c r="G703" s="5" t="s">
        <v>500</v>
      </c>
      <c r="H703" s="6">
        <f>+P703-I703-J703</f>
        <v>0</v>
      </c>
      <c r="I703" s="6">
        <f t="shared" si="141"/>
        <v>4082219</v>
      </c>
      <c r="J703" s="6">
        <v>775621.61</v>
      </c>
      <c r="K703" s="6">
        <v>0</v>
      </c>
      <c r="L703" s="6">
        <v>0</v>
      </c>
      <c r="M703" s="6">
        <f t="shared" ref="M703:M708" si="146">+H703+I703+K703</f>
        <v>4082219</v>
      </c>
      <c r="N703" s="6">
        <f t="shared" si="145"/>
        <v>775621.61</v>
      </c>
      <c r="O703" s="6">
        <f t="shared" si="142"/>
        <v>4857840.6100000003</v>
      </c>
      <c r="P703" s="6">
        <v>4857840.6100000003</v>
      </c>
      <c r="Q703" s="6">
        <f>+M703</f>
        <v>4082219</v>
      </c>
      <c r="R703" s="6">
        <f t="shared" si="144"/>
        <v>102055.47500000001</v>
      </c>
      <c r="T703"/>
    </row>
    <row r="704" spans="2:22" s="5" customFormat="1" x14ac:dyDescent="0.3">
      <c r="B704" s="5" t="s">
        <v>16</v>
      </c>
      <c r="C704" s="5" t="s">
        <v>1341</v>
      </c>
      <c r="D704" s="5" t="s">
        <v>35</v>
      </c>
      <c r="E704" s="5" t="s">
        <v>1342</v>
      </c>
      <c r="F704" s="5" t="s">
        <v>499</v>
      </c>
      <c r="G704" s="5" t="s">
        <v>500</v>
      </c>
      <c r="H704" s="6">
        <f>+P704-I704-J704-K704-L704</f>
        <v>0</v>
      </c>
      <c r="I704" s="6">
        <f t="shared" si="141"/>
        <v>3829700</v>
      </c>
      <c r="J704" s="6">
        <v>727643</v>
      </c>
      <c r="K704" s="6">
        <v>0</v>
      </c>
      <c r="L704" s="6">
        <v>0</v>
      </c>
      <c r="M704" s="6">
        <f t="shared" si="146"/>
        <v>3829700</v>
      </c>
      <c r="N704" s="6">
        <f t="shared" si="145"/>
        <v>727643</v>
      </c>
      <c r="O704" s="6">
        <f t="shared" si="142"/>
        <v>4557343</v>
      </c>
      <c r="P704" s="6">
        <v>4557343</v>
      </c>
      <c r="Q704" s="6">
        <f>+M704</f>
        <v>3829700</v>
      </c>
      <c r="R704" s="6">
        <f t="shared" si="144"/>
        <v>95742.5</v>
      </c>
      <c r="S704"/>
      <c r="T704"/>
    </row>
    <row r="705" spans="2:22" x14ac:dyDescent="0.3">
      <c r="B705" s="5" t="s">
        <v>16</v>
      </c>
      <c r="C705" s="5" t="s">
        <v>1343</v>
      </c>
      <c r="D705" s="5" t="s">
        <v>35</v>
      </c>
      <c r="E705" s="5" t="s">
        <v>1188</v>
      </c>
      <c r="F705" s="5" t="s">
        <v>499</v>
      </c>
      <c r="G705" s="5" t="s">
        <v>500</v>
      </c>
      <c r="H705" s="6">
        <f>+P705-I705-J705</f>
        <v>0</v>
      </c>
      <c r="I705" s="6">
        <f t="shared" si="141"/>
        <v>6192103.0000000009</v>
      </c>
      <c r="J705" s="6">
        <v>1176499.57</v>
      </c>
      <c r="K705" s="6">
        <v>0</v>
      </c>
      <c r="L705" s="6">
        <v>0</v>
      </c>
      <c r="M705" s="6">
        <f t="shared" si="146"/>
        <v>6192103.0000000009</v>
      </c>
      <c r="N705" s="6">
        <f t="shared" si="145"/>
        <v>1176499.57</v>
      </c>
      <c r="O705" s="6">
        <f t="shared" si="142"/>
        <v>7368602.5700000012</v>
      </c>
      <c r="P705" s="6">
        <v>7368602.5700000003</v>
      </c>
      <c r="Q705" s="6">
        <f>+M705</f>
        <v>6192103.0000000009</v>
      </c>
      <c r="R705" s="6">
        <f t="shared" si="144"/>
        <v>154802.57500000001</v>
      </c>
      <c r="U705" s="5"/>
      <c r="V705" s="5"/>
    </row>
    <row r="706" spans="2:22" x14ac:dyDescent="0.3">
      <c r="B706" s="5" t="s">
        <v>16</v>
      </c>
      <c r="C706" s="5" t="s">
        <v>1344</v>
      </c>
      <c r="D706" s="5" t="s">
        <v>1345</v>
      </c>
      <c r="E706" s="5" t="s">
        <v>803</v>
      </c>
      <c r="F706" s="5" t="s">
        <v>159</v>
      </c>
      <c r="G706" s="5" t="s">
        <v>160</v>
      </c>
      <c r="H706" s="6">
        <v>474000</v>
      </c>
      <c r="I706" s="6">
        <f t="shared" si="141"/>
        <v>3028248</v>
      </c>
      <c r="J706" s="6">
        <v>575367.12</v>
      </c>
      <c r="K706" s="6">
        <v>0</v>
      </c>
      <c r="L706" s="6">
        <v>0</v>
      </c>
      <c r="M706" s="6">
        <f t="shared" si="146"/>
        <v>3502248</v>
      </c>
      <c r="N706" s="6">
        <f t="shared" si="145"/>
        <v>575367.12</v>
      </c>
      <c r="O706" s="6">
        <f t="shared" si="142"/>
        <v>4077615.12</v>
      </c>
      <c r="P706" s="6">
        <v>4077615.12</v>
      </c>
      <c r="Q706" s="6">
        <f>+M706-62520</f>
        <v>3439728</v>
      </c>
      <c r="R706" s="6">
        <f t="shared" si="144"/>
        <v>85993.2</v>
      </c>
      <c r="S706" s="5"/>
    </row>
    <row r="707" spans="2:22" x14ac:dyDescent="0.3">
      <c r="B707" s="5" t="s">
        <v>16</v>
      </c>
      <c r="C707" s="5" t="s">
        <v>1346</v>
      </c>
      <c r="D707" s="5" t="s">
        <v>1345</v>
      </c>
      <c r="E707" s="5" t="s">
        <v>803</v>
      </c>
      <c r="F707" s="5" t="s">
        <v>159</v>
      </c>
      <c r="G707" s="5" t="s">
        <v>160</v>
      </c>
      <c r="H707" s="6">
        <v>0</v>
      </c>
      <c r="I707" s="6">
        <f t="shared" si="141"/>
        <v>4562208</v>
      </c>
      <c r="J707" s="6">
        <v>866819.52</v>
      </c>
      <c r="K707" s="6">
        <v>0</v>
      </c>
      <c r="L707" s="6">
        <v>0</v>
      </c>
      <c r="M707" s="6">
        <f t="shared" si="146"/>
        <v>4562208</v>
      </c>
      <c r="N707" s="6">
        <f t="shared" si="145"/>
        <v>866819.52</v>
      </c>
      <c r="O707" s="6">
        <f t="shared" si="142"/>
        <v>5429027.5199999996</v>
      </c>
      <c r="P707" s="6">
        <v>5429027.5199999996</v>
      </c>
      <c r="Q707" s="6">
        <f>+M707</f>
        <v>4562208</v>
      </c>
      <c r="R707" s="6">
        <f t="shared" si="144"/>
        <v>114055.2</v>
      </c>
      <c r="S707" s="5"/>
      <c r="U707" s="5"/>
      <c r="V707" s="5"/>
    </row>
    <row r="708" spans="2:22" s="5" customFormat="1" x14ac:dyDescent="0.3">
      <c r="B708" s="5" t="s">
        <v>16</v>
      </c>
      <c r="C708" s="5" t="s">
        <v>1347</v>
      </c>
      <c r="D708" s="5" t="s">
        <v>1345</v>
      </c>
      <c r="E708" s="5" t="s">
        <v>803</v>
      </c>
      <c r="F708" s="5" t="s">
        <v>159</v>
      </c>
      <c r="G708" s="5" t="s">
        <v>160</v>
      </c>
      <c r="H708" s="6">
        <v>636559.36842105258</v>
      </c>
      <c r="I708" s="6">
        <f t="shared" si="141"/>
        <v>5594071.6315789474</v>
      </c>
      <c r="J708" s="6">
        <v>1062873.6100000001</v>
      </c>
      <c r="K708" s="6">
        <v>0</v>
      </c>
      <c r="L708" s="6">
        <v>0</v>
      </c>
      <c r="M708" s="6">
        <f t="shared" si="146"/>
        <v>6230631</v>
      </c>
      <c r="N708" s="6">
        <f t="shared" si="145"/>
        <v>1062873.6100000001</v>
      </c>
      <c r="O708" s="6">
        <f t="shared" si="142"/>
        <v>7293504.6100000003</v>
      </c>
      <c r="P708" s="6">
        <v>7293504.6100000003</v>
      </c>
      <c r="Q708" s="6">
        <f>+M708-538647</f>
        <v>5691984</v>
      </c>
      <c r="R708" s="6">
        <f t="shared" si="144"/>
        <v>142299.6</v>
      </c>
      <c r="T708"/>
    </row>
    <row r="709" spans="2:22" s="5" customFormat="1" x14ac:dyDescent="0.3">
      <c r="B709" s="5" t="s">
        <v>16</v>
      </c>
      <c r="C709" s="5" t="s">
        <v>1348</v>
      </c>
      <c r="D709" s="5" t="s">
        <v>1345</v>
      </c>
      <c r="E709" s="5" t="s">
        <v>1086</v>
      </c>
      <c r="F709" s="5" t="s">
        <v>159</v>
      </c>
      <c r="G709" s="5" t="s">
        <v>160</v>
      </c>
      <c r="H709" s="6">
        <v>0</v>
      </c>
      <c r="I709" s="6">
        <f t="shared" si="141"/>
        <v>4106987.9999999995</v>
      </c>
      <c r="J709" s="6">
        <v>780327.72</v>
      </c>
      <c r="K709" s="6"/>
      <c r="L709" s="6"/>
      <c r="M709" s="6">
        <f>+H709+I709</f>
        <v>4106987.9999999995</v>
      </c>
      <c r="N709" s="6">
        <f>+J709</f>
        <v>780327.72</v>
      </c>
      <c r="O709" s="6">
        <f t="shared" si="142"/>
        <v>4887315.72</v>
      </c>
      <c r="P709" s="6">
        <v>4887315.72</v>
      </c>
      <c r="Q709" s="6">
        <f>+M709-55800</f>
        <v>4051187.9999999995</v>
      </c>
      <c r="R709" s="6">
        <f t="shared" si="144"/>
        <v>101279.69999999998</v>
      </c>
      <c r="T709"/>
    </row>
    <row r="710" spans="2:22" s="5" customFormat="1" x14ac:dyDescent="0.3">
      <c r="B710" s="5" t="s">
        <v>16</v>
      </c>
      <c r="C710" s="5" t="s">
        <v>1349</v>
      </c>
      <c r="D710" s="5" t="s">
        <v>1345</v>
      </c>
      <c r="E710" s="5" t="s">
        <v>1086</v>
      </c>
      <c r="F710" s="5" t="s">
        <v>159</v>
      </c>
      <c r="G710" s="5" t="s">
        <v>160</v>
      </c>
      <c r="H710" s="6">
        <v>367016.63157894707</v>
      </c>
      <c r="I710" s="6">
        <f t="shared" si="141"/>
        <v>4242369.3684210526</v>
      </c>
      <c r="J710" s="6">
        <v>806050.18</v>
      </c>
      <c r="K710" s="6"/>
      <c r="L710" s="6"/>
      <c r="M710" s="6">
        <f>+H710+I710</f>
        <v>4609386</v>
      </c>
      <c r="N710" s="6">
        <f>+J710</f>
        <v>806050.18</v>
      </c>
      <c r="O710" s="6">
        <f t="shared" si="142"/>
        <v>5415436.1799999997</v>
      </c>
      <c r="P710" s="6">
        <v>5415436.1799999997</v>
      </c>
      <c r="Q710" s="6">
        <f>+M710-453792</f>
        <v>4155594</v>
      </c>
      <c r="R710" s="6">
        <f t="shared" si="144"/>
        <v>103889.85</v>
      </c>
      <c r="S710"/>
      <c r="T710"/>
    </row>
    <row r="711" spans="2:22" s="5" customFormat="1" x14ac:dyDescent="0.3">
      <c r="B711" s="5" t="s">
        <v>16</v>
      </c>
      <c r="C711" s="5" t="s">
        <v>1350</v>
      </c>
      <c r="D711" s="5" t="s">
        <v>1345</v>
      </c>
      <c r="E711" s="5" t="s">
        <v>1086</v>
      </c>
      <c r="F711" s="5" t="s">
        <v>159</v>
      </c>
      <c r="G711" s="5" t="s">
        <v>160</v>
      </c>
      <c r="H711" s="6">
        <v>0</v>
      </c>
      <c r="I711" s="6">
        <f t="shared" si="141"/>
        <v>6729159</v>
      </c>
      <c r="J711" s="6">
        <v>1278540.21</v>
      </c>
      <c r="K711" s="6"/>
      <c r="L711" s="6"/>
      <c r="M711" s="6">
        <f>+H711+I711</f>
        <v>6729159</v>
      </c>
      <c r="N711" s="6">
        <f>+J711</f>
        <v>1278540.21</v>
      </c>
      <c r="O711" s="6">
        <f t="shared" si="142"/>
        <v>8007699.21</v>
      </c>
      <c r="P711" s="6">
        <v>8007699.21</v>
      </c>
      <c r="Q711" s="6">
        <f>+M711-278985</f>
        <v>6450174</v>
      </c>
      <c r="R711" s="6">
        <f t="shared" si="144"/>
        <v>161254.35</v>
      </c>
      <c r="T711"/>
    </row>
    <row r="712" spans="2:22" s="5" customFormat="1" x14ac:dyDescent="0.3">
      <c r="B712" s="7" t="s">
        <v>16</v>
      </c>
      <c r="C712" s="7" t="s">
        <v>1351</v>
      </c>
      <c r="D712" s="7" t="s">
        <v>1345</v>
      </c>
      <c r="E712" s="7" t="s">
        <v>464</v>
      </c>
      <c r="F712" s="7" t="s">
        <v>159</v>
      </c>
      <c r="G712" s="7" t="s">
        <v>160</v>
      </c>
      <c r="H712" s="8">
        <v>688000</v>
      </c>
      <c r="I712" s="8">
        <f t="shared" si="141"/>
        <v>2038821.0526315791</v>
      </c>
      <c r="J712" s="8">
        <v>387376</v>
      </c>
      <c r="K712" s="8">
        <v>91428</v>
      </c>
      <c r="L712" s="8">
        <f>+K712*0.05</f>
        <v>4571.4000000000005</v>
      </c>
      <c r="M712" s="8">
        <f>+I712+H712+K712</f>
        <v>2818249.0526315793</v>
      </c>
      <c r="N712" s="8">
        <f t="shared" ref="N712:N720" si="147">+J712+L712</f>
        <v>391947.4</v>
      </c>
      <c r="O712" s="8">
        <f t="shared" si="142"/>
        <v>3210196.4526315792</v>
      </c>
      <c r="P712" s="8">
        <v>3210198.77</v>
      </c>
      <c r="Q712" s="8">
        <f>+M712</f>
        <v>2818249.0526315793</v>
      </c>
      <c r="R712" s="8">
        <f t="shared" si="144"/>
        <v>70456.226315789478</v>
      </c>
      <c r="T712"/>
      <c r="U712"/>
      <c r="V712"/>
    </row>
    <row r="713" spans="2:22" s="5" customFormat="1" x14ac:dyDescent="0.3">
      <c r="B713" s="7" t="s">
        <v>16</v>
      </c>
      <c r="C713" s="7" t="s">
        <v>1352</v>
      </c>
      <c r="D713" s="7" t="s">
        <v>1345</v>
      </c>
      <c r="E713" s="7" t="s">
        <v>696</v>
      </c>
      <c r="F713" s="7" t="s">
        <v>159</v>
      </c>
      <c r="G713" s="7" t="s">
        <v>160</v>
      </c>
      <c r="H713" s="8">
        <f>+P713-I713-J713</f>
        <v>0</v>
      </c>
      <c r="I713" s="8">
        <f t="shared" si="141"/>
        <v>5668962</v>
      </c>
      <c r="J713" s="8">
        <v>1077102.78</v>
      </c>
      <c r="K713" s="8">
        <v>0</v>
      </c>
      <c r="L713" s="8">
        <v>0</v>
      </c>
      <c r="M713" s="8">
        <f>+I713+H713</f>
        <v>5668962</v>
      </c>
      <c r="N713" s="8">
        <f t="shared" si="147"/>
        <v>1077102.78</v>
      </c>
      <c r="O713" s="8">
        <f t="shared" si="142"/>
        <v>6746064.7800000003</v>
      </c>
      <c r="P713" s="8">
        <v>6746064.7800000003</v>
      </c>
      <c r="Q713" s="8">
        <f>+M713-433776</f>
        <v>5235186</v>
      </c>
      <c r="R713" s="8">
        <f t="shared" si="144"/>
        <v>130879.65</v>
      </c>
      <c r="T713"/>
      <c r="U713"/>
      <c r="V713"/>
    </row>
    <row r="714" spans="2:22" s="5" customFormat="1" x14ac:dyDescent="0.3">
      <c r="B714" s="7" t="s">
        <v>16</v>
      </c>
      <c r="C714" s="7" t="s">
        <v>1353</v>
      </c>
      <c r="D714" s="7" t="s">
        <v>1345</v>
      </c>
      <c r="E714" s="7" t="s">
        <v>696</v>
      </c>
      <c r="F714" s="7" t="s">
        <v>159</v>
      </c>
      <c r="G714" s="7" t="s">
        <v>160</v>
      </c>
      <c r="H714" s="8">
        <f>+P714-I714-J714</f>
        <v>0</v>
      </c>
      <c r="I714" s="8">
        <f t="shared" si="141"/>
        <v>5589353.0000000009</v>
      </c>
      <c r="J714" s="8">
        <v>1061977.07</v>
      </c>
      <c r="K714" s="8">
        <v>0</v>
      </c>
      <c r="L714" s="8">
        <v>0</v>
      </c>
      <c r="M714" s="8">
        <f>+I714+H714</f>
        <v>5589353.0000000009</v>
      </c>
      <c r="N714" s="8">
        <f t="shared" si="147"/>
        <v>1061977.07</v>
      </c>
      <c r="O714" s="8">
        <f t="shared" si="142"/>
        <v>6651330.0700000012</v>
      </c>
      <c r="P714" s="8">
        <v>6651330.0700000003</v>
      </c>
      <c r="Q714" s="8">
        <f>+M714</f>
        <v>5589353.0000000009</v>
      </c>
      <c r="R714" s="8">
        <f t="shared" si="144"/>
        <v>139733.82500000001</v>
      </c>
      <c r="T714"/>
      <c r="U714"/>
      <c r="V714"/>
    </row>
    <row r="715" spans="2:22" s="5" customFormat="1" x14ac:dyDescent="0.3">
      <c r="B715" s="7" t="s">
        <v>16</v>
      </c>
      <c r="C715" s="7" t="s">
        <v>1354</v>
      </c>
      <c r="D715" s="7" t="s">
        <v>1345</v>
      </c>
      <c r="E715" s="7" t="s">
        <v>696</v>
      </c>
      <c r="F715" s="7" t="s">
        <v>159</v>
      </c>
      <c r="G715" s="7" t="s">
        <v>160</v>
      </c>
      <c r="H715" s="8">
        <f>+P715-I715-J715</f>
        <v>0</v>
      </c>
      <c r="I715" s="8">
        <f t="shared" si="141"/>
        <v>5926475.9999999991</v>
      </c>
      <c r="J715" s="8">
        <v>1126030.44</v>
      </c>
      <c r="K715" s="8">
        <v>0</v>
      </c>
      <c r="L715" s="8">
        <v>0</v>
      </c>
      <c r="M715" s="8">
        <f>+I715+H715</f>
        <v>5926475.9999999991</v>
      </c>
      <c r="N715" s="8">
        <f t="shared" si="147"/>
        <v>1126030.44</v>
      </c>
      <c r="O715" s="8">
        <f t="shared" si="142"/>
        <v>7052506.4399999995</v>
      </c>
      <c r="P715" s="8">
        <v>7052506.4400000004</v>
      </c>
      <c r="Q715" s="8">
        <f>+M715</f>
        <v>5926475.9999999991</v>
      </c>
      <c r="R715" s="8">
        <f t="shared" si="144"/>
        <v>148161.9</v>
      </c>
      <c r="S715"/>
      <c r="T715"/>
    </row>
    <row r="716" spans="2:22" s="5" customFormat="1" x14ac:dyDescent="0.3">
      <c r="B716" s="5" t="s">
        <v>16</v>
      </c>
      <c r="C716" s="5" t="s">
        <v>1355</v>
      </c>
      <c r="D716" s="5" t="s">
        <v>1345</v>
      </c>
      <c r="E716" s="5" t="s">
        <v>836</v>
      </c>
      <c r="F716" s="5" t="s">
        <v>159</v>
      </c>
      <c r="G716" s="5" t="s">
        <v>160</v>
      </c>
      <c r="H716" s="6">
        <v>1172950</v>
      </c>
      <c r="I716" s="6">
        <f t="shared" si="141"/>
        <v>1947563.1578947371</v>
      </c>
      <c r="J716" s="6">
        <v>370037</v>
      </c>
      <c r="K716" s="6">
        <f>+L716/5*100</f>
        <v>1071820</v>
      </c>
      <c r="L716" s="6">
        <v>53591</v>
      </c>
      <c r="M716" s="6">
        <f t="shared" ref="M716:M754" si="148">+H716+I716+K716</f>
        <v>4192333.1578947371</v>
      </c>
      <c r="N716" s="6">
        <f t="shared" si="147"/>
        <v>423628</v>
      </c>
      <c r="O716" s="6">
        <f t="shared" si="142"/>
        <v>4615961.1578947371</v>
      </c>
      <c r="P716" s="6">
        <v>4615954.67</v>
      </c>
      <c r="Q716" s="6">
        <f>+M716-174150</f>
        <v>4018183.1578947371</v>
      </c>
      <c r="R716" s="6">
        <f t="shared" si="144"/>
        <v>100454.57894736843</v>
      </c>
      <c r="S716"/>
      <c r="T716"/>
    </row>
    <row r="717" spans="2:22" s="5" customFormat="1" x14ac:dyDescent="0.3">
      <c r="B717" s="5" t="s">
        <v>16</v>
      </c>
      <c r="C717" s="5" t="s">
        <v>1356</v>
      </c>
      <c r="D717" s="5" t="s">
        <v>1345</v>
      </c>
      <c r="E717" s="5" t="s">
        <v>1079</v>
      </c>
      <c r="F717" s="5" t="s">
        <v>159</v>
      </c>
      <c r="G717" s="5" t="s">
        <v>160</v>
      </c>
      <c r="H717" s="6">
        <v>190000</v>
      </c>
      <c r="I717" s="6">
        <f t="shared" si="141"/>
        <v>3916163.1578947366</v>
      </c>
      <c r="J717" s="6">
        <v>744071</v>
      </c>
      <c r="K717" s="6">
        <f>+L717/5*100</f>
        <v>461600</v>
      </c>
      <c r="L717" s="6">
        <v>23080</v>
      </c>
      <c r="M717" s="6">
        <f t="shared" si="148"/>
        <v>4567763.1578947362</v>
      </c>
      <c r="N717" s="6">
        <f t="shared" si="147"/>
        <v>767151</v>
      </c>
      <c r="O717" s="6">
        <f t="shared" si="142"/>
        <v>5334914.1578947362</v>
      </c>
      <c r="P717" s="6">
        <v>5334939.0999999996</v>
      </c>
      <c r="Q717" s="6">
        <f t="shared" ref="Q717:Q723" si="149">+M717</f>
        <v>4567763.1578947362</v>
      </c>
      <c r="R717" s="6">
        <f t="shared" si="144"/>
        <v>114194.07894736841</v>
      </c>
      <c r="S717"/>
      <c r="T717"/>
    </row>
    <row r="718" spans="2:22" s="5" customFormat="1" x14ac:dyDescent="0.3">
      <c r="B718" s="5" t="s">
        <v>16</v>
      </c>
      <c r="C718" s="5" t="s">
        <v>1357</v>
      </c>
      <c r="D718" s="5" t="s">
        <v>1345</v>
      </c>
      <c r="E718" s="5" t="s">
        <v>1079</v>
      </c>
      <c r="F718" s="5" t="s">
        <v>159</v>
      </c>
      <c r="G718" s="5" t="s">
        <v>160</v>
      </c>
      <c r="H718" s="6">
        <f t="shared" ref="H718:H724" si="150">+P718-I718-J718</f>
        <v>870000.00000000023</v>
      </c>
      <c r="I718" s="6">
        <f t="shared" si="141"/>
        <v>6302321</v>
      </c>
      <c r="J718" s="6">
        <v>1197440.99</v>
      </c>
      <c r="K718" s="6">
        <v>0</v>
      </c>
      <c r="L718" s="6">
        <v>0</v>
      </c>
      <c r="M718" s="6">
        <f t="shared" si="148"/>
        <v>7172321</v>
      </c>
      <c r="N718" s="6">
        <f t="shared" si="147"/>
        <v>1197440.99</v>
      </c>
      <c r="O718" s="6">
        <f t="shared" si="142"/>
        <v>8369761.9900000002</v>
      </c>
      <c r="P718" s="6">
        <v>8369761.9900000002</v>
      </c>
      <c r="Q718" s="6">
        <f t="shared" si="149"/>
        <v>7172321</v>
      </c>
      <c r="R718" s="6">
        <f t="shared" si="144"/>
        <v>179308.02499999999</v>
      </c>
      <c r="S718"/>
      <c r="T718"/>
    </row>
    <row r="719" spans="2:22" s="5" customFormat="1" x14ac:dyDescent="0.3">
      <c r="B719" s="5" t="s">
        <v>16</v>
      </c>
      <c r="C719" s="5" t="s">
        <v>1358</v>
      </c>
      <c r="D719" s="5" t="s">
        <v>1345</v>
      </c>
      <c r="E719" s="5" t="s">
        <v>469</v>
      </c>
      <c r="F719" s="5" t="s">
        <v>159</v>
      </c>
      <c r="G719" s="5" t="s">
        <v>160</v>
      </c>
      <c r="H719" s="6">
        <f t="shared" si="150"/>
        <v>0</v>
      </c>
      <c r="I719" s="6">
        <f t="shared" si="141"/>
        <v>1783856.0000000002</v>
      </c>
      <c r="J719" s="6">
        <v>338932.64</v>
      </c>
      <c r="K719" s="6">
        <v>0</v>
      </c>
      <c r="L719" s="6">
        <v>0</v>
      </c>
      <c r="M719" s="6">
        <f t="shared" si="148"/>
        <v>1783856.0000000002</v>
      </c>
      <c r="N719" s="6">
        <f t="shared" si="147"/>
        <v>338932.64</v>
      </c>
      <c r="O719" s="6">
        <f t="shared" si="142"/>
        <v>2122788.64</v>
      </c>
      <c r="P719" s="6">
        <v>2122788.64</v>
      </c>
      <c r="Q719" s="6">
        <f t="shared" si="149"/>
        <v>1783856.0000000002</v>
      </c>
      <c r="R719" s="6">
        <f t="shared" si="144"/>
        <v>44596.400000000009</v>
      </c>
      <c r="S719"/>
      <c r="T719"/>
    </row>
    <row r="720" spans="2:22" x14ac:dyDescent="0.3">
      <c r="B720" s="5" t="s">
        <v>16</v>
      </c>
      <c r="C720" s="5" t="s">
        <v>1359</v>
      </c>
      <c r="D720" s="5" t="s">
        <v>1345</v>
      </c>
      <c r="E720" s="5" t="s">
        <v>469</v>
      </c>
      <c r="F720" s="5" t="s">
        <v>159</v>
      </c>
      <c r="G720" s="5" t="s">
        <v>160</v>
      </c>
      <c r="H720" s="6">
        <f t="shared" si="150"/>
        <v>0</v>
      </c>
      <c r="I720" s="6">
        <f t="shared" si="141"/>
        <v>2806104</v>
      </c>
      <c r="J720" s="6">
        <v>533159.76</v>
      </c>
      <c r="K720" s="6">
        <v>0</v>
      </c>
      <c r="L720" s="6">
        <v>0</v>
      </c>
      <c r="M720" s="6">
        <f t="shared" si="148"/>
        <v>2806104</v>
      </c>
      <c r="N720" s="6">
        <f t="shared" si="147"/>
        <v>533159.76</v>
      </c>
      <c r="O720" s="6">
        <f t="shared" si="142"/>
        <v>3339263.76</v>
      </c>
      <c r="P720" s="6">
        <v>3339263.76</v>
      </c>
      <c r="Q720" s="6">
        <f t="shared" si="149"/>
        <v>2806104</v>
      </c>
      <c r="R720" s="6">
        <f t="shared" si="144"/>
        <v>70152.600000000006</v>
      </c>
      <c r="U720" s="5"/>
      <c r="V720" s="5"/>
    </row>
    <row r="721" spans="2:22" x14ac:dyDescent="0.3">
      <c r="B721" s="5" t="s">
        <v>16</v>
      </c>
      <c r="C721" s="5" t="s">
        <v>1360</v>
      </c>
      <c r="D721" s="5" t="s">
        <v>1345</v>
      </c>
      <c r="E721" s="5" t="s">
        <v>1002</v>
      </c>
      <c r="F721" s="5" t="s">
        <v>159</v>
      </c>
      <c r="G721" s="5" t="s">
        <v>160</v>
      </c>
      <c r="H721" s="6">
        <f t="shared" si="150"/>
        <v>494999.99999999965</v>
      </c>
      <c r="I721" s="6">
        <f t="shared" si="141"/>
        <v>4257597</v>
      </c>
      <c r="J721" s="6">
        <v>808943.43</v>
      </c>
      <c r="K721" s="6">
        <v>0</v>
      </c>
      <c r="L721" s="6">
        <v>0</v>
      </c>
      <c r="M721" s="6">
        <f t="shared" si="148"/>
        <v>4752597</v>
      </c>
      <c r="N721" s="6">
        <f>J721+L721</f>
        <v>808943.43</v>
      </c>
      <c r="O721" s="6">
        <f t="shared" si="142"/>
        <v>5561540.4299999997</v>
      </c>
      <c r="P721" s="6">
        <v>5561540.4299999997</v>
      </c>
      <c r="Q721" s="6">
        <f t="shared" si="149"/>
        <v>4752597</v>
      </c>
      <c r="R721" s="6">
        <f t="shared" si="144"/>
        <v>118814.925</v>
      </c>
      <c r="U721" s="5"/>
      <c r="V721" s="5"/>
    </row>
    <row r="722" spans="2:22" s="5" customFormat="1" x14ac:dyDescent="0.3">
      <c r="B722" s="5" t="s">
        <v>16</v>
      </c>
      <c r="C722" s="5" t="s">
        <v>1361</v>
      </c>
      <c r="D722" s="5" t="s">
        <v>1345</v>
      </c>
      <c r="E722" s="5" t="s">
        <v>469</v>
      </c>
      <c r="F722" s="5" t="s">
        <v>159</v>
      </c>
      <c r="G722" s="5" t="s">
        <v>160</v>
      </c>
      <c r="H722" s="6">
        <f t="shared" si="150"/>
        <v>877387.57894736913</v>
      </c>
      <c r="I722" s="6">
        <f t="shared" si="141"/>
        <v>4384375.421052631</v>
      </c>
      <c r="J722" s="6">
        <v>833031.33</v>
      </c>
      <c r="K722" s="6">
        <v>0</v>
      </c>
      <c r="L722" s="6">
        <v>0</v>
      </c>
      <c r="M722" s="6">
        <f t="shared" si="148"/>
        <v>5261763</v>
      </c>
      <c r="N722" s="6">
        <f t="shared" ref="N722:N754" si="151">+J722+L722</f>
        <v>833031.33</v>
      </c>
      <c r="O722" s="6">
        <f t="shared" si="142"/>
        <v>6094794.3300000001</v>
      </c>
      <c r="P722" s="6">
        <v>6094794.3300000001</v>
      </c>
      <c r="Q722" s="6">
        <f t="shared" si="149"/>
        <v>5261763</v>
      </c>
      <c r="R722" s="6">
        <f t="shared" si="144"/>
        <v>131544.07500000001</v>
      </c>
      <c r="S722"/>
      <c r="T722"/>
    </row>
    <row r="723" spans="2:22" s="5" customFormat="1" x14ac:dyDescent="0.3">
      <c r="B723" s="5" t="s">
        <v>16</v>
      </c>
      <c r="C723" s="5" t="s">
        <v>1362</v>
      </c>
      <c r="D723" s="5" t="s">
        <v>1345</v>
      </c>
      <c r="E723" s="5" t="s">
        <v>677</v>
      </c>
      <c r="F723" s="5" t="s">
        <v>159</v>
      </c>
      <c r="G723" s="5" t="s">
        <v>160</v>
      </c>
      <c r="H723" s="6">
        <f t="shared" si="150"/>
        <v>0</v>
      </c>
      <c r="I723" s="6">
        <f t="shared" si="141"/>
        <v>2814072</v>
      </c>
      <c r="J723" s="6">
        <v>534673.68000000005</v>
      </c>
      <c r="K723" s="6">
        <v>0</v>
      </c>
      <c r="L723" s="6">
        <v>0</v>
      </c>
      <c r="M723" s="6">
        <f t="shared" si="148"/>
        <v>2814072</v>
      </c>
      <c r="N723" s="6">
        <f t="shared" si="151"/>
        <v>534673.68000000005</v>
      </c>
      <c r="O723" s="6">
        <f t="shared" si="142"/>
        <v>3348745.68</v>
      </c>
      <c r="P723" s="6">
        <v>3348745.68</v>
      </c>
      <c r="Q723" s="6">
        <f t="shared" si="149"/>
        <v>2814072</v>
      </c>
      <c r="R723" s="6">
        <f t="shared" si="144"/>
        <v>70351.8</v>
      </c>
      <c r="T723"/>
    </row>
    <row r="724" spans="2:22" s="5" customFormat="1" x14ac:dyDescent="0.3">
      <c r="B724" s="5" t="s">
        <v>16</v>
      </c>
      <c r="C724" s="5" t="s">
        <v>1363</v>
      </c>
      <c r="D724" s="5" t="s">
        <v>1345</v>
      </c>
      <c r="E724" s="5" t="s">
        <v>84</v>
      </c>
      <c r="F724" s="5" t="s">
        <v>159</v>
      </c>
      <c r="G724" s="5" t="s">
        <v>160</v>
      </c>
      <c r="H724" s="6">
        <f t="shared" si="150"/>
        <v>0</v>
      </c>
      <c r="I724" s="6">
        <f t="shared" si="141"/>
        <v>3744804</v>
      </c>
      <c r="J724" s="6">
        <v>711512.76</v>
      </c>
      <c r="K724" s="6">
        <v>0</v>
      </c>
      <c r="L724" s="6">
        <v>0</v>
      </c>
      <c r="M724" s="6">
        <f t="shared" si="148"/>
        <v>3744804</v>
      </c>
      <c r="N724" s="6">
        <f t="shared" si="151"/>
        <v>711512.76</v>
      </c>
      <c r="O724" s="6">
        <f t="shared" si="142"/>
        <v>4456316.76</v>
      </c>
      <c r="P724" s="6">
        <v>4456316.76</v>
      </c>
      <c r="Q724" s="6">
        <f>+M724-56304</f>
        <v>3688500</v>
      </c>
      <c r="R724" s="6">
        <f t="shared" si="144"/>
        <v>92212.5</v>
      </c>
      <c r="T724"/>
    </row>
    <row r="725" spans="2:22" s="5" customFormat="1" x14ac:dyDescent="0.3">
      <c r="B725" s="5" t="s">
        <v>16</v>
      </c>
      <c r="C725" s="5" t="s">
        <v>1364</v>
      </c>
      <c r="D725" s="5" t="s">
        <v>1345</v>
      </c>
      <c r="E725" s="5" t="s">
        <v>84</v>
      </c>
      <c r="F725" s="5" t="s">
        <v>159</v>
      </c>
      <c r="G725" s="5" t="s">
        <v>160</v>
      </c>
      <c r="H725" s="6">
        <v>190000</v>
      </c>
      <c r="I725" s="6">
        <f t="shared" si="141"/>
        <v>3468584.210526316</v>
      </c>
      <c r="J725" s="6">
        <v>659031</v>
      </c>
      <c r="K725" s="6">
        <f>+L725/5*100</f>
        <v>563060</v>
      </c>
      <c r="L725" s="6">
        <v>28153</v>
      </c>
      <c r="M725" s="6">
        <f t="shared" si="148"/>
        <v>4221644.2105263155</v>
      </c>
      <c r="N725" s="6">
        <f t="shared" si="151"/>
        <v>687184</v>
      </c>
      <c r="O725" s="6">
        <f t="shared" si="142"/>
        <v>4908828.2105263155</v>
      </c>
      <c r="P725" s="6">
        <v>4908828.66</v>
      </c>
      <c r="Q725" s="6">
        <f>+M725</f>
        <v>4221644.2105263155</v>
      </c>
      <c r="R725" s="6">
        <f t="shared" si="144"/>
        <v>105541.10526315789</v>
      </c>
      <c r="T725"/>
    </row>
    <row r="726" spans="2:22" s="5" customFormat="1" x14ac:dyDescent="0.3">
      <c r="B726" s="5" t="s">
        <v>16</v>
      </c>
      <c r="C726" s="5" t="s">
        <v>1365</v>
      </c>
      <c r="D726" s="5" t="s">
        <v>1345</v>
      </c>
      <c r="E726" s="5" t="s">
        <v>84</v>
      </c>
      <c r="F726" s="5" t="s">
        <v>159</v>
      </c>
      <c r="G726" s="5" t="s">
        <v>160</v>
      </c>
      <c r="H726" s="6">
        <f>+P726-I726-J726</f>
        <v>864000.0000000014</v>
      </c>
      <c r="I726" s="6">
        <f t="shared" si="141"/>
        <v>4545725.9999999991</v>
      </c>
      <c r="J726" s="6">
        <v>863687.94</v>
      </c>
      <c r="K726" s="6">
        <v>0</v>
      </c>
      <c r="L726" s="6">
        <v>0</v>
      </c>
      <c r="M726" s="6">
        <f t="shared" si="148"/>
        <v>5409726</v>
      </c>
      <c r="N726" s="6">
        <f t="shared" si="151"/>
        <v>863687.94</v>
      </c>
      <c r="O726" s="6">
        <f t="shared" si="142"/>
        <v>6273413.9399999995</v>
      </c>
      <c r="P726" s="6">
        <v>6273413.9400000004</v>
      </c>
      <c r="Q726" s="6">
        <f>+M726-14118</f>
        <v>5395608</v>
      </c>
      <c r="R726" s="6">
        <f t="shared" si="144"/>
        <v>134890.20000000001</v>
      </c>
      <c r="T726"/>
      <c r="V726"/>
    </row>
    <row r="727" spans="2:22" s="5" customFormat="1" x14ac:dyDescent="0.3">
      <c r="B727" s="5" t="s">
        <v>16</v>
      </c>
      <c r="C727" s="5" t="s">
        <v>1366</v>
      </c>
      <c r="D727" s="5" t="s">
        <v>1345</v>
      </c>
      <c r="E727" s="5" t="s">
        <v>152</v>
      </c>
      <c r="F727" s="5" t="s">
        <v>159</v>
      </c>
      <c r="G727" s="5" t="s">
        <v>160</v>
      </c>
      <c r="H727" s="6">
        <f>+P727-I727-J727</f>
        <v>0</v>
      </c>
      <c r="I727" s="6">
        <f t="shared" si="141"/>
        <v>2066460.0000000002</v>
      </c>
      <c r="J727" s="6">
        <v>392627.4</v>
      </c>
      <c r="K727" s="6">
        <v>0</v>
      </c>
      <c r="L727" s="6">
        <v>0</v>
      </c>
      <c r="M727" s="6">
        <f t="shared" si="148"/>
        <v>2066460.0000000002</v>
      </c>
      <c r="N727" s="6">
        <f t="shared" si="151"/>
        <v>392627.4</v>
      </c>
      <c r="O727" s="6">
        <f t="shared" si="142"/>
        <v>2459087.4000000004</v>
      </c>
      <c r="P727" s="6">
        <v>2459087.4</v>
      </c>
      <c r="Q727" s="6">
        <f>+M727</f>
        <v>2066460.0000000002</v>
      </c>
      <c r="R727" s="6">
        <f t="shared" si="144"/>
        <v>51661.500000000007</v>
      </c>
      <c r="T727"/>
    </row>
    <row r="728" spans="2:22" x14ac:dyDescent="0.3">
      <c r="B728" s="5" t="s">
        <v>16</v>
      </c>
      <c r="C728" s="5" t="s">
        <v>1367</v>
      </c>
      <c r="D728" s="5" t="s">
        <v>1345</v>
      </c>
      <c r="E728" s="5" t="s">
        <v>152</v>
      </c>
      <c r="F728" s="5" t="s">
        <v>159</v>
      </c>
      <c r="G728" s="5" t="s">
        <v>160</v>
      </c>
      <c r="H728" s="6">
        <f>+P728-I728-J728</f>
        <v>0</v>
      </c>
      <c r="I728" s="6">
        <f t="shared" si="141"/>
        <v>2519226</v>
      </c>
      <c r="J728" s="6">
        <v>478652.94</v>
      </c>
      <c r="K728" s="6">
        <v>0</v>
      </c>
      <c r="L728" s="6">
        <v>0</v>
      </c>
      <c r="M728" s="6">
        <f t="shared" si="148"/>
        <v>2519226</v>
      </c>
      <c r="N728" s="6">
        <f t="shared" si="151"/>
        <v>478652.94</v>
      </c>
      <c r="O728" s="6">
        <f t="shared" si="142"/>
        <v>2997878.94</v>
      </c>
      <c r="P728" s="6">
        <v>2997878.94</v>
      </c>
      <c r="Q728" s="6">
        <f>+M728</f>
        <v>2519226</v>
      </c>
      <c r="R728" s="6">
        <f t="shared" si="144"/>
        <v>62980.65</v>
      </c>
      <c r="U728" s="5"/>
      <c r="V728" s="5"/>
    </row>
    <row r="729" spans="2:22" x14ac:dyDescent="0.3">
      <c r="B729" s="5" t="s">
        <v>16</v>
      </c>
      <c r="C729" s="5" t="s">
        <v>1368</v>
      </c>
      <c r="D729" s="5" t="s">
        <v>1345</v>
      </c>
      <c r="E729" s="5" t="s">
        <v>152</v>
      </c>
      <c r="F729" s="5" t="s">
        <v>159</v>
      </c>
      <c r="G729" s="5" t="s">
        <v>160</v>
      </c>
      <c r="H729" s="6">
        <f>+P729-I729-J729</f>
        <v>657600.00000000035</v>
      </c>
      <c r="I729" s="6">
        <f t="shared" si="141"/>
        <v>1936439.9999999998</v>
      </c>
      <c r="J729" s="6">
        <v>367923.6</v>
      </c>
      <c r="K729" s="6">
        <v>0</v>
      </c>
      <c r="L729" s="6">
        <v>0</v>
      </c>
      <c r="M729" s="6">
        <f t="shared" si="148"/>
        <v>2594040</v>
      </c>
      <c r="N729" s="6">
        <f t="shared" si="151"/>
        <v>367923.6</v>
      </c>
      <c r="O729" s="6">
        <f t="shared" si="142"/>
        <v>2961963.6</v>
      </c>
      <c r="P729" s="6">
        <v>2961963.6</v>
      </c>
      <c r="Q729" s="6">
        <f>+M729</f>
        <v>2594040</v>
      </c>
      <c r="R729" s="6">
        <f t="shared" si="144"/>
        <v>64851</v>
      </c>
      <c r="U729" s="5"/>
      <c r="V729" s="5"/>
    </row>
    <row r="730" spans="2:22" x14ac:dyDescent="0.3">
      <c r="B730" s="5" t="s">
        <v>16</v>
      </c>
      <c r="C730" s="5" t="s">
        <v>1369</v>
      </c>
      <c r="D730" s="5" t="s">
        <v>1345</v>
      </c>
      <c r="E730" s="5" t="s">
        <v>1370</v>
      </c>
      <c r="F730" s="5" t="s">
        <v>159</v>
      </c>
      <c r="G730" s="5" t="s">
        <v>160</v>
      </c>
      <c r="H730" s="6">
        <v>1023000</v>
      </c>
      <c r="I730" s="6">
        <f t="shared" si="141"/>
        <v>7639910.5263157897</v>
      </c>
      <c r="J730" s="6">
        <v>1451583</v>
      </c>
      <c r="K730" s="6">
        <v>1115442</v>
      </c>
      <c r="L730" s="6">
        <f>+K730*0.05</f>
        <v>55772.100000000006</v>
      </c>
      <c r="M730" s="6">
        <f t="shared" si="148"/>
        <v>9778352.5263157897</v>
      </c>
      <c r="N730" s="6">
        <f t="shared" si="151"/>
        <v>1507355.1</v>
      </c>
      <c r="O730" s="6">
        <f t="shared" si="142"/>
        <v>11285707.626315789</v>
      </c>
      <c r="P730" s="6">
        <v>11285729.609999999</v>
      </c>
      <c r="Q730" s="6">
        <f>+M730-105544</f>
        <v>9672808.5263157897</v>
      </c>
      <c r="R730" s="6">
        <f t="shared" si="144"/>
        <v>241820.21315789476</v>
      </c>
      <c r="S730" s="5"/>
      <c r="U730" s="5"/>
      <c r="V730" s="5"/>
    </row>
    <row r="731" spans="2:22" s="5" customFormat="1" x14ac:dyDescent="0.3">
      <c r="B731" s="5" t="s">
        <v>16</v>
      </c>
      <c r="C731" s="5" t="s">
        <v>1371</v>
      </c>
      <c r="D731" s="5" t="s">
        <v>1345</v>
      </c>
      <c r="E731" s="5" t="s">
        <v>784</v>
      </c>
      <c r="F731" s="5" t="s">
        <v>159</v>
      </c>
      <c r="G731" s="5" t="s">
        <v>160</v>
      </c>
      <c r="H731" s="6">
        <f t="shared" ref="H731:H740" si="152">+P731-I731-J731</f>
        <v>0</v>
      </c>
      <c r="I731" s="6">
        <f t="shared" si="141"/>
        <v>739520</v>
      </c>
      <c r="J731" s="6">
        <v>140508.79999999999</v>
      </c>
      <c r="K731" s="6">
        <v>0</v>
      </c>
      <c r="L731" s="6">
        <v>0</v>
      </c>
      <c r="M731" s="6">
        <f t="shared" si="148"/>
        <v>739520</v>
      </c>
      <c r="N731" s="6">
        <f t="shared" si="151"/>
        <v>140508.79999999999</v>
      </c>
      <c r="O731" s="6">
        <f t="shared" si="142"/>
        <v>880028.8</v>
      </c>
      <c r="P731" s="6">
        <v>880028.8</v>
      </c>
      <c r="Q731" s="6">
        <f>+M731</f>
        <v>739520</v>
      </c>
      <c r="R731" s="6">
        <f t="shared" si="144"/>
        <v>18488</v>
      </c>
      <c r="T731"/>
    </row>
    <row r="732" spans="2:22" s="5" customFormat="1" x14ac:dyDescent="0.3">
      <c r="B732" s="5" t="s">
        <v>16</v>
      </c>
      <c r="C732" s="5" t="s">
        <v>1372</v>
      </c>
      <c r="D732" s="5" t="s">
        <v>1345</v>
      </c>
      <c r="E732" s="5" t="s">
        <v>349</v>
      </c>
      <c r="F732" s="5" t="s">
        <v>159</v>
      </c>
      <c r="G732" s="5" t="s">
        <v>160</v>
      </c>
      <c r="H732" s="6">
        <f t="shared" si="152"/>
        <v>324487.57894736843</v>
      </c>
      <c r="I732" s="6">
        <f t="shared" si="141"/>
        <v>3195828.4210526315</v>
      </c>
      <c r="J732" s="6">
        <v>607207.4</v>
      </c>
      <c r="K732" s="6">
        <v>0</v>
      </c>
      <c r="L732" s="6">
        <v>0</v>
      </c>
      <c r="M732" s="6">
        <f t="shared" si="148"/>
        <v>3520316</v>
      </c>
      <c r="N732" s="6">
        <f t="shared" si="151"/>
        <v>607207.4</v>
      </c>
      <c r="O732" s="6">
        <f t="shared" si="142"/>
        <v>4127523.4</v>
      </c>
      <c r="P732" s="6">
        <v>4127523.4</v>
      </c>
      <c r="Q732" s="6">
        <f>+M732</f>
        <v>3520316</v>
      </c>
      <c r="R732" s="6">
        <f t="shared" si="144"/>
        <v>88007.9</v>
      </c>
      <c r="T732"/>
    </row>
    <row r="733" spans="2:22" s="5" customFormat="1" x14ac:dyDescent="0.3">
      <c r="B733" s="5" t="s">
        <v>16</v>
      </c>
      <c r="C733" s="5" t="s">
        <v>1373</v>
      </c>
      <c r="D733" s="5" t="s">
        <v>1345</v>
      </c>
      <c r="E733" s="5" t="s">
        <v>784</v>
      </c>
      <c r="F733" s="5" t="s">
        <v>159</v>
      </c>
      <c r="G733" s="5" t="s">
        <v>160</v>
      </c>
      <c r="H733" s="6">
        <f t="shared" si="152"/>
        <v>0</v>
      </c>
      <c r="I733" s="6">
        <f t="shared" si="141"/>
        <v>4299384</v>
      </c>
      <c r="J733" s="6">
        <v>816882.96</v>
      </c>
      <c r="K733" s="6">
        <v>0</v>
      </c>
      <c r="L733" s="6">
        <v>0</v>
      </c>
      <c r="M733" s="6">
        <f t="shared" si="148"/>
        <v>4299384</v>
      </c>
      <c r="N733" s="6">
        <f t="shared" si="151"/>
        <v>816882.96</v>
      </c>
      <c r="O733" s="6">
        <f t="shared" si="142"/>
        <v>5116266.96</v>
      </c>
      <c r="P733" s="6">
        <v>5116266.96</v>
      </c>
      <c r="Q733" s="6">
        <f>+M733-141422-326470</f>
        <v>3831492</v>
      </c>
      <c r="R733" s="6">
        <f t="shared" si="144"/>
        <v>95787.3</v>
      </c>
      <c r="T733"/>
    </row>
    <row r="734" spans="2:22" s="5" customFormat="1" x14ac:dyDescent="0.3">
      <c r="B734" s="5" t="s">
        <v>16</v>
      </c>
      <c r="C734" s="5" t="s">
        <v>1374</v>
      </c>
      <c r="D734" s="5" t="s">
        <v>1345</v>
      </c>
      <c r="E734" s="5" t="s">
        <v>349</v>
      </c>
      <c r="F734" s="5" t="s">
        <v>159</v>
      </c>
      <c r="G734" s="5" t="s">
        <v>160</v>
      </c>
      <c r="H734" s="6">
        <f t="shared" si="152"/>
        <v>0</v>
      </c>
      <c r="I734" s="6">
        <f t="shared" ref="I734:I797" si="153">+J734/19*100</f>
        <v>4341816</v>
      </c>
      <c r="J734" s="6">
        <v>824945.04</v>
      </c>
      <c r="K734" s="6">
        <v>0</v>
      </c>
      <c r="L734" s="6">
        <v>0</v>
      </c>
      <c r="M734" s="6">
        <f t="shared" si="148"/>
        <v>4341816</v>
      </c>
      <c r="N734" s="6">
        <f t="shared" si="151"/>
        <v>824945.04</v>
      </c>
      <c r="O734" s="6">
        <f t="shared" ref="O734:O797" si="154">+M734+N734</f>
        <v>5166761.04</v>
      </c>
      <c r="P734" s="6">
        <v>5166761.04</v>
      </c>
      <c r="Q734" s="6">
        <f>+M734-77898</f>
        <v>4263918</v>
      </c>
      <c r="R734" s="6">
        <f t="shared" si="144"/>
        <v>106597.95</v>
      </c>
      <c r="T734"/>
    </row>
    <row r="735" spans="2:22" x14ac:dyDescent="0.3">
      <c r="B735" s="5" t="s">
        <v>16</v>
      </c>
      <c r="C735" s="5" t="s">
        <v>1375</v>
      </c>
      <c r="D735" s="5" t="s">
        <v>1345</v>
      </c>
      <c r="E735" s="5" t="s">
        <v>784</v>
      </c>
      <c r="F735" s="5" t="s">
        <v>159</v>
      </c>
      <c r="G735" s="5" t="s">
        <v>160</v>
      </c>
      <c r="H735" s="6">
        <f t="shared" si="152"/>
        <v>869999.99999999988</v>
      </c>
      <c r="I735" s="6">
        <f t="shared" si="153"/>
        <v>5169002</v>
      </c>
      <c r="J735" s="6">
        <v>982110.38</v>
      </c>
      <c r="K735" s="6">
        <v>0</v>
      </c>
      <c r="L735" s="6">
        <v>0</v>
      </c>
      <c r="M735" s="6">
        <f t="shared" si="148"/>
        <v>6039002</v>
      </c>
      <c r="N735" s="6">
        <f t="shared" si="151"/>
        <v>982110.38</v>
      </c>
      <c r="O735" s="6">
        <f t="shared" si="154"/>
        <v>7021112.3799999999</v>
      </c>
      <c r="P735" s="6">
        <v>7021112.3799999999</v>
      </c>
      <c r="Q735" s="6">
        <f>+M735-247056</f>
        <v>5791946</v>
      </c>
      <c r="R735" s="6">
        <f t="shared" si="144"/>
        <v>144798.65</v>
      </c>
      <c r="S735" s="5"/>
      <c r="U735" s="5"/>
      <c r="V735" s="5"/>
    </row>
    <row r="736" spans="2:22" x14ac:dyDescent="0.3">
      <c r="B736" s="5" t="s">
        <v>16</v>
      </c>
      <c r="C736" s="5" t="s">
        <v>1376</v>
      </c>
      <c r="D736" s="5" t="s">
        <v>1345</v>
      </c>
      <c r="E736" s="5" t="s">
        <v>413</v>
      </c>
      <c r="F736" s="5" t="s">
        <v>159</v>
      </c>
      <c r="G736" s="5" t="s">
        <v>160</v>
      </c>
      <c r="H736" s="6">
        <f t="shared" si="152"/>
        <v>0</v>
      </c>
      <c r="I736" s="6">
        <f t="shared" si="153"/>
        <v>1886228</v>
      </c>
      <c r="J736" s="6">
        <v>358383.32</v>
      </c>
      <c r="K736" s="6">
        <v>0</v>
      </c>
      <c r="L736" s="6">
        <v>0</v>
      </c>
      <c r="M736" s="6">
        <f t="shared" si="148"/>
        <v>1886228</v>
      </c>
      <c r="N736" s="6">
        <f t="shared" si="151"/>
        <v>358383.32</v>
      </c>
      <c r="O736" s="6">
        <f t="shared" si="154"/>
        <v>2244611.3199999998</v>
      </c>
      <c r="P736" s="6">
        <v>2244611.3199999998</v>
      </c>
      <c r="Q736" s="6">
        <f>+M736</f>
        <v>1886228</v>
      </c>
      <c r="R736" s="6">
        <f t="shared" si="144"/>
        <v>47155.7</v>
      </c>
      <c r="S736" s="5"/>
      <c r="U736" s="5"/>
      <c r="V736" s="5"/>
    </row>
    <row r="737" spans="2:22" x14ac:dyDescent="0.3">
      <c r="B737" s="5" t="s">
        <v>16</v>
      </c>
      <c r="C737" s="5" t="s">
        <v>1377</v>
      </c>
      <c r="D737" s="5" t="s">
        <v>1345</v>
      </c>
      <c r="E737" s="5" t="s">
        <v>413</v>
      </c>
      <c r="F737" s="5" t="s">
        <v>159</v>
      </c>
      <c r="G737" s="5" t="s">
        <v>160</v>
      </c>
      <c r="H737" s="6">
        <f t="shared" si="152"/>
        <v>0</v>
      </c>
      <c r="I737" s="6">
        <f t="shared" si="153"/>
        <v>2320929</v>
      </c>
      <c r="J737" s="6">
        <v>440976.51</v>
      </c>
      <c r="K737" s="6">
        <v>0</v>
      </c>
      <c r="L737" s="6">
        <v>0</v>
      </c>
      <c r="M737" s="6">
        <f t="shared" si="148"/>
        <v>2320929</v>
      </c>
      <c r="N737" s="6">
        <f t="shared" si="151"/>
        <v>440976.51</v>
      </c>
      <c r="O737" s="6">
        <f t="shared" si="154"/>
        <v>2761905.51</v>
      </c>
      <c r="P737" s="6">
        <v>2761905.51</v>
      </c>
      <c r="Q737" s="6">
        <f>+M737</f>
        <v>2320929</v>
      </c>
      <c r="R737" s="6">
        <f t="shared" si="144"/>
        <v>58023.224999999999</v>
      </c>
      <c r="S737" s="5"/>
      <c r="U737" s="5"/>
      <c r="V737" s="5"/>
    </row>
    <row r="738" spans="2:22" x14ac:dyDescent="0.3">
      <c r="B738" s="5" t="s">
        <v>16</v>
      </c>
      <c r="C738" s="5" t="s">
        <v>1378</v>
      </c>
      <c r="D738" s="5" t="s">
        <v>1345</v>
      </c>
      <c r="E738" s="5" t="s">
        <v>610</v>
      </c>
      <c r="F738" s="5" t="s">
        <v>159</v>
      </c>
      <c r="G738" s="5" t="s">
        <v>160</v>
      </c>
      <c r="H738" s="6">
        <f t="shared" si="152"/>
        <v>494512.42105263151</v>
      </c>
      <c r="I738" s="6">
        <f t="shared" si="153"/>
        <v>2111580.5789473685</v>
      </c>
      <c r="J738" s="6">
        <v>401200.31</v>
      </c>
      <c r="K738" s="6">
        <v>0</v>
      </c>
      <c r="L738" s="6">
        <v>0</v>
      </c>
      <c r="M738" s="6">
        <f t="shared" si="148"/>
        <v>2606093</v>
      </c>
      <c r="N738" s="6">
        <f t="shared" si="151"/>
        <v>401200.31</v>
      </c>
      <c r="O738" s="6">
        <f t="shared" si="154"/>
        <v>3007293.31</v>
      </c>
      <c r="P738" s="6">
        <v>3007293.31</v>
      </c>
      <c r="Q738" s="6">
        <f>+M738-252924</f>
        <v>2353169</v>
      </c>
      <c r="R738" s="6">
        <f t="shared" si="144"/>
        <v>58829.224999999999</v>
      </c>
      <c r="S738" s="5"/>
      <c r="U738" s="5"/>
      <c r="V738" s="5"/>
    </row>
    <row r="739" spans="2:22" s="5" customFormat="1" x14ac:dyDescent="0.3">
      <c r="B739" s="5" t="s">
        <v>16</v>
      </c>
      <c r="C739" s="5" t="s">
        <v>1379</v>
      </c>
      <c r="D739" s="5" t="s">
        <v>1345</v>
      </c>
      <c r="E739" s="5" t="s">
        <v>435</v>
      </c>
      <c r="F739" s="5" t="s">
        <v>159</v>
      </c>
      <c r="G739" s="5" t="s">
        <v>160</v>
      </c>
      <c r="H739" s="6">
        <f t="shared" si="152"/>
        <v>333599.99999999988</v>
      </c>
      <c r="I739" s="6">
        <f t="shared" si="153"/>
        <v>2329019</v>
      </c>
      <c r="J739" s="6">
        <v>442513.61</v>
      </c>
      <c r="K739" s="6">
        <v>0</v>
      </c>
      <c r="L739" s="6">
        <v>0</v>
      </c>
      <c r="M739" s="6">
        <f t="shared" si="148"/>
        <v>2662619</v>
      </c>
      <c r="N739" s="6">
        <f t="shared" si="151"/>
        <v>442513.61</v>
      </c>
      <c r="O739" s="6">
        <f t="shared" si="154"/>
        <v>3105132.61</v>
      </c>
      <c r="P739" s="6">
        <v>3105132.61</v>
      </c>
      <c r="Q739" s="6">
        <f t="shared" ref="Q739:Q744" si="155">+M739</f>
        <v>2662619</v>
      </c>
      <c r="R739" s="6">
        <f t="shared" si="144"/>
        <v>66565.475000000006</v>
      </c>
      <c r="T739"/>
    </row>
    <row r="740" spans="2:22" s="5" customFormat="1" x14ac:dyDescent="0.3">
      <c r="B740" s="5" t="s">
        <v>16</v>
      </c>
      <c r="C740" s="5" t="s">
        <v>1380</v>
      </c>
      <c r="D740" s="5" t="s">
        <v>1345</v>
      </c>
      <c r="E740" s="5" t="s">
        <v>435</v>
      </c>
      <c r="F740" s="5" t="s">
        <v>159</v>
      </c>
      <c r="G740" s="5" t="s">
        <v>160</v>
      </c>
      <c r="H740" s="6">
        <f t="shared" si="152"/>
        <v>0</v>
      </c>
      <c r="I740" s="6">
        <f t="shared" si="153"/>
        <v>4637897</v>
      </c>
      <c r="J740" s="6">
        <v>881200.43</v>
      </c>
      <c r="K740" s="6">
        <v>0</v>
      </c>
      <c r="L740" s="6">
        <v>0</v>
      </c>
      <c r="M740" s="6">
        <f t="shared" si="148"/>
        <v>4637897</v>
      </c>
      <c r="N740" s="6">
        <f t="shared" si="151"/>
        <v>881200.43</v>
      </c>
      <c r="O740" s="6">
        <f t="shared" si="154"/>
        <v>5519097.4299999997</v>
      </c>
      <c r="P740" s="6">
        <v>5519097.4299999997</v>
      </c>
      <c r="Q740" s="6">
        <f t="shared" si="155"/>
        <v>4637897</v>
      </c>
      <c r="R740" s="6">
        <f t="shared" si="144"/>
        <v>115947.425</v>
      </c>
      <c r="T740"/>
      <c r="U740" s="6"/>
    </row>
    <row r="741" spans="2:22" x14ac:dyDescent="0.3">
      <c r="B741" s="5" t="s">
        <v>16</v>
      </c>
      <c r="C741" s="5" t="s">
        <v>1381</v>
      </c>
      <c r="D741" s="5" t="s">
        <v>1345</v>
      </c>
      <c r="E741" s="5" t="s">
        <v>418</v>
      </c>
      <c r="F741" s="5" t="s">
        <v>159</v>
      </c>
      <c r="G741" s="5" t="s">
        <v>160</v>
      </c>
      <c r="H741" s="6">
        <f>+P741-I741-J741-K741-L741</f>
        <v>-2.3283064365386963E-10</v>
      </c>
      <c r="I741" s="6">
        <f t="shared" si="153"/>
        <v>2080954</v>
      </c>
      <c r="J741" s="6">
        <v>395381.26</v>
      </c>
      <c r="K741" s="6">
        <v>0</v>
      </c>
      <c r="L741" s="6">
        <v>0</v>
      </c>
      <c r="M741" s="6">
        <f t="shared" si="148"/>
        <v>2080953.9999999998</v>
      </c>
      <c r="N741" s="6">
        <f t="shared" si="151"/>
        <v>395381.26</v>
      </c>
      <c r="O741" s="6">
        <f t="shared" si="154"/>
        <v>2476335.2599999998</v>
      </c>
      <c r="P741" s="6">
        <v>2476335.2599999998</v>
      </c>
      <c r="Q741" s="6">
        <f t="shared" si="155"/>
        <v>2080953.9999999998</v>
      </c>
      <c r="R741" s="6">
        <f t="shared" si="144"/>
        <v>52023.849999999991</v>
      </c>
      <c r="S741" s="5"/>
      <c r="U741" s="5"/>
      <c r="V741" s="5"/>
    </row>
    <row r="742" spans="2:22" s="5" customFormat="1" x14ac:dyDescent="0.3">
      <c r="B742" s="5" t="s">
        <v>16</v>
      </c>
      <c r="C742" s="5" t="s">
        <v>1382</v>
      </c>
      <c r="D742" s="5" t="s">
        <v>1345</v>
      </c>
      <c r="E742" s="5" t="s">
        <v>620</v>
      </c>
      <c r="F742" s="5" t="s">
        <v>159</v>
      </c>
      <c r="G742" s="5" t="s">
        <v>160</v>
      </c>
      <c r="H742" s="6">
        <f>+P742-I742-J742-K742-L742</f>
        <v>1686399.9999999998</v>
      </c>
      <c r="I742" s="6">
        <f t="shared" si="153"/>
        <v>830912.00000000012</v>
      </c>
      <c r="J742" s="6">
        <v>157873.28</v>
      </c>
      <c r="K742" s="6">
        <v>0</v>
      </c>
      <c r="L742" s="6">
        <v>0</v>
      </c>
      <c r="M742" s="6">
        <f t="shared" si="148"/>
        <v>2517312</v>
      </c>
      <c r="N742" s="6">
        <f t="shared" si="151"/>
        <v>157873.28</v>
      </c>
      <c r="O742" s="6">
        <f t="shared" si="154"/>
        <v>2675185.2799999998</v>
      </c>
      <c r="P742" s="6">
        <v>2675185.2799999998</v>
      </c>
      <c r="Q742" s="6">
        <f t="shared" si="155"/>
        <v>2517312</v>
      </c>
      <c r="R742" s="6">
        <f t="shared" si="144"/>
        <v>62932.800000000003</v>
      </c>
      <c r="T742"/>
      <c r="U742"/>
      <c r="V742"/>
    </row>
    <row r="743" spans="2:22" s="5" customFormat="1" x14ac:dyDescent="0.3">
      <c r="B743" s="5" t="s">
        <v>16</v>
      </c>
      <c r="C743" s="5" t="s">
        <v>1383</v>
      </c>
      <c r="D743" s="5" t="s">
        <v>1345</v>
      </c>
      <c r="E743" s="5" t="s">
        <v>620</v>
      </c>
      <c r="F743" s="5" t="s">
        <v>159</v>
      </c>
      <c r="G743" s="5" t="s">
        <v>160</v>
      </c>
      <c r="H743" s="6">
        <f>+P743-I743-J743-K743-L743</f>
        <v>1.1641532182693481E-10</v>
      </c>
      <c r="I743" s="6">
        <f t="shared" si="153"/>
        <v>2656656</v>
      </c>
      <c r="J743" s="6">
        <v>504764.64</v>
      </c>
      <c r="K743" s="6">
        <v>0</v>
      </c>
      <c r="L743" s="6">
        <v>0</v>
      </c>
      <c r="M743" s="6">
        <f t="shared" si="148"/>
        <v>2656656</v>
      </c>
      <c r="N743" s="6">
        <f t="shared" si="151"/>
        <v>504764.64</v>
      </c>
      <c r="O743" s="6">
        <f t="shared" si="154"/>
        <v>3161420.64</v>
      </c>
      <c r="P743" s="6">
        <v>3161420.64</v>
      </c>
      <c r="Q743" s="6">
        <f t="shared" si="155"/>
        <v>2656656</v>
      </c>
      <c r="R743" s="6">
        <f t="shared" si="144"/>
        <v>66416.399999999994</v>
      </c>
      <c r="T743"/>
    </row>
    <row r="744" spans="2:22" s="5" customFormat="1" x14ac:dyDescent="0.3">
      <c r="B744" s="5" t="s">
        <v>16</v>
      </c>
      <c r="C744" s="5" t="s">
        <v>1384</v>
      </c>
      <c r="D744" s="5" t="s">
        <v>1345</v>
      </c>
      <c r="E744" s="5" t="s">
        <v>620</v>
      </c>
      <c r="F744" s="5" t="s">
        <v>159</v>
      </c>
      <c r="G744" s="5" t="s">
        <v>160</v>
      </c>
      <c r="H744" s="6">
        <f>+P744-I744-J744-K744-L744</f>
        <v>1077600.0000000002</v>
      </c>
      <c r="I744" s="6">
        <f t="shared" si="153"/>
        <v>3077796</v>
      </c>
      <c r="J744" s="6">
        <v>584781.24</v>
      </c>
      <c r="K744" s="6">
        <v>0</v>
      </c>
      <c r="L744" s="6">
        <v>0</v>
      </c>
      <c r="M744" s="6">
        <f t="shared" si="148"/>
        <v>4155396</v>
      </c>
      <c r="N744" s="6">
        <f t="shared" si="151"/>
        <v>584781.24</v>
      </c>
      <c r="O744" s="6">
        <f t="shared" si="154"/>
        <v>4740177.24</v>
      </c>
      <c r="P744" s="6">
        <v>4740177.24</v>
      </c>
      <c r="Q744" s="6">
        <f t="shared" si="155"/>
        <v>4155396</v>
      </c>
      <c r="R744" s="6">
        <f t="shared" si="144"/>
        <v>103884.9</v>
      </c>
      <c r="T744"/>
    </row>
    <row r="745" spans="2:22" s="5" customFormat="1" x14ac:dyDescent="0.3">
      <c r="B745" s="5" t="s">
        <v>16</v>
      </c>
      <c r="C745" s="5" t="s">
        <v>1385</v>
      </c>
      <c r="D745" s="5" t="s">
        <v>1345</v>
      </c>
      <c r="E745" s="5" t="s">
        <v>1324</v>
      </c>
      <c r="F745" s="5" t="s">
        <v>159</v>
      </c>
      <c r="G745" s="5" t="s">
        <v>160</v>
      </c>
      <c r="H745" s="6">
        <v>0</v>
      </c>
      <c r="I745" s="6">
        <f t="shared" si="153"/>
        <v>15882</v>
      </c>
      <c r="J745" s="6">
        <v>3017.58</v>
      </c>
      <c r="K745" s="6">
        <v>0</v>
      </c>
      <c r="L745" s="6">
        <v>0</v>
      </c>
      <c r="M745" s="6">
        <f t="shared" si="148"/>
        <v>15882</v>
      </c>
      <c r="N745" s="6">
        <f t="shared" si="151"/>
        <v>3017.58</v>
      </c>
      <c r="O745" s="6">
        <f t="shared" si="154"/>
        <v>18899.580000000002</v>
      </c>
      <c r="P745" s="6">
        <v>18899.580000000002</v>
      </c>
      <c r="Q745" s="6">
        <v>0</v>
      </c>
      <c r="R745" s="6">
        <f t="shared" si="144"/>
        <v>0</v>
      </c>
      <c r="T745"/>
    </row>
    <row r="746" spans="2:22" s="5" customFormat="1" x14ac:dyDescent="0.3">
      <c r="B746" s="5" t="s">
        <v>16</v>
      </c>
      <c r="C746" s="5" t="s">
        <v>1386</v>
      </c>
      <c r="D746" s="5" t="s">
        <v>1345</v>
      </c>
      <c r="E746" s="5" t="s">
        <v>1324</v>
      </c>
      <c r="F746" s="5" t="s">
        <v>159</v>
      </c>
      <c r="G746" s="5" t="s">
        <v>160</v>
      </c>
      <c r="H746" s="6">
        <v>0</v>
      </c>
      <c r="I746" s="6">
        <f t="shared" si="153"/>
        <v>796650</v>
      </c>
      <c r="J746" s="6">
        <v>151363.5</v>
      </c>
      <c r="K746" s="6">
        <v>0</v>
      </c>
      <c r="L746" s="6">
        <v>0</v>
      </c>
      <c r="M746" s="6">
        <f t="shared" si="148"/>
        <v>796650</v>
      </c>
      <c r="N746" s="6">
        <f t="shared" si="151"/>
        <v>151363.5</v>
      </c>
      <c r="O746" s="6">
        <f t="shared" si="154"/>
        <v>948013.5</v>
      </c>
      <c r="P746" s="6">
        <v>948013.5</v>
      </c>
      <c r="Q746" s="6">
        <f>+M746</f>
        <v>796650</v>
      </c>
      <c r="R746" s="6">
        <f t="shared" si="144"/>
        <v>19916.25</v>
      </c>
      <c r="T746"/>
    </row>
    <row r="747" spans="2:22" s="5" customFormat="1" x14ac:dyDescent="0.3">
      <c r="B747" s="5" t="s">
        <v>16</v>
      </c>
      <c r="C747" s="5" t="s">
        <v>1387</v>
      </c>
      <c r="D747" s="5" t="s">
        <v>1345</v>
      </c>
      <c r="E747" s="5" t="s">
        <v>1324</v>
      </c>
      <c r="F747" s="5" t="s">
        <v>159</v>
      </c>
      <c r="G747" s="5" t="s">
        <v>160</v>
      </c>
      <c r="H747" s="6">
        <v>0</v>
      </c>
      <c r="I747" s="6">
        <f t="shared" si="153"/>
        <v>3136505</v>
      </c>
      <c r="J747" s="6">
        <v>595935.94999999995</v>
      </c>
      <c r="K747" s="6">
        <v>0</v>
      </c>
      <c r="L747" s="6">
        <v>0</v>
      </c>
      <c r="M747" s="6">
        <f t="shared" si="148"/>
        <v>3136505</v>
      </c>
      <c r="N747" s="6">
        <f t="shared" si="151"/>
        <v>595935.94999999995</v>
      </c>
      <c r="O747" s="6">
        <f t="shared" si="154"/>
        <v>3732440.95</v>
      </c>
      <c r="P747" s="6">
        <v>3732440.95</v>
      </c>
      <c r="Q747" s="6">
        <f>+M747</f>
        <v>3136505</v>
      </c>
      <c r="R747" s="6">
        <f t="shared" si="144"/>
        <v>78412.625</v>
      </c>
      <c r="T747"/>
      <c r="U747"/>
      <c r="V747"/>
    </row>
    <row r="748" spans="2:22" s="5" customFormat="1" x14ac:dyDescent="0.3">
      <c r="B748" s="5" t="s">
        <v>16</v>
      </c>
      <c r="C748" s="5" t="s">
        <v>1388</v>
      </c>
      <c r="D748" s="5" t="s">
        <v>1345</v>
      </c>
      <c r="E748" s="5" t="s">
        <v>1324</v>
      </c>
      <c r="F748" s="5" t="s">
        <v>159</v>
      </c>
      <c r="G748" s="5" t="s">
        <v>160</v>
      </c>
      <c r="H748" s="6">
        <v>0</v>
      </c>
      <c r="I748" s="6">
        <f t="shared" si="153"/>
        <v>3819311</v>
      </c>
      <c r="J748" s="6">
        <v>725669.09</v>
      </c>
      <c r="K748" s="6">
        <v>0</v>
      </c>
      <c r="L748" s="6">
        <v>0</v>
      </c>
      <c r="M748" s="6">
        <f t="shared" si="148"/>
        <v>3819311</v>
      </c>
      <c r="N748" s="6">
        <f t="shared" si="151"/>
        <v>725669.09</v>
      </c>
      <c r="O748" s="6">
        <f t="shared" si="154"/>
        <v>4544980.09</v>
      </c>
      <c r="P748" s="6">
        <v>4544980.09</v>
      </c>
      <c r="Q748" s="6">
        <f>+M748</f>
        <v>3819311</v>
      </c>
      <c r="R748" s="6">
        <f t="shared" si="144"/>
        <v>95482.774999999994</v>
      </c>
      <c r="T748"/>
      <c r="U748"/>
      <c r="V748"/>
    </row>
    <row r="749" spans="2:22" s="5" customFormat="1" x14ac:dyDescent="0.3">
      <c r="B749" s="5" t="s">
        <v>16</v>
      </c>
      <c r="C749" s="5" t="s">
        <v>1389</v>
      </c>
      <c r="D749" s="5" t="s">
        <v>1345</v>
      </c>
      <c r="E749" s="5" t="s">
        <v>1324</v>
      </c>
      <c r="F749" s="5" t="s">
        <v>159</v>
      </c>
      <c r="G749" s="5" t="s">
        <v>160</v>
      </c>
      <c r="H749" s="6">
        <v>0</v>
      </c>
      <c r="I749" s="6">
        <f t="shared" si="153"/>
        <v>7398092.9999999991</v>
      </c>
      <c r="J749" s="6">
        <v>1405637.67</v>
      </c>
      <c r="K749" s="6">
        <v>0</v>
      </c>
      <c r="L749" s="6">
        <v>0</v>
      </c>
      <c r="M749" s="6">
        <f t="shared" si="148"/>
        <v>7398092.9999999991</v>
      </c>
      <c r="N749" s="6">
        <f t="shared" si="151"/>
        <v>1405637.67</v>
      </c>
      <c r="O749" s="6">
        <f t="shared" si="154"/>
        <v>8803730.6699999981</v>
      </c>
      <c r="P749" s="6">
        <v>8803730.6699999999</v>
      </c>
      <c r="Q749" s="6">
        <f>+M749</f>
        <v>7398092.9999999991</v>
      </c>
      <c r="R749" s="6">
        <f t="shared" si="144"/>
        <v>184952.32499999995</v>
      </c>
      <c r="S749"/>
      <c r="T749"/>
      <c r="U749"/>
      <c r="V749"/>
    </row>
    <row r="750" spans="2:22" s="5" customFormat="1" x14ac:dyDescent="0.3">
      <c r="B750" s="5" t="s">
        <v>16</v>
      </c>
      <c r="C750" s="5" t="s">
        <v>1390</v>
      </c>
      <c r="D750" s="5" t="s">
        <v>1345</v>
      </c>
      <c r="E750" s="5" t="s">
        <v>61</v>
      </c>
      <c r="F750" s="5" t="s">
        <v>159</v>
      </c>
      <c r="G750" s="5" t="s">
        <v>160</v>
      </c>
      <c r="H750" s="6">
        <f>+P750-I750-J750-K750-L750</f>
        <v>1267200</v>
      </c>
      <c r="I750" s="6">
        <f t="shared" si="153"/>
        <v>615120</v>
      </c>
      <c r="J750" s="6">
        <v>116872.8</v>
      </c>
      <c r="K750" s="6">
        <v>0</v>
      </c>
      <c r="L750" s="6">
        <v>0</v>
      </c>
      <c r="M750" s="6">
        <f t="shared" si="148"/>
        <v>1882320</v>
      </c>
      <c r="N750" s="6">
        <f t="shared" si="151"/>
        <v>116872.8</v>
      </c>
      <c r="O750" s="6">
        <f t="shared" si="154"/>
        <v>1999192.8</v>
      </c>
      <c r="P750" s="6">
        <v>1999192.8</v>
      </c>
      <c r="Q750" s="6">
        <f>+M750-1882320</f>
        <v>0</v>
      </c>
      <c r="R750" s="6">
        <f t="shared" si="144"/>
        <v>0</v>
      </c>
      <c r="T750"/>
    </row>
    <row r="751" spans="2:22" s="5" customFormat="1" x14ac:dyDescent="0.3">
      <c r="B751" s="5" t="s">
        <v>16</v>
      </c>
      <c r="C751" s="5" t="s">
        <v>1391</v>
      </c>
      <c r="D751" s="5" t="s">
        <v>1345</v>
      </c>
      <c r="E751" s="5" t="s">
        <v>1063</v>
      </c>
      <c r="F751" s="5" t="s">
        <v>159</v>
      </c>
      <c r="G751" s="5" t="s">
        <v>160</v>
      </c>
      <c r="H751" s="6">
        <f>+P751-I751-J751</f>
        <v>0</v>
      </c>
      <c r="I751" s="6">
        <f t="shared" si="153"/>
        <v>132606</v>
      </c>
      <c r="J751" s="6">
        <v>25195.14</v>
      </c>
      <c r="K751" s="6">
        <v>0</v>
      </c>
      <c r="L751" s="6">
        <v>0</v>
      </c>
      <c r="M751" s="6">
        <f t="shared" si="148"/>
        <v>132606</v>
      </c>
      <c r="N751" s="6">
        <f t="shared" si="151"/>
        <v>25195.14</v>
      </c>
      <c r="O751" s="6">
        <f t="shared" si="154"/>
        <v>157801.14000000001</v>
      </c>
      <c r="P751" s="6">
        <v>157801.14000000001</v>
      </c>
      <c r="Q751" s="6">
        <v>0</v>
      </c>
      <c r="R751" s="6">
        <f t="shared" si="144"/>
        <v>0</v>
      </c>
      <c r="T751"/>
      <c r="U751"/>
      <c r="V751"/>
    </row>
    <row r="752" spans="2:22" s="5" customFormat="1" x14ac:dyDescent="0.3">
      <c r="B752" s="5" t="s">
        <v>16</v>
      </c>
      <c r="C752" s="5" t="s">
        <v>1392</v>
      </c>
      <c r="D752" s="5" t="s">
        <v>1345</v>
      </c>
      <c r="E752" s="5" t="s">
        <v>61</v>
      </c>
      <c r="F752" s="5" t="s">
        <v>159</v>
      </c>
      <c r="G752" s="5" t="s">
        <v>160</v>
      </c>
      <c r="H752" s="6">
        <f>+P752-I752-J752-K752-L752</f>
        <v>2.3283064365386963E-10</v>
      </c>
      <c r="I752" s="6">
        <f t="shared" si="153"/>
        <v>6927539</v>
      </c>
      <c r="J752" s="6">
        <v>1316232.4099999999</v>
      </c>
      <c r="K752" s="6">
        <v>0</v>
      </c>
      <c r="L752" s="6">
        <v>0</v>
      </c>
      <c r="M752" s="6">
        <f t="shared" si="148"/>
        <v>6927539</v>
      </c>
      <c r="N752" s="6">
        <f t="shared" si="151"/>
        <v>1316232.4099999999</v>
      </c>
      <c r="O752" s="6">
        <f t="shared" si="154"/>
        <v>8243771.4100000001</v>
      </c>
      <c r="P752" s="6">
        <v>8243771.4100000001</v>
      </c>
      <c r="Q752" s="6">
        <f>+M752</f>
        <v>6927539</v>
      </c>
      <c r="R752" s="6">
        <f t="shared" si="144"/>
        <v>173188.47500000001</v>
      </c>
      <c r="T752"/>
    </row>
    <row r="753" spans="2:22" s="5" customFormat="1" x14ac:dyDescent="0.3">
      <c r="B753" s="5" t="s">
        <v>16</v>
      </c>
      <c r="C753" s="5" t="s">
        <v>1393</v>
      </c>
      <c r="D753" s="5" t="s">
        <v>1345</v>
      </c>
      <c r="E753" s="5" t="s">
        <v>61</v>
      </c>
      <c r="F753" s="5" t="s">
        <v>159</v>
      </c>
      <c r="G753" s="5" t="s">
        <v>160</v>
      </c>
      <c r="H753" s="6">
        <f>+P753-I753-J753-K753-L753</f>
        <v>-9.3132257461547852E-10</v>
      </c>
      <c r="I753" s="6">
        <f t="shared" si="153"/>
        <v>7910607.0000000009</v>
      </c>
      <c r="J753" s="6">
        <v>1503015.33</v>
      </c>
      <c r="K753" s="6">
        <v>0</v>
      </c>
      <c r="L753" s="6">
        <v>0</v>
      </c>
      <c r="M753" s="6">
        <f t="shared" si="148"/>
        <v>7910607</v>
      </c>
      <c r="N753" s="6">
        <f t="shared" si="151"/>
        <v>1503015.33</v>
      </c>
      <c r="O753" s="6">
        <f t="shared" si="154"/>
        <v>9413622.3300000001</v>
      </c>
      <c r="P753" s="6">
        <v>9413622.3300000001</v>
      </c>
      <c r="Q753" s="6">
        <f>+M753-173440</f>
        <v>7737167</v>
      </c>
      <c r="R753" s="6">
        <f t="shared" si="144"/>
        <v>193429.17499999999</v>
      </c>
      <c r="T753"/>
    </row>
    <row r="754" spans="2:22" s="5" customFormat="1" x14ac:dyDescent="0.3">
      <c r="B754" s="5" t="s">
        <v>16</v>
      </c>
      <c r="C754" s="5" t="s">
        <v>1394</v>
      </c>
      <c r="D754" s="5" t="s">
        <v>1395</v>
      </c>
      <c r="E754" s="5" t="s">
        <v>1254</v>
      </c>
      <c r="F754" s="5" t="s">
        <v>441</v>
      </c>
      <c r="G754" s="5" t="s">
        <v>442</v>
      </c>
      <c r="H754" s="6">
        <f>+P754-I754-J754-K754-L754</f>
        <v>7.9473682679235935E-2</v>
      </c>
      <c r="I754" s="6">
        <f t="shared" si="153"/>
        <v>26491193.210526317</v>
      </c>
      <c r="J754" s="6">
        <v>5033326.71</v>
      </c>
      <c r="K754" s="6">
        <v>0</v>
      </c>
      <c r="L754" s="6">
        <v>0</v>
      </c>
      <c r="M754" s="6">
        <f t="shared" si="148"/>
        <v>26491193.289999999</v>
      </c>
      <c r="N754" s="6">
        <f t="shared" si="151"/>
        <v>5033326.71</v>
      </c>
      <c r="O754" s="6">
        <f t="shared" si="154"/>
        <v>31524520</v>
      </c>
      <c r="P754" s="6">
        <v>31524520</v>
      </c>
      <c r="Q754" s="6">
        <f>+M754</f>
        <v>26491193.289999999</v>
      </c>
      <c r="R754" s="6">
        <f t="shared" si="144"/>
        <v>662279.83224999998</v>
      </c>
      <c r="S754"/>
      <c r="T754"/>
    </row>
    <row r="755" spans="2:22" s="5" customFormat="1" x14ac:dyDescent="0.3">
      <c r="B755" s="5" t="s">
        <v>16</v>
      </c>
      <c r="C755" s="5" t="s">
        <v>1396</v>
      </c>
      <c r="D755" s="5" t="s">
        <v>29</v>
      </c>
      <c r="E755" s="5" t="s">
        <v>694</v>
      </c>
      <c r="F755" s="5" t="s">
        <v>31</v>
      </c>
      <c r="G755" s="5" t="s">
        <v>32</v>
      </c>
      <c r="H755" s="6">
        <v>1.421052630757913E-2</v>
      </c>
      <c r="I755" s="6">
        <f t="shared" si="153"/>
        <v>2198319.3157894737</v>
      </c>
      <c r="J755" s="6">
        <v>417680.67</v>
      </c>
      <c r="K755" s="6"/>
      <c r="L755" s="6"/>
      <c r="M755" s="6">
        <f>+H755+I755</f>
        <v>2198319.33</v>
      </c>
      <c r="N755" s="6">
        <f>+J755</f>
        <v>417680.67</v>
      </c>
      <c r="O755" s="6">
        <f t="shared" si="154"/>
        <v>2616000</v>
      </c>
      <c r="P755" s="6">
        <v>2616000</v>
      </c>
      <c r="Q755" s="6">
        <f>+M755</f>
        <v>2198319.33</v>
      </c>
      <c r="R755" s="6">
        <f t="shared" si="144"/>
        <v>54957.983250000005</v>
      </c>
      <c r="T755"/>
    </row>
    <row r="756" spans="2:22" s="5" customFormat="1" x14ac:dyDescent="0.3">
      <c r="B756" s="5" t="s">
        <v>16</v>
      </c>
      <c r="C756" s="5" t="s">
        <v>1397</v>
      </c>
      <c r="D756" s="5" t="s">
        <v>1398</v>
      </c>
      <c r="E756" s="5" t="s">
        <v>730</v>
      </c>
      <c r="F756" s="5" t="s">
        <v>1399</v>
      </c>
      <c r="G756" s="5" t="s">
        <v>1400</v>
      </c>
      <c r="H756" s="6">
        <v>0</v>
      </c>
      <c r="I756" s="6">
        <f t="shared" si="153"/>
        <v>265546.21052631579</v>
      </c>
      <c r="J756" s="6">
        <v>50453.78</v>
      </c>
      <c r="K756" s="6">
        <v>0</v>
      </c>
      <c r="L756" s="6">
        <v>0</v>
      </c>
      <c r="M756" s="6">
        <f>+H756+I756+K756</f>
        <v>265546.21052631579</v>
      </c>
      <c r="N756" s="6">
        <f>+J756+L756</f>
        <v>50453.78</v>
      </c>
      <c r="O756" s="6">
        <f t="shared" si="154"/>
        <v>315999.99052631576</v>
      </c>
      <c r="P756" s="6">
        <v>316000</v>
      </c>
      <c r="Q756" s="6">
        <v>0</v>
      </c>
      <c r="R756" s="6">
        <f t="shared" ref="R756:R819" si="156">+Q756*2.5/100</f>
        <v>0</v>
      </c>
      <c r="T756"/>
    </row>
    <row r="757" spans="2:22" s="5" customFormat="1" x14ac:dyDescent="0.3">
      <c r="B757" s="5" t="s">
        <v>16</v>
      </c>
      <c r="C757" s="5" t="s">
        <v>1401</v>
      </c>
      <c r="D757" s="5" t="s">
        <v>141</v>
      </c>
      <c r="E757" s="5" t="s">
        <v>1086</v>
      </c>
      <c r="F757" s="5" t="s">
        <v>143</v>
      </c>
      <c r="G757" s="5" t="s">
        <v>144</v>
      </c>
      <c r="H757" s="6">
        <v>-2.1052631577476859</v>
      </c>
      <c r="I757" s="6">
        <f t="shared" si="153"/>
        <v>1109242.1052631577</v>
      </c>
      <c r="J757" s="6">
        <v>210756</v>
      </c>
      <c r="K757" s="6"/>
      <c r="L757" s="6"/>
      <c r="M757" s="6">
        <f>+H757+I757</f>
        <v>1109240</v>
      </c>
      <c r="N757" s="6">
        <f>+J757</f>
        <v>210756</v>
      </c>
      <c r="O757" s="6">
        <f t="shared" si="154"/>
        <v>1319996</v>
      </c>
      <c r="P757" s="6">
        <v>1319996</v>
      </c>
      <c r="Q757" s="6"/>
      <c r="R757" s="6">
        <f t="shared" si="156"/>
        <v>0</v>
      </c>
      <c r="T757"/>
      <c r="U757"/>
    </row>
    <row r="758" spans="2:22" s="5" customFormat="1" x14ac:dyDescent="0.3">
      <c r="B758" s="5" t="s">
        <v>16</v>
      </c>
      <c r="C758" s="5" t="s">
        <v>1402</v>
      </c>
      <c r="D758" s="5" t="s">
        <v>141</v>
      </c>
      <c r="E758" s="5" t="s">
        <v>1086</v>
      </c>
      <c r="F758" s="5" t="s">
        <v>143</v>
      </c>
      <c r="G758" s="5" t="s">
        <v>144</v>
      </c>
      <c r="H758" s="6">
        <v>0</v>
      </c>
      <c r="I758" s="6">
        <f t="shared" si="153"/>
        <v>1029400</v>
      </c>
      <c r="J758" s="6">
        <v>195586</v>
      </c>
      <c r="K758" s="6"/>
      <c r="L758" s="6"/>
      <c r="M758" s="6">
        <f>+H758+I758</f>
        <v>1029400</v>
      </c>
      <c r="N758" s="6">
        <f>+J758</f>
        <v>195586</v>
      </c>
      <c r="O758" s="6">
        <f t="shared" si="154"/>
        <v>1224986</v>
      </c>
      <c r="P758" s="6">
        <v>1224986</v>
      </c>
      <c r="Q758" s="6"/>
      <c r="R758" s="6">
        <f t="shared" si="156"/>
        <v>0</v>
      </c>
      <c r="T758"/>
    </row>
    <row r="759" spans="2:22" s="5" customFormat="1" x14ac:dyDescent="0.3">
      <c r="B759" s="7" t="s">
        <v>16</v>
      </c>
      <c r="C759" s="7" t="s">
        <v>1403</v>
      </c>
      <c r="D759" s="7" t="s">
        <v>141</v>
      </c>
      <c r="E759" s="7" t="s">
        <v>640</v>
      </c>
      <c r="F759" s="7" t="s">
        <v>143</v>
      </c>
      <c r="G759" s="7" t="s">
        <v>144</v>
      </c>
      <c r="H759" s="8">
        <f>+P759-I759-J759</f>
        <v>1075640</v>
      </c>
      <c r="I759" s="8">
        <f t="shared" si="153"/>
        <v>0</v>
      </c>
      <c r="J759" s="8">
        <v>0</v>
      </c>
      <c r="K759" s="8">
        <v>0</v>
      </c>
      <c r="L759" s="8">
        <v>0</v>
      </c>
      <c r="M759" s="8">
        <f>+I759+H759</f>
        <v>1075640</v>
      </c>
      <c r="N759" s="8">
        <f>+J759+L759</f>
        <v>0</v>
      </c>
      <c r="O759" s="8">
        <f t="shared" si="154"/>
        <v>1075640</v>
      </c>
      <c r="P759" s="8">
        <v>1075640</v>
      </c>
      <c r="Q759" s="8">
        <v>0</v>
      </c>
      <c r="R759" s="8">
        <f t="shared" si="156"/>
        <v>0</v>
      </c>
      <c r="T759"/>
    </row>
    <row r="760" spans="2:22" s="5" customFormat="1" x14ac:dyDescent="0.3">
      <c r="B760" s="7" t="s">
        <v>16</v>
      </c>
      <c r="C760" s="7" t="s">
        <v>1404</v>
      </c>
      <c r="D760" s="7" t="s">
        <v>141</v>
      </c>
      <c r="E760" s="7" t="s">
        <v>640</v>
      </c>
      <c r="F760" s="7" t="s">
        <v>143</v>
      </c>
      <c r="G760" s="7" t="s">
        <v>144</v>
      </c>
      <c r="H760" s="8">
        <f>+P760-I760-J760</f>
        <v>-2.1052631577476859</v>
      </c>
      <c r="I760" s="8">
        <f t="shared" si="153"/>
        <v>1109242.1052631577</v>
      </c>
      <c r="J760" s="8">
        <v>210756</v>
      </c>
      <c r="K760" s="8">
        <v>0</v>
      </c>
      <c r="L760" s="8">
        <v>0</v>
      </c>
      <c r="M760" s="8">
        <f>+I760+H760</f>
        <v>1109240</v>
      </c>
      <c r="N760" s="8">
        <f>+J760+L760</f>
        <v>210756</v>
      </c>
      <c r="O760" s="8">
        <f t="shared" si="154"/>
        <v>1319996</v>
      </c>
      <c r="P760" s="8">
        <v>1319996</v>
      </c>
      <c r="Q760" s="8">
        <v>0</v>
      </c>
      <c r="R760" s="8">
        <f t="shared" si="156"/>
        <v>0</v>
      </c>
      <c r="S760"/>
      <c r="T760"/>
      <c r="U760"/>
    </row>
    <row r="761" spans="2:22" s="5" customFormat="1" x14ac:dyDescent="0.3">
      <c r="B761" s="7" t="s">
        <v>16</v>
      </c>
      <c r="C761" s="7" t="s">
        <v>1405</v>
      </c>
      <c r="D761" s="7" t="s">
        <v>141</v>
      </c>
      <c r="E761" s="7" t="s">
        <v>640</v>
      </c>
      <c r="F761" s="7" t="s">
        <v>143</v>
      </c>
      <c r="G761" s="7" t="s">
        <v>144</v>
      </c>
      <c r="H761" s="8">
        <f>+P761-I761-J761</f>
        <v>0.52631578943692148</v>
      </c>
      <c r="I761" s="8">
        <f t="shared" si="153"/>
        <v>1235289.4736842106</v>
      </c>
      <c r="J761" s="8">
        <v>234705</v>
      </c>
      <c r="K761" s="8">
        <v>0</v>
      </c>
      <c r="L761" s="8">
        <v>0</v>
      </c>
      <c r="M761" s="8">
        <f>+I761+H761</f>
        <v>1235290</v>
      </c>
      <c r="N761" s="8">
        <f>+J761+L761</f>
        <v>234705</v>
      </c>
      <c r="O761" s="8">
        <f t="shared" si="154"/>
        <v>1469995</v>
      </c>
      <c r="P761" s="8">
        <v>1469995</v>
      </c>
      <c r="Q761" s="8">
        <v>0</v>
      </c>
      <c r="R761" s="8">
        <f t="shared" si="156"/>
        <v>0</v>
      </c>
      <c r="S761"/>
      <c r="T761"/>
      <c r="V761"/>
    </row>
    <row r="762" spans="2:22" s="5" customFormat="1" x14ac:dyDescent="0.3">
      <c r="B762" s="5" t="s">
        <v>16</v>
      </c>
      <c r="C762" s="5" t="s">
        <v>1406</v>
      </c>
      <c r="D762" s="5" t="s">
        <v>23</v>
      </c>
      <c r="E762" s="5" t="s">
        <v>938</v>
      </c>
      <c r="F762" s="5" t="s">
        <v>25</v>
      </c>
      <c r="G762" s="5" t="s">
        <v>26</v>
      </c>
      <c r="H762" s="6">
        <v>0</v>
      </c>
      <c r="I762" s="6">
        <f t="shared" si="153"/>
        <v>1845468</v>
      </c>
      <c r="J762" s="6">
        <v>350638.92</v>
      </c>
      <c r="K762" s="6"/>
      <c r="L762" s="6"/>
      <c r="M762" s="6">
        <f>+H762+I762</f>
        <v>1845468</v>
      </c>
      <c r="N762" s="6">
        <f>+J762</f>
        <v>350638.92</v>
      </c>
      <c r="O762" s="6">
        <f t="shared" si="154"/>
        <v>2196106.92</v>
      </c>
      <c r="P762" s="6">
        <v>2196106.92</v>
      </c>
      <c r="Q762" s="6">
        <f t="shared" ref="Q762:Q768" si="157">+M762</f>
        <v>1845468</v>
      </c>
      <c r="R762" s="6">
        <f t="shared" si="156"/>
        <v>46136.7</v>
      </c>
      <c r="S762"/>
      <c r="T762"/>
      <c r="U762"/>
    </row>
    <row r="763" spans="2:22" s="5" customFormat="1" x14ac:dyDescent="0.3">
      <c r="B763" s="5" t="s">
        <v>16</v>
      </c>
      <c r="C763" s="5" t="s">
        <v>1407</v>
      </c>
      <c r="E763" s="5" t="s">
        <v>349</v>
      </c>
      <c r="F763" s="5" t="s">
        <v>350</v>
      </c>
      <c r="G763" s="5" t="s">
        <v>351</v>
      </c>
      <c r="H763" s="6">
        <f>+P763-I763-J763</f>
        <v>0</v>
      </c>
      <c r="I763" s="6">
        <f t="shared" si="153"/>
        <v>686750</v>
      </c>
      <c r="J763" s="6">
        <v>130482.5</v>
      </c>
      <c r="K763" s="6">
        <v>0</v>
      </c>
      <c r="L763" s="6">
        <v>0</v>
      </c>
      <c r="M763" s="6">
        <f t="shared" ref="M763:M770" si="158">+H763+I763+K763</f>
        <v>686750</v>
      </c>
      <c r="N763" s="6">
        <f t="shared" ref="N763:N770" si="159">+J763+L763</f>
        <v>130482.5</v>
      </c>
      <c r="O763" s="6">
        <f t="shared" si="154"/>
        <v>817232.5</v>
      </c>
      <c r="P763" s="6">
        <v>817232.5</v>
      </c>
      <c r="Q763" s="6">
        <f t="shared" si="157"/>
        <v>686750</v>
      </c>
      <c r="R763" s="6">
        <f t="shared" si="156"/>
        <v>17168.75</v>
      </c>
      <c r="T763"/>
    </row>
    <row r="764" spans="2:22" s="5" customFormat="1" x14ac:dyDescent="0.3">
      <c r="B764" s="5" t="s">
        <v>16</v>
      </c>
      <c r="C764" s="16">
        <v>5780</v>
      </c>
      <c r="E764" s="5" t="s">
        <v>349</v>
      </c>
      <c r="F764" s="5" t="s">
        <v>350</v>
      </c>
      <c r="G764" s="5" t="s">
        <v>351</v>
      </c>
      <c r="H764" s="6">
        <v>0</v>
      </c>
      <c r="I764" s="6">
        <f t="shared" si="153"/>
        <v>1032000</v>
      </c>
      <c r="J764" s="6">
        <v>196080</v>
      </c>
      <c r="K764" s="6">
        <v>0</v>
      </c>
      <c r="L764" s="6">
        <v>0</v>
      </c>
      <c r="M764" s="6">
        <f t="shared" si="158"/>
        <v>1032000</v>
      </c>
      <c r="N764" s="6">
        <f t="shared" si="159"/>
        <v>196080</v>
      </c>
      <c r="O764" s="6">
        <f t="shared" si="154"/>
        <v>1228080</v>
      </c>
      <c r="P764" s="6">
        <v>817232.5</v>
      </c>
      <c r="Q764" s="6">
        <f t="shared" si="157"/>
        <v>1032000</v>
      </c>
      <c r="R764" s="6">
        <f t="shared" si="156"/>
        <v>25800</v>
      </c>
      <c r="T764"/>
    </row>
    <row r="765" spans="2:22" s="5" customFormat="1" x14ac:dyDescent="0.3">
      <c r="B765" s="5" t="s">
        <v>16</v>
      </c>
      <c r="C765" s="5" t="s">
        <v>1408</v>
      </c>
      <c r="E765" s="5" t="s">
        <v>349</v>
      </c>
      <c r="F765" s="5" t="s">
        <v>350</v>
      </c>
      <c r="G765" s="5" t="s">
        <v>351</v>
      </c>
      <c r="H765" s="6">
        <f>+P765-I765-J765</f>
        <v>0</v>
      </c>
      <c r="I765" s="6">
        <f t="shared" si="153"/>
        <v>5508400</v>
      </c>
      <c r="J765" s="6">
        <v>1046596</v>
      </c>
      <c r="K765" s="6">
        <v>0</v>
      </c>
      <c r="L765" s="6">
        <v>0</v>
      </c>
      <c r="M765" s="6">
        <f t="shared" si="158"/>
        <v>5508400</v>
      </c>
      <c r="N765" s="6">
        <f t="shared" si="159"/>
        <v>1046596</v>
      </c>
      <c r="O765" s="6">
        <f t="shared" si="154"/>
        <v>6554996</v>
      </c>
      <c r="P765" s="6">
        <v>6554996</v>
      </c>
      <c r="Q765" s="6">
        <f t="shared" si="157"/>
        <v>5508400</v>
      </c>
      <c r="R765" s="6">
        <f t="shared" si="156"/>
        <v>137710</v>
      </c>
      <c r="T765"/>
    </row>
    <row r="766" spans="2:22" s="5" customFormat="1" x14ac:dyDescent="0.3">
      <c r="B766" s="5" t="s">
        <v>16</v>
      </c>
      <c r="C766" s="5" t="s">
        <v>1409</v>
      </c>
      <c r="D766" s="5" t="s">
        <v>1410</v>
      </c>
      <c r="E766" s="5" t="s">
        <v>1411</v>
      </c>
      <c r="F766" s="5" t="s">
        <v>369</v>
      </c>
      <c r="G766" s="5" t="s">
        <v>370</v>
      </c>
      <c r="H766" s="6">
        <f>+P766-I766-J766</f>
        <v>0</v>
      </c>
      <c r="I766" s="6">
        <f t="shared" si="153"/>
        <v>3095200</v>
      </c>
      <c r="J766" s="6">
        <v>588088</v>
      </c>
      <c r="K766" s="6">
        <v>0</v>
      </c>
      <c r="L766" s="6">
        <v>0</v>
      </c>
      <c r="M766" s="6">
        <f t="shared" si="158"/>
        <v>3095200</v>
      </c>
      <c r="N766" s="6">
        <f t="shared" si="159"/>
        <v>588088</v>
      </c>
      <c r="O766" s="6">
        <f t="shared" si="154"/>
        <v>3683288</v>
      </c>
      <c r="P766" s="6">
        <v>3683288</v>
      </c>
      <c r="Q766" s="6">
        <f t="shared" si="157"/>
        <v>3095200</v>
      </c>
      <c r="R766" s="6">
        <f t="shared" si="156"/>
        <v>77380</v>
      </c>
      <c r="T766"/>
    </row>
    <row r="767" spans="2:22" s="5" customFormat="1" x14ac:dyDescent="0.3">
      <c r="B767" s="5" t="s">
        <v>16</v>
      </c>
      <c r="C767" s="5" t="s">
        <v>1412</v>
      </c>
      <c r="D767" s="5" t="s">
        <v>1410</v>
      </c>
      <c r="E767" s="5" t="s">
        <v>749</v>
      </c>
      <c r="F767" s="5" t="s">
        <v>369</v>
      </c>
      <c r="G767" s="5" t="s">
        <v>370</v>
      </c>
      <c r="H767" s="6">
        <f>+P767-I767-J767</f>
        <v>0</v>
      </c>
      <c r="I767" s="6">
        <f t="shared" si="153"/>
        <v>3343000</v>
      </c>
      <c r="J767" s="6">
        <v>635170</v>
      </c>
      <c r="K767" s="6">
        <v>0</v>
      </c>
      <c r="L767" s="6">
        <v>0</v>
      </c>
      <c r="M767" s="6">
        <f t="shared" si="158"/>
        <v>3343000</v>
      </c>
      <c r="N767" s="6">
        <f t="shared" si="159"/>
        <v>635170</v>
      </c>
      <c r="O767" s="6">
        <f t="shared" si="154"/>
        <v>3978170</v>
      </c>
      <c r="P767" s="6">
        <v>3978170</v>
      </c>
      <c r="Q767" s="6">
        <f t="shared" si="157"/>
        <v>3343000</v>
      </c>
      <c r="R767" s="6">
        <f t="shared" si="156"/>
        <v>83575</v>
      </c>
      <c r="T767"/>
    </row>
    <row r="768" spans="2:22" s="5" customFormat="1" x14ac:dyDescent="0.3">
      <c r="B768" s="5" t="s">
        <v>16</v>
      </c>
      <c r="C768" s="5" t="s">
        <v>1413</v>
      </c>
      <c r="D768" s="5" t="s">
        <v>1410</v>
      </c>
      <c r="E768" s="5" t="s">
        <v>216</v>
      </c>
      <c r="F768" s="5" t="s">
        <v>369</v>
      </c>
      <c r="G768" s="5" t="s">
        <v>370</v>
      </c>
      <c r="H768" s="6">
        <f>+P768-I768-J768</f>
        <v>0</v>
      </c>
      <c r="I768" s="6">
        <f t="shared" si="153"/>
        <v>4457600</v>
      </c>
      <c r="J768" s="6">
        <v>846944</v>
      </c>
      <c r="K768" s="6">
        <v>0</v>
      </c>
      <c r="L768" s="6">
        <v>0</v>
      </c>
      <c r="M768" s="6">
        <f t="shared" si="158"/>
        <v>4457600</v>
      </c>
      <c r="N768" s="6">
        <f t="shared" si="159"/>
        <v>846944</v>
      </c>
      <c r="O768" s="6">
        <f t="shared" si="154"/>
        <v>5304544</v>
      </c>
      <c r="P768" s="6">
        <v>5304544</v>
      </c>
      <c r="Q768" s="6">
        <f t="shared" si="157"/>
        <v>4457600</v>
      </c>
      <c r="R768" s="6">
        <f t="shared" si="156"/>
        <v>111440</v>
      </c>
      <c r="T768"/>
    </row>
    <row r="769" spans="2:21" s="5" customFormat="1" x14ac:dyDescent="0.3">
      <c r="B769" s="5" t="s">
        <v>16</v>
      </c>
      <c r="C769" s="5" t="s">
        <v>1414</v>
      </c>
      <c r="D769" s="5" t="s">
        <v>1415</v>
      </c>
      <c r="E769" s="5" t="s">
        <v>257</v>
      </c>
      <c r="F769" s="5" t="s">
        <v>1416</v>
      </c>
      <c r="G769" s="5" t="s">
        <v>1417</v>
      </c>
      <c r="H769" s="6">
        <v>0.63157894741743803</v>
      </c>
      <c r="I769" s="6">
        <f t="shared" si="153"/>
        <v>1328047.3684210526</v>
      </c>
      <c r="J769" s="6">
        <v>252329</v>
      </c>
      <c r="K769" s="6">
        <v>0</v>
      </c>
      <c r="L769" s="6">
        <v>0</v>
      </c>
      <c r="M769" s="6">
        <f t="shared" si="158"/>
        <v>1328048</v>
      </c>
      <c r="N769" s="6">
        <f t="shared" si="159"/>
        <v>252329</v>
      </c>
      <c r="O769" s="6">
        <f t="shared" si="154"/>
        <v>1580377</v>
      </c>
      <c r="P769" s="6">
        <v>1580377</v>
      </c>
      <c r="Q769" s="6">
        <v>0</v>
      </c>
      <c r="R769" s="6">
        <f t="shared" si="156"/>
        <v>0</v>
      </c>
      <c r="T769"/>
    </row>
    <row r="770" spans="2:21" s="5" customFormat="1" x14ac:dyDescent="0.3">
      <c r="B770" s="5" t="s">
        <v>16</v>
      </c>
      <c r="C770" s="5" t="s">
        <v>1418</v>
      </c>
      <c r="D770" s="5" t="s">
        <v>1415</v>
      </c>
      <c r="E770" s="5" t="s">
        <v>204</v>
      </c>
      <c r="F770" s="5" t="s">
        <v>1416</v>
      </c>
      <c r="G770" s="5" t="s">
        <v>1417</v>
      </c>
      <c r="H770" s="6">
        <v>2.1052631578641012</v>
      </c>
      <c r="I770" s="6">
        <f t="shared" si="153"/>
        <v>784157.89473684214</v>
      </c>
      <c r="J770" s="6">
        <v>148990</v>
      </c>
      <c r="K770" s="6">
        <v>0</v>
      </c>
      <c r="L770" s="6">
        <v>0</v>
      </c>
      <c r="M770" s="6">
        <f t="shared" si="158"/>
        <v>784160</v>
      </c>
      <c r="N770" s="6">
        <f t="shared" si="159"/>
        <v>148990</v>
      </c>
      <c r="O770" s="6">
        <f t="shared" si="154"/>
        <v>933150</v>
      </c>
      <c r="P770" s="6">
        <v>933150</v>
      </c>
      <c r="Q770" s="6">
        <v>0</v>
      </c>
      <c r="R770" s="6">
        <f t="shared" si="156"/>
        <v>0</v>
      </c>
      <c r="T770"/>
    </row>
    <row r="771" spans="2:21" s="5" customFormat="1" x14ac:dyDescent="0.3">
      <c r="B771" s="5" t="s">
        <v>16</v>
      </c>
      <c r="C771" s="5" t="s">
        <v>1419</v>
      </c>
      <c r="D771" s="5" t="s">
        <v>1415</v>
      </c>
      <c r="E771" s="5" t="s">
        <v>936</v>
      </c>
      <c r="F771" s="5" t="s">
        <v>1416</v>
      </c>
      <c r="G771" s="5" t="s">
        <v>1417</v>
      </c>
      <c r="H771" s="6">
        <v>0.84210526317474432</v>
      </c>
      <c r="I771" s="6">
        <f t="shared" si="153"/>
        <v>217663.15789473683</v>
      </c>
      <c r="J771" s="6">
        <v>41356</v>
      </c>
      <c r="K771" s="6"/>
      <c r="L771" s="6"/>
      <c r="M771" s="6">
        <f t="shared" ref="M771:M778" si="160">+H771+I771</f>
        <v>217664</v>
      </c>
      <c r="N771" s="6">
        <f t="shared" ref="N771:N778" si="161">+J771</f>
        <v>41356</v>
      </c>
      <c r="O771" s="6">
        <f t="shared" si="154"/>
        <v>259020</v>
      </c>
      <c r="P771" s="6">
        <v>259020</v>
      </c>
      <c r="Q771" s="6"/>
      <c r="R771" s="6">
        <f t="shared" si="156"/>
        <v>0</v>
      </c>
      <c r="T771"/>
    </row>
    <row r="772" spans="2:21" s="5" customFormat="1" x14ac:dyDescent="0.3">
      <c r="B772" s="5" t="s">
        <v>16</v>
      </c>
      <c r="C772" s="5" t="s">
        <v>1420</v>
      </c>
      <c r="D772" s="5" t="s">
        <v>1415</v>
      </c>
      <c r="E772" s="5" t="s">
        <v>936</v>
      </c>
      <c r="F772" s="5" t="s">
        <v>1416</v>
      </c>
      <c r="G772" s="5" t="s">
        <v>1417</v>
      </c>
      <c r="H772" s="6">
        <v>2.7368421051651239</v>
      </c>
      <c r="I772" s="6">
        <f t="shared" si="153"/>
        <v>4710305.2631578948</v>
      </c>
      <c r="J772" s="6">
        <v>894958</v>
      </c>
      <c r="K772" s="6"/>
      <c r="L772" s="6"/>
      <c r="M772" s="6">
        <f t="shared" si="160"/>
        <v>4710308</v>
      </c>
      <c r="N772" s="6">
        <f t="shared" si="161"/>
        <v>894958</v>
      </c>
      <c r="O772" s="6">
        <f t="shared" si="154"/>
        <v>5605266</v>
      </c>
      <c r="P772" s="6">
        <v>5605266</v>
      </c>
      <c r="Q772" s="6"/>
      <c r="R772" s="6">
        <f t="shared" si="156"/>
        <v>0</v>
      </c>
      <c r="S772" s="5" t="s">
        <v>1421</v>
      </c>
      <c r="T772"/>
    </row>
    <row r="773" spans="2:21" s="5" customFormat="1" x14ac:dyDescent="0.3">
      <c r="B773" s="5" t="s">
        <v>16</v>
      </c>
      <c r="C773" s="5" t="s">
        <v>1422</v>
      </c>
      <c r="D773" s="5" t="s">
        <v>1415</v>
      </c>
      <c r="E773" s="5" t="s">
        <v>1423</v>
      </c>
      <c r="F773" s="5" t="s">
        <v>1416</v>
      </c>
      <c r="G773" s="5" t="s">
        <v>1417</v>
      </c>
      <c r="H773" s="6">
        <v>2.3157894741743803</v>
      </c>
      <c r="I773" s="6">
        <f t="shared" si="153"/>
        <v>4799373.6842105258</v>
      </c>
      <c r="J773" s="6">
        <v>911881</v>
      </c>
      <c r="K773" s="6"/>
      <c r="L773" s="6"/>
      <c r="M773" s="6">
        <f t="shared" si="160"/>
        <v>4799376</v>
      </c>
      <c r="N773" s="6">
        <f t="shared" si="161"/>
        <v>911881</v>
      </c>
      <c r="O773" s="6">
        <f t="shared" si="154"/>
        <v>5711257</v>
      </c>
      <c r="P773" s="6">
        <v>5711257</v>
      </c>
      <c r="Q773" s="6"/>
      <c r="R773" s="6">
        <f t="shared" si="156"/>
        <v>0</v>
      </c>
      <c r="S773" s="5" t="s">
        <v>1421</v>
      </c>
      <c r="T773"/>
    </row>
    <row r="774" spans="2:21" s="5" customFormat="1" x14ac:dyDescent="0.3">
      <c r="B774" s="5" t="s">
        <v>16</v>
      </c>
      <c r="C774" s="5" t="s">
        <v>1424</v>
      </c>
      <c r="D774" s="5" t="s">
        <v>1415</v>
      </c>
      <c r="E774" s="5" t="s">
        <v>918</v>
      </c>
      <c r="F774" s="5" t="s">
        <v>1416</v>
      </c>
      <c r="G774" s="5" t="s">
        <v>1417</v>
      </c>
      <c r="H774" s="6">
        <v>-0.84210526337847114</v>
      </c>
      <c r="I774" s="6">
        <f t="shared" si="153"/>
        <v>4126536.8421052634</v>
      </c>
      <c r="J774" s="6">
        <v>784042</v>
      </c>
      <c r="K774" s="6"/>
      <c r="L774" s="6"/>
      <c r="M774" s="6">
        <f t="shared" si="160"/>
        <v>4126536</v>
      </c>
      <c r="N774" s="6">
        <f t="shared" si="161"/>
        <v>784042</v>
      </c>
      <c r="O774" s="6">
        <f t="shared" si="154"/>
        <v>4910578</v>
      </c>
      <c r="P774" s="6">
        <v>4910578</v>
      </c>
      <c r="Q774" s="6"/>
      <c r="R774" s="6">
        <f t="shared" si="156"/>
        <v>0</v>
      </c>
      <c r="T774"/>
    </row>
    <row r="775" spans="2:21" s="5" customFormat="1" x14ac:dyDescent="0.3">
      <c r="B775" s="5" t="s">
        <v>16</v>
      </c>
      <c r="C775" s="5" t="s">
        <v>1425</v>
      </c>
      <c r="D775" s="5" t="s">
        <v>1415</v>
      </c>
      <c r="E775" s="5" t="s">
        <v>1426</v>
      </c>
      <c r="F775" s="5" t="s">
        <v>1416</v>
      </c>
      <c r="G775" s="5" t="s">
        <v>1417</v>
      </c>
      <c r="H775" s="6">
        <v>-2.5263157896697521</v>
      </c>
      <c r="I775" s="6">
        <f t="shared" si="153"/>
        <v>5783210.5263157897</v>
      </c>
      <c r="J775" s="6">
        <v>1098810</v>
      </c>
      <c r="K775" s="6"/>
      <c r="L775" s="6"/>
      <c r="M775" s="6">
        <f t="shared" si="160"/>
        <v>5783208</v>
      </c>
      <c r="N775" s="6">
        <f t="shared" si="161"/>
        <v>1098810</v>
      </c>
      <c r="O775" s="6">
        <f t="shared" si="154"/>
        <v>6882018</v>
      </c>
      <c r="P775" s="6">
        <v>6882018</v>
      </c>
      <c r="Q775" s="6"/>
      <c r="R775" s="6">
        <f t="shared" si="156"/>
        <v>0</v>
      </c>
      <c r="T775"/>
    </row>
    <row r="776" spans="2:21" s="5" customFormat="1" x14ac:dyDescent="0.3">
      <c r="B776" s="5" t="s">
        <v>16</v>
      </c>
      <c r="C776" s="5" t="s">
        <v>1427</v>
      </c>
      <c r="D776" s="5" t="s">
        <v>1415</v>
      </c>
      <c r="E776" s="5" t="s">
        <v>1275</v>
      </c>
      <c r="F776" s="5" t="s">
        <v>1416</v>
      </c>
      <c r="G776" s="5" t="s">
        <v>1417</v>
      </c>
      <c r="H776" s="6">
        <v>0</v>
      </c>
      <c r="I776" s="6">
        <f t="shared" si="153"/>
        <v>689300</v>
      </c>
      <c r="J776" s="6">
        <v>130967</v>
      </c>
      <c r="K776" s="6"/>
      <c r="L776" s="6"/>
      <c r="M776" s="6">
        <f t="shared" si="160"/>
        <v>689300</v>
      </c>
      <c r="N776" s="6">
        <f t="shared" si="161"/>
        <v>130967</v>
      </c>
      <c r="O776" s="6">
        <f t="shared" si="154"/>
        <v>820267</v>
      </c>
      <c r="P776" s="6">
        <v>820267</v>
      </c>
      <c r="Q776" s="6"/>
      <c r="R776" s="6">
        <f t="shared" si="156"/>
        <v>0</v>
      </c>
      <c r="T776"/>
    </row>
    <row r="777" spans="2:21" s="5" customFormat="1" x14ac:dyDescent="0.3">
      <c r="B777" s="5" t="s">
        <v>16</v>
      </c>
      <c r="C777" s="5" t="s">
        <v>1428</v>
      </c>
      <c r="D777" s="5" t="s">
        <v>1415</v>
      </c>
      <c r="E777" s="5" t="s">
        <v>1275</v>
      </c>
      <c r="F777" s="5" t="s">
        <v>1416</v>
      </c>
      <c r="G777" s="5" t="s">
        <v>1417</v>
      </c>
      <c r="H777" s="6">
        <v>-1.684210526291281</v>
      </c>
      <c r="I777" s="6">
        <f t="shared" si="153"/>
        <v>943273.68421052629</v>
      </c>
      <c r="J777" s="6">
        <v>179222</v>
      </c>
      <c r="K777" s="6"/>
      <c r="L777" s="6"/>
      <c r="M777" s="6">
        <f t="shared" si="160"/>
        <v>943272</v>
      </c>
      <c r="N777" s="6">
        <f t="shared" si="161"/>
        <v>179222</v>
      </c>
      <c r="O777" s="6">
        <f t="shared" si="154"/>
        <v>1122494</v>
      </c>
      <c r="P777" s="6">
        <v>1122494</v>
      </c>
      <c r="Q777" s="6"/>
      <c r="R777" s="6">
        <f t="shared" si="156"/>
        <v>0</v>
      </c>
      <c r="T777"/>
    </row>
    <row r="778" spans="2:21" s="5" customFormat="1" x14ac:dyDescent="0.3">
      <c r="B778" s="5" t="s">
        <v>16</v>
      </c>
      <c r="C778" s="5" t="s">
        <v>1429</v>
      </c>
      <c r="D778" s="5" t="s">
        <v>1415</v>
      </c>
      <c r="E778" s="5" t="s">
        <v>694</v>
      </c>
      <c r="F778" s="5" t="s">
        <v>1416</v>
      </c>
      <c r="G778" s="5" t="s">
        <v>1417</v>
      </c>
      <c r="H778" s="6">
        <v>1.2631578947766684</v>
      </c>
      <c r="I778" s="6">
        <f t="shared" si="153"/>
        <v>326494.73684210522</v>
      </c>
      <c r="J778" s="6">
        <v>62034</v>
      </c>
      <c r="K778" s="6"/>
      <c r="L778" s="6"/>
      <c r="M778" s="6">
        <f t="shared" si="160"/>
        <v>326496</v>
      </c>
      <c r="N778" s="6">
        <f t="shared" si="161"/>
        <v>62034</v>
      </c>
      <c r="O778" s="6">
        <f t="shared" si="154"/>
        <v>388530</v>
      </c>
      <c r="P778" s="6">
        <v>388530</v>
      </c>
      <c r="Q778" s="6"/>
      <c r="R778" s="6">
        <f t="shared" si="156"/>
        <v>0</v>
      </c>
      <c r="T778"/>
      <c r="U778" s="6"/>
    </row>
    <row r="779" spans="2:21" s="5" customFormat="1" x14ac:dyDescent="0.3">
      <c r="B779" s="5" t="s">
        <v>16</v>
      </c>
      <c r="C779" s="5" t="s">
        <v>1430</v>
      </c>
      <c r="D779" s="5" t="s">
        <v>1415</v>
      </c>
      <c r="E779" s="5" t="s">
        <v>491</v>
      </c>
      <c r="F779" s="5" t="s">
        <v>1416</v>
      </c>
      <c r="G779" s="5" t="s">
        <v>1417</v>
      </c>
      <c r="H779" s="6">
        <f t="shared" ref="H779:H792" si="162">+P779-I779-J779</f>
        <v>2.5263157895533368</v>
      </c>
      <c r="I779" s="6">
        <f t="shared" si="153"/>
        <v>921189.47368421045</v>
      </c>
      <c r="J779" s="6">
        <v>175026</v>
      </c>
      <c r="K779" s="6">
        <v>0</v>
      </c>
      <c r="L779" s="6">
        <v>0</v>
      </c>
      <c r="M779" s="6">
        <f t="shared" ref="M779:M810" si="163">+H779+I779+K779</f>
        <v>921192</v>
      </c>
      <c r="N779" s="6">
        <f t="shared" ref="N779:N784" si="164">+J779+L779</f>
        <v>175026</v>
      </c>
      <c r="O779" s="6">
        <f t="shared" si="154"/>
        <v>1096218</v>
      </c>
      <c r="P779" s="6">
        <v>1096218</v>
      </c>
      <c r="Q779" s="6">
        <v>0</v>
      </c>
      <c r="R779" s="6">
        <f t="shared" si="156"/>
        <v>0</v>
      </c>
      <c r="T779"/>
      <c r="U779" s="6"/>
    </row>
    <row r="780" spans="2:21" s="5" customFormat="1" x14ac:dyDescent="0.3">
      <c r="B780" s="5" t="s">
        <v>16</v>
      </c>
      <c r="C780" s="5" t="s">
        <v>1431</v>
      </c>
      <c r="D780" s="5" t="s">
        <v>1415</v>
      </c>
      <c r="E780" s="5" t="s">
        <v>491</v>
      </c>
      <c r="F780" s="5" t="s">
        <v>1416</v>
      </c>
      <c r="G780" s="5" t="s">
        <v>1417</v>
      </c>
      <c r="H780" s="6">
        <f t="shared" si="162"/>
        <v>-0.4736842104466632</v>
      </c>
      <c r="I780" s="6">
        <f t="shared" si="153"/>
        <v>984389.47368421045</v>
      </c>
      <c r="J780" s="6">
        <v>187034</v>
      </c>
      <c r="K780" s="6">
        <v>0</v>
      </c>
      <c r="L780" s="6">
        <v>0</v>
      </c>
      <c r="M780" s="6">
        <f t="shared" si="163"/>
        <v>984389</v>
      </c>
      <c r="N780" s="6">
        <f t="shared" si="164"/>
        <v>187034</v>
      </c>
      <c r="O780" s="6">
        <f t="shared" si="154"/>
        <v>1171423</v>
      </c>
      <c r="P780" s="6">
        <v>1171423</v>
      </c>
      <c r="Q780" s="6">
        <v>0</v>
      </c>
      <c r="R780" s="6">
        <f t="shared" si="156"/>
        <v>0</v>
      </c>
      <c r="T780"/>
      <c r="U780" s="6"/>
    </row>
    <row r="781" spans="2:21" s="5" customFormat="1" x14ac:dyDescent="0.3">
      <c r="B781" s="5" t="s">
        <v>16</v>
      </c>
      <c r="C781" s="5" t="s">
        <v>1432</v>
      </c>
      <c r="D781" s="5" t="s">
        <v>1415</v>
      </c>
      <c r="E781" s="5" t="s">
        <v>561</v>
      </c>
      <c r="F781" s="5" t="s">
        <v>1416</v>
      </c>
      <c r="G781" s="5" t="s">
        <v>1417</v>
      </c>
      <c r="H781" s="6">
        <f t="shared" si="162"/>
        <v>-0.52631578943692148</v>
      </c>
      <c r="I781" s="6">
        <f t="shared" si="153"/>
        <v>286110.52631578944</v>
      </c>
      <c r="J781" s="6">
        <v>54361</v>
      </c>
      <c r="K781" s="6">
        <v>0</v>
      </c>
      <c r="L781" s="6">
        <v>0</v>
      </c>
      <c r="M781" s="6">
        <f t="shared" si="163"/>
        <v>286110</v>
      </c>
      <c r="N781" s="6">
        <f t="shared" si="164"/>
        <v>54361</v>
      </c>
      <c r="O781" s="6">
        <f t="shared" si="154"/>
        <v>340471</v>
      </c>
      <c r="P781" s="6">
        <v>340471</v>
      </c>
      <c r="Q781" s="6">
        <v>0</v>
      </c>
      <c r="R781" s="6">
        <f t="shared" si="156"/>
        <v>0</v>
      </c>
      <c r="T781"/>
    </row>
    <row r="782" spans="2:21" s="5" customFormat="1" x14ac:dyDescent="0.3">
      <c r="B782" s="5" t="s">
        <v>16</v>
      </c>
      <c r="C782" s="5" t="s">
        <v>1433</v>
      </c>
      <c r="D782" s="5" t="s">
        <v>1415</v>
      </c>
      <c r="E782" s="5" t="s">
        <v>657</v>
      </c>
      <c r="F782" s="5" t="s">
        <v>1416</v>
      </c>
      <c r="G782" s="5" t="s">
        <v>1417</v>
      </c>
      <c r="H782" s="6">
        <f t="shared" si="162"/>
        <v>-2.5789473690092564</v>
      </c>
      <c r="I782" s="6">
        <f t="shared" si="153"/>
        <v>5711531.578947369</v>
      </c>
      <c r="J782" s="6">
        <v>1085191</v>
      </c>
      <c r="K782" s="6">
        <v>0</v>
      </c>
      <c r="L782" s="6">
        <v>0</v>
      </c>
      <c r="M782" s="6">
        <f t="shared" si="163"/>
        <v>5711529</v>
      </c>
      <c r="N782" s="6">
        <f t="shared" si="164"/>
        <v>1085191</v>
      </c>
      <c r="O782" s="6">
        <f t="shared" si="154"/>
        <v>6796720</v>
      </c>
      <c r="P782" s="6">
        <v>6796720</v>
      </c>
      <c r="Q782" s="6">
        <v>0</v>
      </c>
      <c r="R782" s="6">
        <f t="shared" si="156"/>
        <v>0</v>
      </c>
      <c r="T782"/>
      <c r="U782" s="6"/>
    </row>
    <row r="783" spans="2:21" s="5" customFormat="1" x14ac:dyDescent="0.3">
      <c r="B783" s="5" t="s">
        <v>16</v>
      </c>
      <c r="C783" s="5" t="s">
        <v>1434</v>
      </c>
      <c r="D783" s="5" t="s">
        <v>1415</v>
      </c>
      <c r="E783" s="5" t="s">
        <v>994</v>
      </c>
      <c r="F783" s="5" t="s">
        <v>1416</v>
      </c>
      <c r="G783" s="5" t="s">
        <v>1417</v>
      </c>
      <c r="H783" s="6">
        <f t="shared" si="162"/>
        <v>1.5789473685435951</v>
      </c>
      <c r="I783" s="6">
        <f t="shared" si="153"/>
        <v>1076068.4210526315</v>
      </c>
      <c r="J783" s="6">
        <v>204453</v>
      </c>
      <c r="K783" s="6">
        <v>0</v>
      </c>
      <c r="L783" s="6">
        <v>0</v>
      </c>
      <c r="M783" s="6">
        <f t="shared" si="163"/>
        <v>1076070</v>
      </c>
      <c r="N783" s="6">
        <f t="shared" si="164"/>
        <v>204453</v>
      </c>
      <c r="O783" s="6">
        <f t="shared" si="154"/>
        <v>1280523</v>
      </c>
      <c r="P783" s="6">
        <v>1280523</v>
      </c>
      <c r="Q783" s="6">
        <v>0</v>
      </c>
      <c r="R783" s="6">
        <f t="shared" si="156"/>
        <v>0</v>
      </c>
      <c r="T783"/>
    </row>
    <row r="784" spans="2:21" s="5" customFormat="1" x14ac:dyDescent="0.3">
      <c r="B784" s="5" t="s">
        <v>16</v>
      </c>
      <c r="C784" s="5" t="s">
        <v>1435</v>
      </c>
      <c r="D784" s="5" t="s">
        <v>1415</v>
      </c>
      <c r="E784" s="5" t="s">
        <v>1436</v>
      </c>
      <c r="F784" s="5" t="s">
        <v>1416</v>
      </c>
      <c r="G784" s="5" t="s">
        <v>1417</v>
      </c>
      <c r="H784" s="6">
        <f t="shared" si="162"/>
        <v>-1.5789473671466112</v>
      </c>
      <c r="I784" s="6">
        <f t="shared" si="153"/>
        <v>9414731.5789473671</v>
      </c>
      <c r="J784" s="6">
        <v>1788799</v>
      </c>
      <c r="K784" s="6">
        <v>0</v>
      </c>
      <c r="L784" s="6">
        <v>0</v>
      </c>
      <c r="M784" s="6">
        <f t="shared" si="163"/>
        <v>9414730</v>
      </c>
      <c r="N784" s="6">
        <f t="shared" si="164"/>
        <v>1788799</v>
      </c>
      <c r="O784" s="6">
        <f t="shared" si="154"/>
        <v>11203529</v>
      </c>
      <c r="P784" s="6">
        <v>11203529</v>
      </c>
      <c r="Q784" s="6">
        <v>0</v>
      </c>
      <c r="R784" s="6">
        <f t="shared" si="156"/>
        <v>0</v>
      </c>
      <c r="T784"/>
    </row>
    <row r="785" spans="2:22" s="5" customFormat="1" x14ac:dyDescent="0.3">
      <c r="B785" s="5" t="s">
        <v>16</v>
      </c>
      <c r="C785" s="5" t="s">
        <v>1437</v>
      </c>
      <c r="D785" s="5" t="s">
        <v>1415</v>
      </c>
      <c r="E785" s="5" t="s">
        <v>559</v>
      </c>
      <c r="F785" s="5" t="s">
        <v>1416</v>
      </c>
      <c r="G785" s="5" t="s">
        <v>1417</v>
      </c>
      <c r="H785" s="6">
        <f t="shared" si="162"/>
        <v>-4.2105263154953718</v>
      </c>
      <c r="I785" s="6">
        <f t="shared" si="153"/>
        <v>2324284.2105263155</v>
      </c>
      <c r="J785" s="6">
        <v>441614</v>
      </c>
      <c r="K785" s="6">
        <v>0</v>
      </c>
      <c r="L785" s="6">
        <v>0</v>
      </c>
      <c r="M785" s="6">
        <f t="shared" si="163"/>
        <v>2324280</v>
      </c>
      <c r="N785" s="6">
        <f>J785+L785</f>
        <v>441614</v>
      </c>
      <c r="O785" s="6">
        <f t="shared" si="154"/>
        <v>2765894</v>
      </c>
      <c r="P785" s="6">
        <v>2765894</v>
      </c>
      <c r="Q785" s="6">
        <v>0</v>
      </c>
      <c r="R785" s="6">
        <f t="shared" si="156"/>
        <v>0</v>
      </c>
      <c r="T785"/>
      <c r="V785"/>
    </row>
    <row r="786" spans="2:22" s="5" customFormat="1" x14ac:dyDescent="0.3">
      <c r="B786" s="5" t="s">
        <v>16</v>
      </c>
      <c r="C786" s="5" t="s">
        <v>1438</v>
      </c>
      <c r="D786" s="5" t="s">
        <v>1415</v>
      </c>
      <c r="E786" s="5" t="s">
        <v>716</v>
      </c>
      <c r="F786" s="5" t="s">
        <v>1416</v>
      </c>
      <c r="G786" s="5" t="s">
        <v>1417</v>
      </c>
      <c r="H786" s="6">
        <f t="shared" si="162"/>
        <v>-4.2105263164266944</v>
      </c>
      <c r="I786" s="6">
        <f t="shared" si="153"/>
        <v>6900484.2105263164</v>
      </c>
      <c r="J786" s="6">
        <v>1311092</v>
      </c>
      <c r="K786" s="6">
        <v>0</v>
      </c>
      <c r="L786" s="6">
        <v>0</v>
      </c>
      <c r="M786" s="6">
        <f t="shared" si="163"/>
        <v>6900480</v>
      </c>
      <c r="N786" s="6">
        <f t="shared" ref="N786:N800" si="165">+J786+L786</f>
        <v>1311092</v>
      </c>
      <c r="O786" s="6">
        <f t="shared" si="154"/>
        <v>8211572</v>
      </c>
      <c r="P786" s="6">
        <v>8211572</v>
      </c>
      <c r="Q786" s="6">
        <v>0</v>
      </c>
      <c r="R786" s="6">
        <f t="shared" si="156"/>
        <v>0</v>
      </c>
      <c r="T786"/>
      <c r="V786"/>
    </row>
    <row r="787" spans="2:22" s="5" customFormat="1" x14ac:dyDescent="0.3">
      <c r="B787" s="5" t="s">
        <v>16</v>
      </c>
      <c r="C787" s="5" t="s">
        <v>1439</v>
      </c>
      <c r="D787" s="5" t="s">
        <v>1415</v>
      </c>
      <c r="E787" s="5" t="s">
        <v>397</v>
      </c>
      <c r="F787" s="5" t="s">
        <v>1416</v>
      </c>
      <c r="G787" s="5" t="s">
        <v>1417</v>
      </c>
      <c r="H787" s="6">
        <f t="shared" si="162"/>
        <v>1.5263157896697521</v>
      </c>
      <c r="I787" s="6">
        <f t="shared" si="153"/>
        <v>12879589.47368421</v>
      </c>
      <c r="J787" s="6">
        <v>2447122</v>
      </c>
      <c r="K787" s="6">
        <v>0</v>
      </c>
      <c r="L787" s="6">
        <v>0</v>
      </c>
      <c r="M787" s="6">
        <f t="shared" si="163"/>
        <v>12879591</v>
      </c>
      <c r="N787" s="6">
        <f t="shared" si="165"/>
        <v>2447122</v>
      </c>
      <c r="O787" s="6">
        <f t="shared" si="154"/>
        <v>15326713</v>
      </c>
      <c r="P787" s="6">
        <v>15326713</v>
      </c>
      <c r="Q787" s="6">
        <v>0</v>
      </c>
      <c r="R787" s="6">
        <f t="shared" si="156"/>
        <v>0</v>
      </c>
      <c r="T787"/>
      <c r="V787"/>
    </row>
    <row r="788" spans="2:22" s="5" customFormat="1" x14ac:dyDescent="0.3">
      <c r="B788" s="5" t="s">
        <v>16</v>
      </c>
      <c r="C788" s="5" t="s">
        <v>1440</v>
      </c>
      <c r="D788" s="5" t="s">
        <v>1415</v>
      </c>
      <c r="E788" s="5" t="s">
        <v>922</v>
      </c>
      <c r="F788" s="5" t="s">
        <v>1416</v>
      </c>
      <c r="G788" s="5" t="s">
        <v>1417</v>
      </c>
      <c r="H788" s="6">
        <f t="shared" si="162"/>
        <v>1.8947368420776911</v>
      </c>
      <c r="I788" s="6">
        <f t="shared" si="153"/>
        <v>423642.10526315792</v>
      </c>
      <c r="J788" s="6">
        <v>80492</v>
      </c>
      <c r="K788" s="6">
        <v>0</v>
      </c>
      <c r="L788" s="6">
        <v>0</v>
      </c>
      <c r="M788" s="6">
        <f t="shared" si="163"/>
        <v>423644</v>
      </c>
      <c r="N788" s="6">
        <f t="shared" si="165"/>
        <v>80492</v>
      </c>
      <c r="O788" s="6">
        <f t="shared" si="154"/>
        <v>504136</v>
      </c>
      <c r="P788" s="6">
        <v>504136</v>
      </c>
      <c r="Q788" s="6">
        <v>0</v>
      </c>
      <c r="R788" s="6">
        <f t="shared" si="156"/>
        <v>0</v>
      </c>
      <c r="S788" s="6"/>
      <c r="T788"/>
    </row>
    <row r="789" spans="2:22" s="5" customFormat="1" x14ac:dyDescent="0.3">
      <c r="B789" s="5" t="s">
        <v>16</v>
      </c>
      <c r="C789" s="5" t="s">
        <v>1441</v>
      </c>
      <c r="D789" s="5" t="s">
        <v>1415</v>
      </c>
      <c r="E789" s="5" t="s">
        <v>922</v>
      </c>
      <c r="F789" s="5" t="s">
        <v>1416</v>
      </c>
      <c r="G789" s="5" t="s">
        <v>1417</v>
      </c>
      <c r="H789" s="6">
        <f t="shared" si="162"/>
        <v>1.947368421126157</v>
      </c>
      <c r="I789" s="6">
        <f t="shared" si="153"/>
        <v>3024321.0526315789</v>
      </c>
      <c r="J789" s="6">
        <v>574621</v>
      </c>
      <c r="K789" s="6">
        <v>0</v>
      </c>
      <c r="L789" s="6">
        <v>0</v>
      </c>
      <c r="M789" s="6">
        <f t="shared" si="163"/>
        <v>3024323</v>
      </c>
      <c r="N789" s="6">
        <f t="shared" si="165"/>
        <v>574621</v>
      </c>
      <c r="O789" s="6">
        <f t="shared" si="154"/>
        <v>3598944</v>
      </c>
      <c r="P789" s="6">
        <v>3598944</v>
      </c>
      <c r="Q789" s="6">
        <v>0</v>
      </c>
      <c r="R789" s="6">
        <f t="shared" si="156"/>
        <v>0</v>
      </c>
      <c r="T789"/>
    </row>
    <row r="790" spans="2:22" s="5" customFormat="1" x14ac:dyDescent="0.3">
      <c r="B790" s="5" t="s">
        <v>16</v>
      </c>
      <c r="C790" s="5" t="s">
        <v>1442</v>
      </c>
      <c r="D790" s="5" t="s">
        <v>1415</v>
      </c>
      <c r="E790" s="5" t="s">
        <v>234</v>
      </c>
      <c r="F790" s="5" t="s">
        <v>1416</v>
      </c>
      <c r="G790" s="5" t="s">
        <v>1417</v>
      </c>
      <c r="H790" s="6">
        <f t="shared" si="162"/>
        <v>2.8421052638441324</v>
      </c>
      <c r="I790" s="6">
        <f t="shared" si="153"/>
        <v>13405463.157894736</v>
      </c>
      <c r="J790" s="6">
        <v>2547038</v>
      </c>
      <c r="K790" s="6">
        <v>0</v>
      </c>
      <c r="L790" s="6">
        <v>0</v>
      </c>
      <c r="M790" s="6">
        <f t="shared" si="163"/>
        <v>13405466</v>
      </c>
      <c r="N790" s="6">
        <f t="shared" si="165"/>
        <v>2547038</v>
      </c>
      <c r="O790" s="6">
        <f t="shared" si="154"/>
        <v>15952504</v>
      </c>
      <c r="P790" s="6">
        <v>15952504</v>
      </c>
      <c r="Q790" s="6">
        <v>0</v>
      </c>
      <c r="R790" s="6">
        <f t="shared" si="156"/>
        <v>0</v>
      </c>
      <c r="S790"/>
      <c r="T790"/>
    </row>
    <row r="791" spans="2:22" s="5" customFormat="1" x14ac:dyDescent="0.3">
      <c r="B791" s="5" t="s">
        <v>16</v>
      </c>
      <c r="C791" s="5" t="s">
        <v>1443</v>
      </c>
      <c r="D791" s="5" t="s">
        <v>1415</v>
      </c>
      <c r="E791" s="5" t="s">
        <v>68</v>
      </c>
      <c r="F791" s="5" t="s">
        <v>1416</v>
      </c>
      <c r="G791" s="5" t="s">
        <v>1417</v>
      </c>
      <c r="H791" s="6">
        <f t="shared" si="162"/>
        <v>-932465.21052631573</v>
      </c>
      <c r="I791" s="6">
        <f t="shared" si="153"/>
        <v>783584.21052631573</v>
      </c>
      <c r="J791" s="6">
        <v>148881</v>
      </c>
      <c r="K791" s="6">
        <v>0</v>
      </c>
      <c r="L791" s="6">
        <v>0</v>
      </c>
      <c r="M791" s="6">
        <f t="shared" si="163"/>
        <v>-148881</v>
      </c>
      <c r="N791" s="6">
        <f t="shared" si="165"/>
        <v>148881</v>
      </c>
      <c r="O791" s="6">
        <f t="shared" si="154"/>
        <v>0</v>
      </c>
      <c r="P791" s="6">
        <v>0</v>
      </c>
      <c r="Q791" s="6">
        <v>0</v>
      </c>
      <c r="R791" s="6">
        <f t="shared" si="156"/>
        <v>0</v>
      </c>
      <c r="T791"/>
      <c r="U791" s="7"/>
      <c r="V791" s="7"/>
    </row>
    <row r="792" spans="2:22" s="5" customFormat="1" x14ac:dyDescent="0.3">
      <c r="B792" s="5" t="s">
        <v>16</v>
      </c>
      <c r="C792" s="5" t="s">
        <v>1444</v>
      </c>
      <c r="D792" s="5" t="s">
        <v>1415</v>
      </c>
      <c r="E792" s="5" t="s">
        <v>68</v>
      </c>
      <c r="F792" s="5" t="s">
        <v>1416</v>
      </c>
      <c r="G792" s="5" t="s">
        <v>1417</v>
      </c>
      <c r="H792" s="6">
        <f t="shared" si="162"/>
        <v>3.1578947380185127</v>
      </c>
      <c r="I792" s="6">
        <f t="shared" si="153"/>
        <v>12502336.842105262</v>
      </c>
      <c r="J792" s="6">
        <v>2375444</v>
      </c>
      <c r="K792" s="6">
        <v>0</v>
      </c>
      <c r="L792" s="6">
        <v>0</v>
      </c>
      <c r="M792" s="6">
        <f t="shared" si="163"/>
        <v>12502340</v>
      </c>
      <c r="N792" s="6">
        <f t="shared" si="165"/>
        <v>2375444</v>
      </c>
      <c r="O792" s="6">
        <f t="shared" si="154"/>
        <v>14877784</v>
      </c>
      <c r="P792" s="6">
        <v>14877784</v>
      </c>
      <c r="Q792" s="6">
        <v>0</v>
      </c>
      <c r="R792" s="6">
        <f t="shared" si="156"/>
        <v>0</v>
      </c>
      <c r="T792"/>
      <c r="U792"/>
      <c r="V792"/>
    </row>
    <row r="793" spans="2:22" s="5" customFormat="1" x14ac:dyDescent="0.3">
      <c r="B793" s="5" t="s">
        <v>16</v>
      </c>
      <c r="C793" s="5" t="s">
        <v>1445</v>
      </c>
      <c r="D793" s="5" t="s">
        <v>1415</v>
      </c>
      <c r="E793" s="5" t="s">
        <v>771</v>
      </c>
      <c r="F793" s="5" t="s">
        <v>1416</v>
      </c>
      <c r="G793" s="5" t="s">
        <v>1417</v>
      </c>
      <c r="H793" s="6">
        <v>0</v>
      </c>
      <c r="I793" s="6">
        <f t="shared" si="153"/>
        <v>167747.36842105261</v>
      </c>
      <c r="J793" s="6">
        <v>31872</v>
      </c>
      <c r="K793" s="6">
        <v>0</v>
      </c>
      <c r="L793" s="6">
        <v>0</v>
      </c>
      <c r="M793" s="6">
        <f t="shared" si="163"/>
        <v>167747.36842105261</v>
      </c>
      <c r="N793" s="6">
        <f t="shared" si="165"/>
        <v>31872</v>
      </c>
      <c r="O793" s="6">
        <f t="shared" si="154"/>
        <v>199619.36842105261</v>
      </c>
      <c r="P793" s="6">
        <v>0</v>
      </c>
      <c r="Q793" s="6">
        <v>0</v>
      </c>
      <c r="R793" s="6">
        <f t="shared" si="156"/>
        <v>0</v>
      </c>
      <c r="T793"/>
    </row>
    <row r="794" spans="2:22" s="5" customFormat="1" x14ac:dyDescent="0.3">
      <c r="B794" s="5" t="s">
        <v>16</v>
      </c>
      <c r="C794" s="5" t="s">
        <v>1446</v>
      </c>
      <c r="D794" s="5" t="s">
        <v>1415</v>
      </c>
      <c r="E794" s="5" t="s">
        <v>771</v>
      </c>
      <c r="F794" s="5" t="s">
        <v>1416</v>
      </c>
      <c r="G794" s="5" t="s">
        <v>1417</v>
      </c>
      <c r="H794" s="6">
        <v>0</v>
      </c>
      <c r="I794" s="6">
        <f t="shared" si="153"/>
        <v>300368.42105263157</v>
      </c>
      <c r="J794" s="6">
        <v>57070</v>
      </c>
      <c r="K794" s="6">
        <v>0</v>
      </c>
      <c r="L794" s="6">
        <v>0</v>
      </c>
      <c r="M794" s="6">
        <f t="shared" si="163"/>
        <v>300368.42105263157</v>
      </c>
      <c r="N794" s="6">
        <f t="shared" si="165"/>
        <v>57070</v>
      </c>
      <c r="O794" s="6">
        <f t="shared" si="154"/>
        <v>357438.42105263157</v>
      </c>
      <c r="P794" s="6">
        <v>0</v>
      </c>
      <c r="Q794" s="6">
        <v>0</v>
      </c>
      <c r="R794" s="6">
        <f t="shared" si="156"/>
        <v>0</v>
      </c>
      <c r="T794"/>
    </row>
    <row r="795" spans="2:22" s="5" customFormat="1" x14ac:dyDescent="0.3">
      <c r="B795" s="5" t="s">
        <v>16</v>
      </c>
      <c r="C795" s="5" t="s">
        <v>1447</v>
      </c>
      <c r="D795" s="5" t="s">
        <v>1415</v>
      </c>
      <c r="E795" s="5" t="s">
        <v>771</v>
      </c>
      <c r="F795" s="5" t="s">
        <v>1416</v>
      </c>
      <c r="G795" s="5" t="s">
        <v>1417</v>
      </c>
      <c r="H795" s="6">
        <v>0</v>
      </c>
      <c r="I795" s="6">
        <f t="shared" si="153"/>
        <v>13132994.736842103</v>
      </c>
      <c r="J795" s="6">
        <v>2495269</v>
      </c>
      <c r="K795" s="6">
        <v>0</v>
      </c>
      <c r="L795" s="6">
        <v>0</v>
      </c>
      <c r="M795" s="6">
        <f t="shared" si="163"/>
        <v>13132994.736842103</v>
      </c>
      <c r="N795" s="6">
        <f t="shared" si="165"/>
        <v>2495269</v>
      </c>
      <c r="O795" s="6">
        <f t="shared" si="154"/>
        <v>15628263.736842103</v>
      </c>
      <c r="P795" s="6">
        <v>15628266</v>
      </c>
      <c r="Q795" s="6">
        <v>0</v>
      </c>
      <c r="R795" s="6">
        <f t="shared" si="156"/>
        <v>0</v>
      </c>
      <c r="S795"/>
      <c r="T795"/>
      <c r="U795"/>
      <c r="V795"/>
    </row>
    <row r="796" spans="2:22" s="5" customFormat="1" x14ac:dyDescent="0.3">
      <c r="B796" s="5" t="s">
        <v>16</v>
      </c>
      <c r="C796" s="5" t="s">
        <v>1448</v>
      </c>
      <c r="D796" s="5" t="s">
        <v>1415</v>
      </c>
      <c r="E796" s="5" t="s">
        <v>730</v>
      </c>
      <c r="F796" s="5" t="s">
        <v>1416</v>
      </c>
      <c r="G796" s="5" t="s">
        <v>1417</v>
      </c>
      <c r="H796" s="6">
        <v>0</v>
      </c>
      <c r="I796" s="6">
        <f t="shared" si="153"/>
        <v>477300</v>
      </c>
      <c r="J796" s="6">
        <v>90687</v>
      </c>
      <c r="K796" s="6">
        <v>0</v>
      </c>
      <c r="L796" s="6">
        <v>0</v>
      </c>
      <c r="M796" s="6">
        <f t="shared" si="163"/>
        <v>477300</v>
      </c>
      <c r="N796" s="6">
        <f t="shared" si="165"/>
        <v>90687</v>
      </c>
      <c r="O796" s="6">
        <f t="shared" si="154"/>
        <v>567987</v>
      </c>
      <c r="P796" s="6">
        <v>0</v>
      </c>
      <c r="Q796" s="6">
        <v>0</v>
      </c>
      <c r="R796" s="6">
        <f t="shared" si="156"/>
        <v>0</v>
      </c>
      <c r="S796"/>
      <c r="T796"/>
    </row>
    <row r="797" spans="2:22" s="5" customFormat="1" x14ac:dyDescent="0.3">
      <c r="B797" s="5" t="s">
        <v>16</v>
      </c>
      <c r="C797" s="5" t="s">
        <v>1449</v>
      </c>
      <c r="D797" s="5" t="s">
        <v>1415</v>
      </c>
      <c r="E797" s="5" t="s">
        <v>730</v>
      </c>
      <c r="F797" s="5" t="s">
        <v>1416</v>
      </c>
      <c r="G797" s="5" t="s">
        <v>1417</v>
      </c>
      <c r="H797" s="6">
        <v>0</v>
      </c>
      <c r="I797" s="6">
        <f t="shared" si="153"/>
        <v>10754847.368421052</v>
      </c>
      <c r="J797" s="6">
        <v>2043421</v>
      </c>
      <c r="K797" s="6">
        <v>0</v>
      </c>
      <c r="L797" s="6">
        <v>0</v>
      </c>
      <c r="M797" s="6">
        <f t="shared" si="163"/>
        <v>10754847.368421052</v>
      </c>
      <c r="N797" s="6">
        <f t="shared" si="165"/>
        <v>2043421</v>
      </c>
      <c r="O797" s="6">
        <f t="shared" si="154"/>
        <v>12798268.368421052</v>
      </c>
      <c r="P797" s="6">
        <v>12798271</v>
      </c>
      <c r="Q797" s="6">
        <v>0</v>
      </c>
      <c r="R797" s="6">
        <f t="shared" si="156"/>
        <v>0</v>
      </c>
      <c r="S797"/>
      <c r="T797"/>
    </row>
    <row r="798" spans="2:22" s="5" customFormat="1" x14ac:dyDescent="0.3">
      <c r="B798" s="5" t="s">
        <v>16</v>
      </c>
      <c r="C798" s="5" t="s">
        <v>1450</v>
      </c>
      <c r="D798" s="5" t="s">
        <v>1451</v>
      </c>
      <c r="E798" s="5" t="s">
        <v>959</v>
      </c>
      <c r="F798" s="5" t="s">
        <v>145</v>
      </c>
      <c r="G798" s="5" t="s">
        <v>146</v>
      </c>
      <c r="H798" s="6">
        <v>2.6315789204090834E-2</v>
      </c>
      <c r="I798" s="6">
        <f t="shared" ref="I798:I861" si="166">+J798/19*100</f>
        <v>1679964.4736842108</v>
      </c>
      <c r="J798" s="6">
        <v>319193.25</v>
      </c>
      <c r="K798" s="6">
        <v>0</v>
      </c>
      <c r="L798" s="6">
        <v>0</v>
      </c>
      <c r="M798" s="6">
        <f t="shared" si="163"/>
        <v>1679964.5</v>
      </c>
      <c r="N798" s="6">
        <f t="shared" si="165"/>
        <v>319193.25</v>
      </c>
      <c r="O798" s="6">
        <f t="shared" ref="O798:O861" si="167">+M798+N798</f>
        <v>1999157.75</v>
      </c>
      <c r="P798" s="6">
        <v>1999157.75</v>
      </c>
      <c r="Q798" s="6">
        <f>+M798</f>
        <v>1679964.5</v>
      </c>
      <c r="R798" s="6">
        <f t="shared" si="156"/>
        <v>41999.112500000003</v>
      </c>
      <c r="T798"/>
    </row>
    <row r="799" spans="2:22" s="5" customFormat="1" x14ac:dyDescent="0.3">
      <c r="B799" s="5" t="s">
        <v>16</v>
      </c>
      <c r="C799" s="5" t="s">
        <v>1452</v>
      </c>
      <c r="D799" s="5" t="s">
        <v>1451</v>
      </c>
      <c r="E799" s="5" t="s">
        <v>456</v>
      </c>
      <c r="F799" s="5" t="s">
        <v>145</v>
      </c>
      <c r="G799" s="5" t="s">
        <v>146</v>
      </c>
      <c r="H799" s="6">
        <f>+P799-I799-J799</f>
        <v>-5.2631581202149391E-3</v>
      </c>
      <c r="I799" s="6">
        <f t="shared" si="166"/>
        <v>3939501.1052631577</v>
      </c>
      <c r="J799" s="6">
        <v>748505.21</v>
      </c>
      <c r="K799" s="6">
        <v>0</v>
      </c>
      <c r="L799" s="6">
        <v>0</v>
      </c>
      <c r="M799" s="6">
        <f t="shared" si="163"/>
        <v>3939501.0999999996</v>
      </c>
      <c r="N799" s="6">
        <f t="shared" si="165"/>
        <v>748505.21</v>
      </c>
      <c r="O799" s="6">
        <f t="shared" si="167"/>
        <v>4688006.3099999996</v>
      </c>
      <c r="P799" s="6">
        <v>4688006.3099999996</v>
      </c>
      <c r="Q799" s="6">
        <f>+M799</f>
        <v>3939501.0999999996</v>
      </c>
      <c r="R799" s="6">
        <f t="shared" si="156"/>
        <v>98487.527499999997</v>
      </c>
      <c r="S799"/>
      <c r="T799"/>
    </row>
    <row r="800" spans="2:22" s="5" customFormat="1" x14ac:dyDescent="0.3">
      <c r="B800" s="5" t="s">
        <v>16</v>
      </c>
      <c r="C800" s="5" t="s">
        <v>1453</v>
      </c>
      <c r="D800" s="5" t="s">
        <v>1451</v>
      </c>
      <c r="E800" s="5" t="s">
        <v>657</v>
      </c>
      <c r="F800" s="5" t="s">
        <v>145</v>
      </c>
      <c r="G800" s="5" t="s">
        <v>146</v>
      </c>
      <c r="H800" s="6">
        <f>+P800-I800-J800</f>
        <v>1.5789472847245634E-2</v>
      </c>
      <c r="I800" s="6">
        <f t="shared" si="166"/>
        <v>4855183.6842105268</v>
      </c>
      <c r="J800" s="6">
        <v>922484.9</v>
      </c>
      <c r="K800" s="6">
        <v>0</v>
      </c>
      <c r="L800" s="6">
        <v>0</v>
      </c>
      <c r="M800" s="6">
        <f t="shared" si="163"/>
        <v>4855183.6999999993</v>
      </c>
      <c r="N800" s="6">
        <f t="shared" si="165"/>
        <v>922484.9</v>
      </c>
      <c r="O800" s="6">
        <f t="shared" si="167"/>
        <v>5777668.5999999996</v>
      </c>
      <c r="P800" s="6">
        <v>5777668.5999999996</v>
      </c>
      <c r="Q800" s="6">
        <f>+M800</f>
        <v>4855183.6999999993</v>
      </c>
      <c r="R800" s="6">
        <f t="shared" si="156"/>
        <v>121379.59249999998</v>
      </c>
      <c r="T800"/>
    </row>
    <row r="801" spans="2:20" s="5" customFormat="1" x14ac:dyDescent="0.3">
      <c r="B801" s="5" t="s">
        <v>16</v>
      </c>
      <c r="C801" s="5" t="s">
        <v>1454</v>
      </c>
      <c r="D801" s="5" t="s">
        <v>1451</v>
      </c>
      <c r="E801" s="5" t="s">
        <v>559</v>
      </c>
      <c r="F801" s="5" t="s">
        <v>145</v>
      </c>
      <c r="G801" s="5" t="s">
        <v>146</v>
      </c>
      <c r="H801" s="6">
        <f>+P801-I801-J801</f>
        <v>-0.13684210553765297</v>
      </c>
      <c r="I801" s="6">
        <f t="shared" si="166"/>
        <v>12864594.736842105</v>
      </c>
      <c r="J801" s="6">
        <v>2444273</v>
      </c>
      <c r="K801" s="6">
        <v>0</v>
      </c>
      <c r="L801" s="6">
        <v>0</v>
      </c>
      <c r="M801" s="6">
        <f t="shared" si="163"/>
        <v>12864594.6</v>
      </c>
      <c r="N801" s="6">
        <f>J801+L801</f>
        <v>2444273</v>
      </c>
      <c r="O801" s="6">
        <f t="shared" si="167"/>
        <v>15308867.6</v>
      </c>
      <c r="P801" s="6">
        <v>15308867.6</v>
      </c>
      <c r="Q801" s="6">
        <f>+M801</f>
        <v>12864594.6</v>
      </c>
      <c r="R801" s="6">
        <f t="shared" si="156"/>
        <v>321614.86499999999</v>
      </c>
      <c r="T801"/>
    </row>
    <row r="802" spans="2:20" s="5" customFormat="1" x14ac:dyDescent="0.3">
      <c r="B802" s="5" t="s">
        <v>16</v>
      </c>
      <c r="C802" s="5" t="s">
        <v>1455</v>
      </c>
      <c r="D802" s="5" t="s">
        <v>1451</v>
      </c>
      <c r="E802" s="5" t="s">
        <v>753</v>
      </c>
      <c r="F802" s="5" t="s">
        <v>145</v>
      </c>
      <c r="G802" s="5" t="s">
        <v>146</v>
      </c>
      <c r="H802" s="6">
        <f>+P802-I802-J802</f>
        <v>-5.2631590515375137E-3</v>
      </c>
      <c r="I802" s="6">
        <f t="shared" si="166"/>
        <v>10221685.105263159</v>
      </c>
      <c r="J802" s="6">
        <v>1942120.17</v>
      </c>
      <c r="K802" s="6">
        <v>0</v>
      </c>
      <c r="L802" s="6">
        <v>0</v>
      </c>
      <c r="M802" s="6">
        <f t="shared" si="163"/>
        <v>10221685.1</v>
      </c>
      <c r="N802" s="6">
        <f t="shared" ref="N802:N822" si="168">+J802+L802</f>
        <v>1942120.17</v>
      </c>
      <c r="O802" s="6">
        <f t="shared" si="167"/>
        <v>12163805.27</v>
      </c>
      <c r="P802" s="6">
        <v>12163805.27</v>
      </c>
      <c r="Q802" s="6">
        <f>+M802</f>
        <v>10221685.1</v>
      </c>
      <c r="R802" s="6">
        <f t="shared" si="156"/>
        <v>255542.1275</v>
      </c>
      <c r="T802"/>
    </row>
    <row r="803" spans="2:20" s="5" customFormat="1" x14ac:dyDescent="0.3">
      <c r="B803" s="5" t="s">
        <v>16</v>
      </c>
      <c r="C803" s="5" t="s">
        <v>1456</v>
      </c>
      <c r="D803" s="5" t="s">
        <v>1451</v>
      </c>
      <c r="E803" s="5" t="s">
        <v>245</v>
      </c>
      <c r="F803" s="5" t="s">
        <v>145</v>
      </c>
      <c r="G803" s="5" t="s">
        <v>146</v>
      </c>
      <c r="H803" s="6">
        <f>+P803-I803-J803</f>
        <v>0</v>
      </c>
      <c r="I803" s="6">
        <f t="shared" si="166"/>
        <v>307508</v>
      </c>
      <c r="J803" s="6">
        <v>58426.52</v>
      </c>
      <c r="K803" s="6">
        <v>0</v>
      </c>
      <c r="L803" s="6">
        <v>0</v>
      </c>
      <c r="M803" s="6">
        <f t="shared" si="163"/>
        <v>307508</v>
      </c>
      <c r="N803" s="6">
        <f t="shared" si="168"/>
        <v>58426.52</v>
      </c>
      <c r="O803" s="6">
        <f t="shared" si="167"/>
        <v>365934.52</v>
      </c>
      <c r="P803" s="6">
        <v>365934.52</v>
      </c>
      <c r="Q803" s="6">
        <v>0</v>
      </c>
      <c r="R803" s="6">
        <f t="shared" si="156"/>
        <v>0</v>
      </c>
      <c r="T803"/>
    </row>
    <row r="804" spans="2:20" s="5" customFormat="1" x14ac:dyDescent="0.3">
      <c r="B804" s="5" t="s">
        <v>16</v>
      </c>
      <c r="C804" s="5" t="s">
        <v>1457</v>
      </c>
      <c r="D804" s="5" t="s">
        <v>1451</v>
      </c>
      <c r="E804" s="5" t="s">
        <v>337</v>
      </c>
      <c r="F804" s="5" t="s">
        <v>145</v>
      </c>
      <c r="G804" s="5" t="s">
        <v>146</v>
      </c>
      <c r="H804" s="6">
        <f>+P804-I804-J804-K804-L804</f>
        <v>1.578947371308459E-2</v>
      </c>
      <c r="I804" s="6">
        <f t="shared" si="166"/>
        <v>190682.68421052629</v>
      </c>
      <c r="J804" s="6">
        <v>36229.71</v>
      </c>
      <c r="K804" s="6">
        <v>0</v>
      </c>
      <c r="L804" s="6">
        <v>0</v>
      </c>
      <c r="M804" s="6">
        <f t="shared" si="163"/>
        <v>190682.7</v>
      </c>
      <c r="N804" s="6">
        <f t="shared" si="168"/>
        <v>36229.71</v>
      </c>
      <c r="O804" s="6">
        <f t="shared" si="167"/>
        <v>226912.41</v>
      </c>
      <c r="P804" s="6">
        <v>226912.41</v>
      </c>
      <c r="Q804" s="6">
        <v>0</v>
      </c>
      <c r="R804" s="6">
        <f t="shared" si="156"/>
        <v>0</v>
      </c>
      <c r="T804"/>
    </row>
    <row r="805" spans="2:20" s="5" customFormat="1" x14ac:dyDescent="0.3">
      <c r="B805" s="5" t="s">
        <v>16</v>
      </c>
      <c r="C805" s="5" t="s">
        <v>1458</v>
      </c>
      <c r="D805" s="5" t="s">
        <v>1451</v>
      </c>
      <c r="E805" s="5" t="s">
        <v>337</v>
      </c>
      <c r="F805" s="5" t="s">
        <v>145</v>
      </c>
      <c r="G805" s="5" t="s">
        <v>146</v>
      </c>
      <c r="H805" s="6">
        <f>+P805-I805-J805-K805-L805</f>
        <v>-9.9999999161809683E-2</v>
      </c>
      <c r="I805" s="6">
        <f t="shared" si="166"/>
        <v>7374242</v>
      </c>
      <c r="J805" s="6">
        <v>1401105.98</v>
      </c>
      <c r="K805" s="6">
        <v>0</v>
      </c>
      <c r="L805" s="6">
        <v>0</v>
      </c>
      <c r="M805" s="6">
        <f t="shared" si="163"/>
        <v>7374241.9000000004</v>
      </c>
      <c r="N805" s="6">
        <f t="shared" si="168"/>
        <v>1401105.98</v>
      </c>
      <c r="O805" s="6">
        <f t="shared" si="167"/>
        <v>8775347.8800000008</v>
      </c>
      <c r="P805" s="6">
        <v>8775347.8800000008</v>
      </c>
      <c r="Q805" s="6">
        <f>+M805</f>
        <v>7374241.9000000004</v>
      </c>
      <c r="R805" s="6">
        <f t="shared" si="156"/>
        <v>184356.04749999999</v>
      </c>
      <c r="S805"/>
      <c r="T805"/>
    </row>
    <row r="806" spans="2:20" s="5" customFormat="1" x14ac:dyDescent="0.3">
      <c r="B806" s="5" t="s">
        <v>16</v>
      </c>
      <c r="C806" s="5" t="s">
        <v>1459</v>
      </c>
      <c r="D806" s="5" t="s">
        <v>1451</v>
      </c>
      <c r="E806" s="5" t="s">
        <v>307</v>
      </c>
      <c r="F806" s="5" t="s">
        <v>145</v>
      </c>
      <c r="G806" s="5" t="s">
        <v>146</v>
      </c>
      <c r="H806" s="6">
        <v>0</v>
      </c>
      <c r="I806" s="6">
        <f t="shared" si="166"/>
        <v>10999039.210526315</v>
      </c>
      <c r="J806" s="6">
        <v>2089817.45</v>
      </c>
      <c r="K806" s="6">
        <v>0</v>
      </c>
      <c r="L806" s="6">
        <v>0</v>
      </c>
      <c r="M806" s="6">
        <f t="shared" si="163"/>
        <v>10999039.210526315</v>
      </c>
      <c r="N806" s="6">
        <f t="shared" si="168"/>
        <v>2089817.45</v>
      </c>
      <c r="O806" s="6">
        <f t="shared" si="167"/>
        <v>13088856.660526315</v>
      </c>
      <c r="P806" s="6">
        <v>13088856.65</v>
      </c>
      <c r="Q806" s="6">
        <f>+M806</f>
        <v>10999039.210526315</v>
      </c>
      <c r="R806" s="6">
        <f t="shared" si="156"/>
        <v>274975.98026315792</v>
      </c>
      <c r="T806"/>
    </row>
    <row r="807" spans="2:20" s="5" customFormat="1" x14ac:dyDescent="0.3">
      <c r="B807" s="5" t="s">
        <v>16</v>
      </c>
      <c r="C807" s="5" t="s">
        <v>1460</v>
      </c>
      <c r="D807" s="5" t="s">
        <v>1451</v>
      </c>
      <c r="E807" s="5" t="s">
        <v>1461</v>
      </c>
      <c r="F807" s="5" t="s">
        <v>145</v>
      </c>
      <c r="G807" s="5" t="s">
        <v>146</v>
      </c>
      <c r="H807" s="6">
        <f>+P807-I807-J807</f>
        <v>-1.5789473698532674E-2</v>
      </c>
      <c r="I807" s="6">
        <f t="shared" si="166"/>
        <v>222598.31578947368</v>
      </c>
      <c r="J807" s="6">
        <v>42293.68</v>
      </c>
      <c r="K807" s="6">
        <v>0</v>
      </c>
      <c r="L807" s="6">
        <v>0</v>
      </c>
      <c r="M807" s="6">
        <f t="shared" si="163"/>
        <v>222598.3</v>
      </c>
      <c r="N807" s="6">
        <f t="shared" si="168"/>
        <v>42293.68</v>
      </c>
      <c r="O807" s="6">
        <f t="shared" si="167"/>
        <v>264891.98</v>
      </c>
      <c r="P807" s="6">
        <v>264891.98</v>
      </c>
      <c r="Q807" s="6">
        <v>0</v>
      </c>
      <c r="R807" s="6">
        <f t="shared" si="156"/>
        <v>0</v>
      </c>
      <c r="T807"/>
    </row>
    <row r="808" spans="2:20" s="5" customFormat="1" x14ac:dyDescent="0.3">
      <c r="B808" s="5" t="s">
        <v>16</v>
      </c>
      <c r="C808" s="5" t="s">
        <v>1462</v>
      </c>
      <c r="D808" s="5" t="s">
        <v>1463</v>
      </c>
      <c r="E808" s="5" t="s">
        <v>121</v>
      </c>
      <c r="F808" s="5" t="s">
        <v>227</v>
      </c>
      <c r="G808" s="5" t="s">
        <v>228</v>
      </c>
      <c r="H808" s="6">
        <f>+P808-I808-J808</f>
        <v>-2.6315789473592304</v>
      </c>
      <c r="I808" s="6">
        <f t="shared" si="166"/>
        <v>66052.631578947359</v>
      </c>
      <c r="J808" s="6">
        <v>12550</v>
      </c>
      <c r="K808" s="6">
        <v>0</v>
      </c>
      <c r="L808" s="6">
        <v>0</v>
      </c>
      <c r="M808" s="6">
        <f t="shared" si="163"/>
        <v>66050</v>
      </c>
      <c r="N808" s="6">
        <f t="shared" si="168"/>
        <v>12550</v>
      </c>
      <c r="O808" s="6">
        <f t="shared" si="167"/>
        <v>78600</v>
      </c>
      <c r="P808" s="6">
        <v>78600</v>
      </c>
      <c r="Q808" s="6">
        <v>0</v>
      </c>
      <c r="R808" s="6">
        <f t="shared" si="156"/>
        <v>0</v>
      </c>
      <c r="S808"/>
      <c r="T808"/>
    </row>
    <row r="809" spans="2:20" s="5" customFormat="1" x14ac:dyDescent="0.3">
      <c r="B809" s="5" t="s">
        <v>16</v>
      </c>
      <c r="C809" s="5" t="s">
        <v>1464</v>
      </c>
      <c r="D809" s="5" t="s">
        <v>1463</v>
      </c>
      <c r="E809" s="5" t="s">
        <v>1314</v>
      </c>
      <c r="F809" s="5" t="s">
        <v>227</v>
      </c>
      <c r="G809" s="5" t="s">
        <v>228</v>
      </c>
      <c r="H809" s="6">
        <f>+P809-I809-J809</f>
        <v>-1.6315789483487606</v>
      </c>
      <c r="I809" s="6">
        <f t="shared" si="166"/>
        <v>9158152.6315789483</v>
      </c>
      <c r="J809" s="6">
        <v>1740049</v>
      </c>
      <c r="K809" s="6">
        <v>0</v>
      </c>
      <c r="L809" s="6">
        <v>0</v>
      </c>
      <c r="M809" s="6">
        <f t="shared" si="163"/>
        <v>9158151</v>
      </c>
      <c r="N809" s="6">
        <f t="shared" si="168"/>
        <v>1740049</v>
      </c>
      <c r="O809" s="6">
        <f t="shared" si="167"/>
        <v>10898200</v>
      </c>
      <c r="P809" s="6">
        <v>10898200</v>
      </c>
      <c r="Q809" s="6">
        <f>+M809</f>
        <v>9158151</v>
      </c>
      <c r="R809" s="6">
        <f t="shared" si="156"/>
        <v>228953.77499999999</v>
      </c>
      <c r="T809"/>
    </row>
    <row r="810" spans="2:20" s="5" customFormat="1" x14ac:dyDescent="0.3">
      <c r="B810" s="5" t="s">
        <v>16</v>
      </c>
      <c r="C810" s="5" t="s">
        <v>1465</v>
      </c>
      <c r="D810" s="5" t="s">
        <v>35</v>
      </c>
      <c r="E810" s="5" t="s">
        <v>460</v>
      </c>
      <c r="F810" s="5" t="s">
        <v>365</v>
      </c>
      <c r="G810" s="5" t="s">
        <v>366</v>
      </c>
      <c r="H810" s="6">
        <v>2.1052630618214607E-2</v>
      </c>
      <c r="I810" s="6">
        <f t="shared" si="166"/>
        <v>7391328.5789473681</v>
      </c>
      <c r="J810" s="6">
        <v>1404352.43</v>
      </c>
      <c r="K810" s="6">
        <v>0</v>
      </c>
      <c r="L810" s="6">
        <v>0</v>
      </c>
      <c r="M810" s="6">
        <f t="shared" si="163"/>
        <v>7391328.5999999987</v>
      </c>
      <c r="N810" s="6">
        <f t="shared" si="168"/>
        <v>1404352.43</v>
      </c>
      <c r="O810" s="6">
        <f t="shared" si="167"/>
        <v>8795681.0299999993</v>
      </c>
      <c r="P810" s="6">
        <v>8795681.0299999993</v>
      </c>
      <c r="Q810" s="6">
        <f>+M810</f>
        <v>7391328.5999999987</v>
      </c>
      <c r="R810" s="6">
        <f t="shared" si="156"/>
        <v>184783.21499999997</v>
      </c>
      <c r="S810"/>
      <c r="T810"/>
    </row>
    <row r="811" spans="2:20" s="5" customFormat="1" x14ac:dyDescent="0.3">
      <c r="B811" s="7" t="s">
        <v>16</v>
      </c>
      <c r="C811" s="7" t="s">
        <v>1466</v>
      </c>
      <c r="D811" s="7" t="s">
        <v>35</v>
      </c>
      <c r="E811" s="7" t="s">
        <v>431</v>
      </c>
      <c r="F811" s="7" t="s">
        <v>365</v>
      </c>
      <c r="G811" s="7" t="s">
        <v>366</v>
      </c>
      <c r="H811" s="8">
        <f>+P811-I811-J811</f>
        <v>0</v>
      </c>
      <c r="I811" s="8">
        <f t="shared" si="166"/>
        <v>3238228</v>
      </c>
      <c r="J811" s="8">
        <v>615263.31999999995</v>
      </c>
      <c r="K811" s="8">
        <v>0</v>
      </c>
      <c r="L811" s="8">
        <v>0</v>
      </c>
      <c r="M811" s="8">
        <f>+I811+H811</f>
        <v>3238228</v>
      </c>
      <c r="N811" s="8">
        <f t="shared" si="168"/>
        <v>615263.31999999995</v>
      </c>
      <c r="O811" s="8">
        <f t="shared" si="167"/>
        <v>3853491.32</v>
      </c>
      <c r="P811" s="8">
        <v>3853491.32</v>
      </c>
      <c r="Q811" s="8">
        <f>+M811-3238228</f>
        <v>0</v>
      </c>
      <c r="R811" s="8">
        <f t="shared" si="156"/>
        <v>0</v>
      </c>
      <c r="T811"/>
    </row>
    <row r="812" spans="2:20" s="5" customFormat="1" x14ac:dyDescent="0.3">
      <c r="B812" s="7" t="s">
        <v>16</v>
      </c>
      <c r="C812" s="7" t="s">
        <v>1467</v>
      </c>
      <c r="D812" s="7" t="s">
        <v>35</v>
      </c>
      <c r="E812" s="7" t="s">
        <v>431</v>
      </c>
      <c r="F812" s="7" t="s">
        <v>365</v>
      </c>
      <c r="G812" s="7" t="s">
        <v>366</v>
      </c>
      <c r="H812" s="8">
        <f>+P812-I812-J812</f>
        <v>0</v>
      </c>
      <c r="I812" s="8">
        <f t="shared" si="166"/>
        <v>3322432</v>
      </c>
      <c r="J812" s="8">
        <v>631262.07999999996</v>
      </c>
      <c r="K812" s="8">
        <v>0</v>
      </c>
      <c r="L812" s="8">
        <v>0</v>
      </c>
      <c r="M812" s="8">
        <f>+I812+H812</f>
        <v>3322432</v>
      </c>
      <c r="N812" s="8">
        <f t="shared" si="168"/>
        <v>631262.07999999996</v>
      </c>
      <c r="O812" s="8">
        <f t="shared" si="167"/>
        <v>3953694.08</v>
      </c>
      <c r="P812" s="8">
        <v>3953694.08</v>
      </c>
      <c r="Q812" s="8">
        <f>+M812</f>
        <v>3322432</v>
      </c>
      <c r="R812" s="8">
        <f t="shared" si="156"/>
        <v>83060.800000000003</v>
      </c>
      <c r="T812"/>
    </row>
    <row r="813" spans="2:20" s="5" customFormat="1" x14ac:dyDescent="0.3">
      <c r="B813" s="5" t="s">
        <v>16</v>
      </c>
      <c r="C813" s="5" t="s">
        <v>1468</v>
      </c>
      <c r="D813" s="5" t="s">
        <v>35</v>
      </c>
      <c r="E813" s="5" t="s">
        <v>713</v>
      </c>
      <c r="F813" s="5" t="s">
        <v>365</v>
      </c>
      <c r="G813" s="5" t="s">
        <v>366</v>
      </c>
      <c r="H813" s="6">
        <f>+P813-I813-J813</f>
        <v>2.1052632364444435E-2</v>
      </c>
      <c r="I813" s="6">
        <f t="shared" si="166"/>
        <v>4244717.5789473681</v>
      </c>
      <c r="J813" s="6">
        <v>806496.34</v>
      </c>
      <c r="K813" s="6">
        <v>0</v>
      </c>
      <c r="L813" s="6">
        <v>0</v>
      </c>
      <c r="M813" s="6">
        <f>+H813+I813+K813</f>
        <v>4244717.6000000006</v>
      </c>
      <c r="N813" s="6">
        <f t="shared" si="168"/>
        <v>806496.34</v>
      </c>
      <c r="O813" s="6">
        <f t="shared" si="167"/>
        <v>5051213.9400000004</v>
      </c>
      <c r="P813" s="6">
        <v>5051213.9400000004</v>
      </c>
      <c r="Q813" s="6">
        <f>+M813</f>
        <v>4244717.6000000006</v>
      </c>
      <c r="R813" s="6">
        <f t="shared" si="156"/>
        <v>106117.94000000002</v>
      </c>
      <c r="T813"/>
    </row>
    <row r="814" spans="2:20" s="5" customFormat="1" x14ac:dyDescent="0.3">
      <c r="B814" s="5" t="s">
        <v>16</v>
      </c>
      <c r="C814" s="5" t="s">
        <v>1469</v>
      </c>
      <c r="D814" s="5" t="s">
        <v>35</v>
      </c>
      <c r="E814" s="5" t="s">
        <v>24</v>
      </c>
      <c r="F814" s="5" t="s">
        <v>365</v>
      </c>
      <c r="G814" s="5" t="s">
        <v>366</v>
      </c>
      <c r="H814" s="6">
        <f>+P814-I814-J814</f>
        <v>0</v>
      </c>
      <c r="I814" s="6">
        <f t="shared" si="166"/>
        <v>4920462</v>
      </c>
      <c r="J814" s="6">
        <v>934887.78</v>
      </c>
      <c r="K814" s="6">
        <v>0</v>
      </c>
      <c r="L814" s="6">
        <v>0</v>
      </c>
      <c r="M814" s="6">
        <f>+H814+I814+K814</f>
        <v>4920462</v>
      </c>
      <c r="N814" s="6">
        <f t="shared" si="168"/>
        <v>934887.78</v>
      </c>
      <c r="O814" s="6">
        <f t="shared" si="167"/>
        <v>5855349.7800000003</v>
      </c>
      <c r="P814" s="6">
        <v>5855349.7800000003</v>
      </c>
      <c r="Q814" s="6">
        <f>+M814</f>
        <v>4920462</v>
      </c>
      <c r="R814" s="6">
        <f t="shared" si="156"/>
        <v>123011.55</v>
      </c>
      <c r="T814"/>
    </row>
    <row r="815" spans="2:20" s="5" customFormat="1" x14ac:dyDescent="0.3">
      <c r="B815" s="5" t="s">
        <v>16</v>
      </c>
      <c r="C815" s="5" t="s">
        <v>1470</v>
      </c>
      <c r="D815" s="5" t="s">
        <v>35</v>
      </c>
      <c r="E815" s="5" t="s">
        <v>1056</v>
      </c>
      <c r="F815" s="5" t="s">
        <v>365</v>
      </c>
      <c r="G815" s="5" t="s">
        <v>366</v>
      </c>
      <c r="H815" s="6">
        <v>0</v>
      </c>
      <c r="I815" s="6">
        <f t="shared" si="166"/>
        <v>8784956</v>
      </c>
      <c r="J815" s="6">
        <v>1669141.64</v>
      </c>
      <c r="K815" s="6">
        <v>0</v>
      </c>
      <c r="L815" s="6">
        <v>0</v>
      </c>
      <c r="M815" s="6">
        <f>+H815+I815+K815</f>
        <v>8784956</v>
      </c>
      <c r="N815" s="6">
        <f t="shared" si="168"/>
        <v>1669141.64</v>
      </c>
      <c r="O815" s="6">
        <f t="shared" si="167"/>
        <v>10454097.640000001</v>
      </c>
      <c r="P815" s="6">
        <v>10454097.640000001</v>
      </c>
      <c r="Q815" s="6">
        <f>+M815</f>
        <v>8784956</v>
      </c>
      <c r="R815" s="6">
        <f t="shared" si="156"/>
        <v>219623.9</v>
      </c>
      <c r="T815"/>
    </row>
    <row r="816" spans="2:20" s="5" customFormat="1" x14ac:dyDescent="0.3">
      <c r="B816" s="7" t="s">
        <v>16</v>
      </c>
      <c r="C816" s="7" t="s">
        <v>1471</v>
      </c>
      <c r="D816" s="7" t="s">
        <v>1472</v>
      </c>
      <c r="E816" s="7" t="s">
        <v>1473</v>
      </c>
      <c r="F816" s="7" t="s">
        <v>496</v>
      </c>
      <c r="G816" s="7" t="s">
        <v>497</v>
      </c>
      <c r="H816" s="8">
        <f t="shared" ref="H816:H822" si="169">+P816-I816-J816</f>
        <v>0</v>
      </c>
      <c r="I816" s="8">
        <f t="shared" si="166"/>
        <v>1424040.9999999998</v>
      </c>
      <c r="J816" s="8">
        <v>270567.78999999998</v>
      </c>
      <c r="K816" s="8">
        <v>0</v>
      </c>
      <c r="L816" s="8">
        <v>0</v>
      </c>
      <c r="M816" s="8">
        <f>+I816+H816</f>
        <v>1424040.9999999998</v>
      </c>
      <c r="N816" s="8">
        <f t="shared" si="168"/>
        <v>270567.78999999998</v>
      </c>
      <c r="O816" s="8">
        <f t="shared" si="167"/>
        <v>1694608.7899999998</v>
      </c>
      <c r="P816" s="8">
        <v>1694608.79</v>
      </c>
      <c r="Q816" s="8">
        <f>+M816</f>
        <v>1424040.9999999998</v>
      </c>
      <c r="R816" s="8">
        <f t="shared" si="156"/>
        <v>35601.024999999994</v>
      </c>
      <c r="T816"/>
    </row>
    <row r="817" spans="2:22" s="5" customFormat="1" x14ac:dyDescent="0.3">
      <c r="B817" s="5" t="s">
        <v>16</v>
      </c>
      <c r="C817" s="5" t="s">
        <v>1474</v>
      </c>
      <c r="D817" s="5" t="s">
        <v>1472</v>
      </c>
      <c r="E817" s="5" t="s">
        <v>508</v>
      </c>
      <c r="F817" s="5" t="s">
        <v>496</v>
      </c>
      <c r="G817" s="5" t="s">
        <v>1475</v>
      </c>
      <c r="H817" s="6">
        <f t="shared" si="169"/>
        <v>0</v>
      </c>
      <c r="I817" s="6">
        <f t="shared" si="166"/>
        <v>288602</v>
      </c>
      <c r="J817" s="6">
        <v>54834.38</v>
      </c>
      <c r="K817" s="6">
        <v>0</v>
      </c>
      <c r="L817" s="6">
        <v>0</v>
      </c>
      <c r="M817" s="6">
        <f>+H817+I817+K817</f>
        <v>288602</v>
      </c>
      <c r="N817" s="6">
        <f t="shared" si="168"/>
        <v>54834.38</v>
      </c>
      <c r="O817" s="6">
        <f t="shared" si="167"/>
        <v>343436.38</v>
      </c>
      <c r="P817" s="6">
        <v>343436.38</v>
      </c>
      <c r="Q817" s="6">
        <v>0</v>
      </c>
      <c r="R817" s="6">
        <f t="shared" si="156"/>
        <v>0</v>
      </c>
      <c r="T817"/>
      <c r="U817"/>
      <c r="V817"/>
    </row>
    <row r="818" spans="2:22" s="5" customFormat="1" x14ac:dyDescent="0.3">
      <c r="B818" s="5" t="s">
        <v>16</v>
      </c>
      <c r="C818" s="5" t="s">
        <v>1476</v>
      </c>
      <c r="D818" s="5" t="s">
        <v>1250</v>
      </c>
      <c r="E818" s="5" t="s">
        <v>1014</v>
      </c>
      <c r="F818" s="5" t="s">
        <v>401</v>
      </c>
      <c r="G818" s="5" t="s">
        <v>402</v>
      </c>
      <c r="H818" s="6">
        <f t="shared" si="169"/>
        <v>1.0526315774768591E-2</v>
      </c>
      <c r="I818" s="6">
        <f t="shared" si="166"/>
        <v>19037302.789473683</v>
      </c>
      <c r="J818" s="6">
        <v>3617087.53</v>
      </c>
      <c r="K818" s="6">
        <v>0</v>
      </c>
      <c r="L818" s="6">
        <v>0</v>
      </c>
      <c r="M818" s="6">
        <f>+H818+I818+K818</f>
        <v>19037302.799999997</v>
      </c>
      <c r="N818" s="6">
        <f t="shared" si="168"/>
        <v>3617087.53</v>
      </c>
      <c r="O818" s="6">
        <f t="shared" si="167"/>
        <v>22654390.329999998</v>
      </c>
      <c r="P818" s="6">
        <v>22654390.329999998</v>
      </c>
      <c r="Q818" s="6">
        <f>+M818</f>
        <v>19037302.799999997</v>
      </c>
      <c r="R818" s="6">
        <f t="shared" si="156"/>
        <v>475932.56999999995</v>
      </c>
      <c r="T818"/>
      <c r="U818"/>
      <c r="V818"/>
    </row>
    <row r="819" spans="2:22" s="5" customFormat="1" x14ac:dyDescent="0.3">
      <c r="B819" s="5" t="s">
        <v>16</v>
      </c>
      <c r="C819" s="5" t="s">
        <v>1477</v>
      </c>
      <c r="D819" s="5" t="s">
        <v>1250</v>
      </c>
      <c r="E819" s="5" t="s">
        <v>368</v>
      </c>
      <c r="F819" s="5" t="s">
        <v>401</v>
      </c>
      <c r="G819" s="5" t="s">
        <v>402</v>
      </c>
      <c r="H819" s="6">
        <f t="shared" si="169"/>
        <v>3.9999999571591616E-3</v>
      </c>
      <c r="I819" s="6">
        <f t="shared" si="166"/>
        <v>9865311.4000000004</v>
      </c>
      <c r="J819" s="6">
        <v>1874409.166</v>
      </c>
      <c r="K819" s="6">
        <v>0</v>
      </c>
      <c r="L819" s="6">
        <v>0</v>
      </c>
      <c r="M819" s="6">
        <f>+H819+I819+K819</f>
        <v>9865311.404000001</v>
      </c>
      <c r="N819" s="6">
        <f t="shared" si="168"/>
        <v>1874409.166</v>
      </c>
      <c r="O819" s="6">
        <f t="shared" si="167"/>
        <v>11739720.57</v>
      </c>
      <c r="P819" s="6">
        <v>11739720.57</v>
      </c>
      <c r="Q819" s="6">
        <f>+M819</f>
        <v>9865311.404000001</v>
      </c>
      <c r="R819" s="6">
        <f t="shared" si="156"/>
        <v>246632.78510000001</v>
      </c>
      <c r="T819"/>
      <c r="U819" s="7"/>
      <c r="V819" s="7"/>
    </row>
    <row r="820" spans="2:22" s="5" customFormat="1" x14ac:dyDescent="0.3">
      <c r="B820" s="7" t="s">
        <v>16</v>
      </c>
      <c r="C820" s="7" t="s">
        <v>1478</v>
      </c>
      <c r="D820" s="7" t="s">
        <v>47</v>
      </c>
      <c r="E820" s="7" t="s">
        <v>1278</v>
      </c>
      <c r="F820" s="7" t="s">
        <v>49</v>
      </c>
      <c r="G820" s="7" t="s">
        <v>50</v>
      </c>
      <c r="H820" s="8">
        <f t="shared" si="169"/>
        <v>-9.2631578983855434E-2</v>
      </c>
      <c r="I820" s="8">
        <f t="shared" si="166"/>
        <v>565714.05263157899</v>
      </c>
      <c r="J820" s="8">
        <v>107485.67</v>
      </c>
      <c r="K820" s="8">
        <v>0</v>
      </c>
      <c r="L820" s="8">
        <v>0</v>
      </c>
      <c r="M820" s="8">
        <f>+I820+H820</f>
        <v>565713.96</v>
      </c>
      <c r="N820" s="8">
        <f t="shared" si="168"/>
        <v>107485.67</v>
      </c>
      <c r="O820" s="8">
        <f t="shared" si="167"/>
        <v>673199.63</v>
      </c>
      <c r="P820" s="8">
        <v>673199.63</v>
      </c>
      <c r="Q820" s="8">
        <v>0</v>
      </c>
      <c r="R820" s="8">
        <f t="shared" ref="R820:R883" si="170">+Q820*2.5/100</f>
        <v>0</v>
      </c>
      <c r="T820"/>
    </row>
    <row r="821" spans="2:22" s="5" customFormat="1" x14ac:dyDescent="0.3">
      <c r="B821" s="7" t="s">
        <v>16</v>
      </c>
      <c r="C821" s="7" t="s">
        <v>1479</v>
      </c>
      <c r="D821" s="7" t="s">
        <v>47</v>
      </c>
      <c r="E821" s="7" t="s">
        <v>148</v>
      </c>
      <c r="F821" s="7" t="s">
        <v>49</v>
      </c>
      <c r="G821" s="7" t="s">
        <v>50</v>
      </c>
      <c r="H821" s="8">
        <f t="shared" si="169"/>
        <v>1.4736842080310453E-2</v>
      </c>
      <c r="I821" s="8">
        <f t="shared" si="166"/>
        <v>236571.10526315792</v>
      </c>
      <c r="J821" s="8">
        <v>44948.51</v>
      </c>
      <c r="K821" s="8">
        <v>0</v>
      </c>
      <c r="L821" s="8">
        <v>0</v>
      </c>
      <c r="M821" s="8">
        <f>+I821+H821</f>
        <v>236571.12</v>
      </c>
      <c r="N821" s="8">
        <f t="shared" si="168"/>
        <v>44948.51</v>
      </c>
      <c r="O821" s="8">
        <f t="shared" si="167"/>
        <v>281519.63</v>
      </c>
      <c r="P821" s="8">
        <v>281519.63</v>
      </c>
      <c r="Q821" s="8">
        <v>0</v>
      </c>
      <c r="R821" s="8">
        <f t="shared" si="170"/>
        <v>0</v>
      </c>
      <c r="T821"/>
      <c r="U821" s="7"/>
      <c r="V821" s="7"/>
    </row>
    <row r="822" spans="2:22" s="5" customFormat="1" x14ac:dyDescent="0.3">
      <c r="B822" s="7" t="s">
        <v>16</v>
      </c>
      <c r="C822" s="7" t="s">
        <v>1480</v>
      </c>
      <c r="D822" s="7" t="s">
        <v>47</v>
      </c>
      <c r="E822" s="7" t="s">
        <v>148</v>
      </c>
      <c r="F822" s="7" t="s">
        <v>49</v>
      </c>
      <c r="G822" s="7" t="s">
        <v>50</v>
      </c>
      <c r="H822" s="8">
        <f t="shared" si="169"/>
        <v>-7.2631578950677067E-2</v>
      </c>
      <c r="I822" s="8">
        <f t="shared" si="166"/>
        <v>65627.052631578947</v>
      </c>
      <c r="J822" s="8">
        <v>12469.14</v>
      </c>
      <c r="K822" s="8">
        <v>0</v>
      </c>
      <c r="L822" s="8">
        <v>0</v>
      </c>
      <c r="M822" s="8">
        <f>+I822+H822</f>
        <v>65626.98</v>
      </c>
      <c r="N822" s="8">
        <f t="shared" si="168"/>
        <v>12469.14</v>
      </c>
      <c r="O822" s="8">
        <f t="shared" si="167"/>
        <v>78096.12</v>
      </c>
      <c r="P822" s="8">
        <v>78096.12</v>
      </c>
      <c r="Q822" s="8">
        <v>0</v>
      </c>
      <c r="R822" s="8">
        <f t="shared" si="170"/>
        <v>0</v>
      </c>
      <c r="T822"/>
    </row>
    <row r="823" spans="2:22" s="5" customFormat="1" x14ac:dyDescent="0.3">
      <c r="B823" s="5" t="s">
        <v>16</v>
      </c>
      <c r="C823" s="5" t="s">
        <v>1481</v>
      </c>
      <c r="D823" s="5" t="s">
        <v>1482</v>
      </c>
      <c r="E823" s="5" t="s">
        <v>1267</v>
      </c>
      <c r="F823" s="5" t="s">
        <v>482</v>
      </c>
      <c r="G823" s="5" t="s">
        <v>483</v>
      </c>
      <c r="H823" s="6">
        <v>-3.8947368564549834E-2</v>
      </c>
      <c r="I823" s="6">
        <f t="shared" si="166"/>
        <v>2723865.5789473685</v>
      </c>
      <c r="J823" s="6">
        <v>517534.46</v>
      </c>
      <c r="K823" s="6"/>
      <c r="L823" s="6"/>
      <c r="M823" s="6">
        <f>+H823+I823</f>
        <v>2723865.54</v>
      </c>
      <c r="N823" s="6">
        <f>+J823</f>
        <v>517534.46</v>
      </c>
      <c r="O823" s="6">
        <f t="shared" si="167"/>
        <v>3241400</v>
      </c>
      <c r="P823" s="6">
        <v>3241400</v>
      </c>
      <c r="Q823" s="6">
        <f>+M823</f>
        <v>2723865.54</v>
      </c>
      <c r="R823" s="6">
        <f t="shared" si="170"/>
        <v>68096.638500000001</v>
      </c>
      <c r="T823"/>
    </row>
    <row r="824" spans="2:22" s="5" customFormat="1" x14ac:dyDescent="0.3">
      <c r="B824" s="5" t="s">
        <v>16</v>
      </c>
      <c r="C824" s="5" t="s">
        <v>1483</v>
      </c>
      <c r="D824" s="5" t="s">
        <v>35</v>
      </c>
      <c r="E824" s="5" t="s">
        <v>1484</v>
      </c>
      <c r="F824" s="5" t="s">
        <v>66</v>
      </c>
      <c r="G824" s="5" t="s">
        <v>1485</v>
      </c>
      <c r="H824" s="6">
        <v>0</v>
      </c>
      <c r="I824" s="6">
        <f t="shared" si="166"/>
        <v>3891240</v>
      </c>
      <c r="J824" s="6">
        <v>739335.6</v>
      </c>
      <c r="K824" s="6"/>
      <c r="L824" s="6"/>
      <c r="M824" s="6">
        <f>+H824+I824</f>
        <v>3891240</v>
      </c>
      <c r="N824" s="6">
        <f>+J824</f>
        <v>739335.6</v>
      </c>
      <c r="O824" s="6">
        <f t="shared" si="167"/>
        <v>4630575.5999999996</v>
      </c>
      <c r="P824" s="6">
        <v>4630575.5999999996</v>
      </c>
      <c r="Q824" s="6">
        <f>+M824</f>
        <v>3891240</v>
      </c>
      <c r="R824" s="6">
        <f t="shared" si="170"/>
        <v>97281</v>
      </c>
      <c r="T824"/>
    </row>
    <row r="825" spans="2:22" s="5" customFormat="1" x14ac:dyDescent="0.3">
      <c r="B825" s="5" t="s">
        <v>16</v>
      </c>
      <c r="C825" s="5" t="s">
        <v>1486</v>
      </c>
      <c r="D825" s="5" t="s">
        <v>35</v>
      </c>
      <c r="E825" s="5" t="s">
        <v>918</v>
      </c>
      <c r="F825" s="5" t="s">
        <v>66</v>
      </c>
      <c r="G825" s="5" t="s">
        <v>1485</v>
      </c>
      <c r="H825" s="6">
        <v>0</v>
      </c>
      <c r="I825" s="6">
        <f t="shared" si="166"/>
        <v>14043550</v>
      </c>
      <c r="J825" s="6">
        <v>2668274.5</v>
      </c>
      <c r="K825" s="6"/>
      <c r="L825" s="6"/>
      <c r="M825" s="6">
        <f>+H825+I825</f>
        <v>14043550</v>
      </c>
      <c r="N825" s="6">
        <f>+J825</f>
        <v>2668274.5</v>
      </c>
      <c r="O825" s="6">
        <f t="shared" si="167"/>
        <v>16711824.5</v>
      </c>
      <c r="P825" s="6">
        <v>16711824.5</v>
      </c>
      <c r="Q825" s="6">
        <f>+M825</f>
        <v>14043550</v>
      </c>
      <c r="R825" s="6">
        <f t="shared" si="170"/>
        <v>351088.75</v>
      </c>
      <c r="T825"/>
    </row>
    <row r="826" spans="2:22" s="5" customFormat="1" x14ac:dyDescent="0.3">
      <c r="B826" s="7" t="s">
        <v>16</v>
      </c>
      <c r="C826" s="7" t="s">
        <v>1487</v>
      </c>
      <c r="D826" s="7" t="s">
        <v>35</v>
      </c>
      <c r="E826" s="7" t="s">
        <v>980</v>
      </c>
      <c r="F826" s="7" t="s">
        <v>66</v>
      </c>
      <c r="G826" s="7" t="s">
        <v>1485</v>
      </c>
      <c r="H826" s="8">
        <f>+P826-I826-J826</f>
        <v>0</v>
      </c>
      <c r="I826" s="8">
        <f t="shared" si="166"/>
        <v>1066240</v>
      </c>
      <c r="J826" s="8">
        <v>202585.60000000001</v>
      </c>
      <c r="K826" s="8">
        <v>0</v>
      </c>
      <c r="L826" s="8">
        <v>0</v>
      </c>
      <c r="M826" s="8">
        <f>+I826+H826</f>
        <v>1066240</v>
      </c>
      <c r="N826" s="8">
        <f t="shared" ref="N826:N832" si="171">+J826+L826</f>
        <v>202585.60000000001</v>
      </c>
      <c r="O826" s="8">
        <f t="shared" si="167"/>
        <v>1268825.6000000001</v>
      </c>
      <c r="P826" s="8">
        <v>1268825.6000000001</v>
      </c>
      <c r="Q826" s="8">
        <v>0</v>
      </c>
      <c r="R826" s="8">
        <f t="shared" si="170"/>
        <v>0</v>
      </c>
      <c r="S826" s="6"/>
      <c r="T826"/>
    </row>
    <row r="827" spans="2:22" s="5" customFormat="1" x14ac:dyDescent="0.3">
      <c r="B827" s="5" t="s">
        <v>16</v>
      </c>
      <c r="C827" s="5" t="s">
        <v>1488</v>
      </c>
      <c r="D827" s="5" t="s">
        <v>35</v>
      </c>
      <c r="E827" s="5" t="s">
        <v>1282</v>
      </c>
      <c r="F827" s="5" t="s">
        <v>66</v>
      </c>
      <c r="G827" s="5" t="s">
        <v>1485</v>
      </c>
      <c r="H827" s="6">
        <f>+P827-I827-J827</f>
        <v>0</v>
      </c>
      <c r="I827" s="6">
        <f t="shared" si="166"/>
        <v>926669.99999999988</v>
      </c>
      <c r="J827" s="6">
        <v>176067.3</v>
      </c>
      <c r="K827" s="6">
        <v>0</v>
      </c>
      <c r="L827" s="6">
        <v>0</v>
      </c>
      <c r="M827" s="6">
        <f t="shared" ref="M827:M832" si="172">+H827+I827+K827</f>
        <v>926669.99999999988</v>
      </c>
      <c r="N827" s="6">
        <f t="shared" si="171"/>
        <v>176067.3</v>
      </c>
      <c r="O827" s="6">
        <f t="shared" si="167"/>
        <v>1102737.2999999998</v>
      </c>
      <c r="P827" s="6">
        <v>1102737.3</v>
      </c>
      <c r="Q827" s="6"/>
      <c r="R827" s="6">
        <f t="shared" si="170"/>
        <v>0</v>
      </c>
      <c r="S827" s="6"/>
      <c r="T827"/>
    </row>
    <row r="828" spans="2:22" s="5" customFormat="1" x14ac:dyDescent="0.3">
      <c r="B828" s="5" t="s">
        <v>16</v>
      </c>
      <c r="C828" s="5" t="s">
        <v>1489</v>
      </c>
      <c r="D828" s="5" t="s">
        <v>1490</v>
      </c>
      <c r="E828" s="5" t="s">
        <v>864</v>
      </c>
      <c r="F828" s="5" t="s">
        <v>424</v>
      </c>
      <c r="G828" s="5" t="s">
        <v>425</v>
      </c>
      <c r="H828" s="6">
        <f>+P828-I828-J828</f>
        <v>0</v>
      </c>
      <c r="I828" s="6">
        <f t="shared" si="166"/>
        <v>5368812</v>
      </c>
      <c r="J828" s="6">
        <v>1020074.28</v>
      </c>
      <c r="K828" s="6">
        <v>0</v>
      </c>
      <c r="L828" s="6">
        <v>0</v>
      </c>
      <c r="M828" s="6">
        <f t="shared" si="172"/>
        <v>5368812</v>
      </c>
      <c r="N828" s="6">
        <f t="shared" si="171"/>
        <v>1020074.28</v>
      </c>
      <c r="O828" s="6">
        <f t="shared" si="167"/>
        <v>6388886.2800000003</v>
      </c>
      <c r="P828" s="6">
        <v>6388886.2800000003</v>
      </c>
      <c r="Q828" s="6">
        <f>+M828</f>
        <v>5368812</v>
      </c>
      <c r="R828" s="6">
        <f t="shared" si="170"/>
        <v>134220.29999999999</v>
      </c>
      <c r="S828" s="6"/>
      <c r="T828"/>
      <c r="U828"/>
      <c r="V828"/>
    </row>
    <row r="829" spans="2:22" s="5" customFormat="1" x14ac:dyDescent="0.3">
      <c r="B829" s="5" t="s">
        <v>16</v>
      </c>
      <c r="C829" s="5" t="s">
        <v>1491</v>
      </c>
      <c r="D829" s="5" t="s">
        <v>132</v>
      </c>
      <c r="E829" s="5" t="s">
        <v>133</v>
      </c>
      <c r="F829" s="5">
        <v>70696078</v>
      </c>
      <c r="G829" s="5" t="s">
        <v>1492</v>
      </c>
      <c r="H829" s="6">
        <f>+P829-I829-J829</f>
        <v>0</v>
      </c>
      <c r="I829" s="6">
        <f t="shared" si="166"/>
        <v>193200</v>
      </c>
      <c r="J829" s="6">
        <v>36708</v>
      </c>
      <c r="K829" s="6">
        <v>0</v>
      </c>
      <c r="L829" s="6">
        <v>0</v>
      </c>
      <c r="M829" s="6">
        <f t="shared" si="172"/>
        <v>193200</v>
      </c>
      <c r="N829" s="6">
        <f t="shared" si="171"/>
        <v>36708</v>
      </c>
      <c r="O829" s="6">
        <f t="shared" si="167"/>
        <v>229908</v>
      </c>
      <c r="P829" s="6">
        <v>229908</v>
      </c>
      <c r="Q829" s="6">
        <v>0</v>
      </c>
      <c r="R829" s="6">
        <f t="shared" si="170"/>
        <v>0</v>
      </c>
      <c r="T829"/>
      <c r="U829" s="7"/>
      <c r="V829" s="7"/>
    </row>
    <row r="830" spans="2:22" s="5" customFormat="1" x14ac:dyDescent="0.3">
      <c r="B830" s="5" t="s">
        <v>16</v>
      </c>
      <c r="C830" s="5" t="s">
        <v>1493</v>
      </c>
      <c r="D830" s="5" t="s">
        <v>1494</v>
      </c>
      <c r="E830" s="5" t="s">
        <v>687</v>
      </c>
      <c r="F830" s="5" t="s">
        <v>1495</v>
      </c>
      <c r="G830" s="5" t="s">
        <v>1496</v>
      </c>
      <c r="H830" s="6">
        <v>231700.07789473687</v>
      </c>
      <c r="I830" s="6">
        <f t="shared" si="166"/>
        <v>194677.84210526315</v>
      </c>
      <c r="J830" s="6">
        <v>36988.79</v>
      </c>
      <c r="K830" s="6">
        <v>0</v>
      </c>
      <c r="L830" s="6">
        <v>0</v>
      </c>
      <c r="M830" s="6">
        <f t="shared" si="172"/>
        <v>426377.92000000004</v>
      </c>
      <c r="N830" s="6">
        <f t="shared" si="171"/>
        <v>36988.79</v>
      </c>
      <c r="O830" s="6">
        <f t="shared" si="167"/>
        <v>463366.71</v>
      </c>
      <c r="P830" s="6">
        <v>463366.71</v>
      </c>
      <c r="Q830" s="6">
        <f>+P830-O830</f>
        <v>0</v>
      </c>
      <c r="R830" s="6">
        <f t="shared" si="170"/>
        <v>0</v>
      </c>
      <c r="S830" s="6"/>
      <c r="T830"/>
      <c r="U830" s="7"/>
      <c r="V830" s="7"/>
    </row>
    <row r="831" spans="2:22" s="5" customFormat="1" x14ac:dyDescent="0.3">
      <c r="B831" s="5" t="s">
        <v>16</v>
      </c>
      <c r="C831" s="5" t="s">
        <v>1497</v>
      </c>
      <c r="D831" s="5" t="s">
        <v>1494</v>
      </c>
      <c r="E831" s="5" t="s">
        <v>1498</v>
      </c>
      <c r="F831" s="5" t="s">
        <v>1495</v>
      </c>
      <c r="G831" s="5" t="s">
        <v>1496</v>
      </c>
      <c r="H831" s="6">
        <v>503100.38210526307</v>
      </c>
      <c r="I831" s="6">
        <f t="shared" si="166"/>
        <v>218277.15789473685</v>
      </c>
      <c r="J831" s="6">
        <v>41472.660000000003</v>
      </c>
      <c r="K831" s="6">
        <v>0</v>
      </c>
      <c r="L831" s="6">
        <v>0</v>
      </c>
      <c r="M831" s="6">
        <f t="shared" si="172"/>
        <v>721377.53999999992</v>
      </c>
      <c r="N831" s="6">
        <f t="shared" si="171"/>
        <v>41472.660000000003</v>
      </c>
      <c r="O831" s="6">
        <f t="shared" si="167"/>
        <v>762850.2</v>
      </c>
      <c r="P831" s="6">
        <v>762850.2</v>
      </c>
      <c r="Q831" s="6">
        <v>0</v>
      </c>
      <c r="R831" s="6">
        <f t="shared" si="170"/>
        <v>0</v>
      </c>
      <c r="T831"/>
    </row>
    <row r="832" spans="2:22" s="5" customFormat="1" x14ac:dyDescent="0.3">
      <c r="B832" s="5" t="s">
        <v>16</v>
      </c>
      <c r="C832" s="5" t="s">
        <v>1499</v>
      </c>
      <c r="D832" s="5" t="s">
        <v>1494</v>
      </c>
      <c r="E832" s="5" t="s">
        <v>257</v>
      </c>
      <c r="F832" s="5" t="s">
        <v>1495</v>
      </c>
      <c r="G832" s="5" t="s">
        <v>1496</v>
      </c>
      <c r="H832" s="6">
        <v>383099.45473684213</v>
      </c>
      <c r="I832" s="6">
        <f t="shared" si="166"/>
        <v>142857.10526315789</v>
      </c>
      <c r="J832" s="6">
        <v>27142.85</v>
      </c>
      <c r="K832" s="6">
        <v>0</v>
      </c>
      <c r="L832" s="6">
        <v>0</v>
      </c>
      <c r="M832" s="6">
        <f t="shared" si="172"/>
        <v>525956.56000000006</v>
      </c>
      <c r="N832" s="6">
        <f t="shared" si="171"/>
        <v>27142.85</v>
      </c>
      <c r="O832" s="6">
        <f t="shared" si="167"/>
        <v>553099.41</v>
      </c>
      <c r="P832" s="6">
        <v>553099.41</v>
      </c>
      <c r="Q832" s="6">
        <v>0</v>
      </c>
      <c r="R832" s="6">
        <f t="shared" si="170"/>
        <v>0</v>
      </c>
      <c r="T832"/>
    </row>
    <row r="833" spans="2:22" s="5" customFormat="1" x14ac:dyDescent="0.3">
      <c r="B833" s="5" t="s">
        <v>16</v>
      </c>
      <c r="C833" s="5" t="s">
        <v>1500</v>
      </c>
      <c r="D833" s="5" t="s">
        <v>1494</v>
      </c>
      <c r="E833" s="5" t="s">
        <v>805</v>
      </c>
      <c r="F833" s="5" t="s">
        <v>1495</v>
      </c>
      <c r="G833" s="5" t="s">
        <v>1496</v>
      </c>
      <c r="H833" s="6">
        <v>240000</v>
      </c>
      <c r="I833" s="6">
        <f t="shared" si="166"/>
        <v>0</v>
      </c>
      <c r="J833" s="6">
        <v>0</v>
      </c>
      <c r="K833" s="6"/>
      <c r="L833" s="6"/>
      <c r="M833" s="6">
        <f>+H833+I833</f>
        <v>240000</v>
      </c>
      <c r="N833" s="6">
        <f>+J833</f>
        <v>0</v>
      </c>
      <c r="O833" s="6">
        <f t="shared" si="167"/>
        <v>240000</v>
      </c>
      <c r="P833" s="6">
        <v>240000</v>
      </c>
      <c r="Q833" s="6"/>
      <c r="R833" s="6">
        <f t="shared" si="170"/>
        <v>0</v>
      </c>
      <c r="T833"/>
    </row>
    <row r="834" spans="2:22" s="5" customFormat="1" x14ac:dyDescent="0.3">
      <c r="B834" s="5" t="s">
        <v>16</v>
      </c>
      <c r="C834" s="5" t="s">
        <v>1501</v>
      </c>
      <c r="D834" s="5" t="s">
        <v>1494</v>
      </c>
      <c r="E834" s="5" t="s">
        <v>671</v>
      </c>
      <c r="F834" s="5" t="s">
        <v>1495</v>
      </c>
      <c r="G834" s="5" t="s">
        <v>1496</v>
      </c>
      <c r="H834" s="6">
        <v>335398.41105263162</v>
      </c>
      <c r="I834" s="6">
        <f t="shared" si="166"/>
        <v>466724.57894736843</v>
      </c>
      <c r="J834" s="6">
        <v>88677.67</v>
      </c>
      <c r="K834" s="6"/>
      <c r="L834" s="6"/>
      <c r="M834" s="6">
        <f>+H834+I834</f>
        <v>802122.99</v>
      </c>
      <c r="N834" s="6">
        <f>+J834</f>
        <v>88677.67</v>
      </c>
      <c r="O834" s="6">
        <f t="shared" si="167"/>
        <v>890800.66</v>
      </c>
      <c r="P834" s="6">
        <v>890800.66</v>
      </c>
      <c r="Q834" s="6"/>
      <c r="R834" s="6">
        <f t="shared" si="170"/>
        <v>0</v>
      </c>
      <c r="T834"/>
    </row>
    <row r="835" spans="2:22" s="5" customFormat="1" x14ac:dyDescent="0.3">
      <c r="B835" s="5" t="s">
        <v>16</v>
      </c>
      <c r="C835" s="5" t="s">
        <v>1502</v>
      </c>
      <c r="D835" s="5" t="s">
        <v>1494</v>
      </c>
      <c r="E835" s="5" t="s">
        <v>1423</v>
      </c>
      <c r="F835" s="5" t="s">
        <v>1495</v>
      </c>
      <c r="G835" s="5" t="s">
        <v>1496</v>
      </c>
      <c r="H835" s="6">
        <v>377396.76210526319</v>
      </c>
      <c r="I835" s="6">
        <f t="shared" si="166"/>
        <v>348319.15789473685</v>
      </c>
      <c r="J835" s="6">
        <v>66180.639999999999</v>
      </c>
      <c r="K835" s="6"/>
      <c r="L835" s="6"/>
      <c r="M835" s="6">
        <f>+H835+I835</f>
        <v>725715.92</v>
      </c>
      <c r="N835" s="6">
        <f>+J835</f>
        <v>66180.639999999999</v>
      </c>
      <c r="O835" s="6">
        <f t="shared" si="167"/>
        <v>791896.56</v>
      </c>
      <c r="P835" s="6">
        <v>791896.56</v>
      </c>
      <c r="Q835" s="6"/>
      <c r="R835" s="6">
        <f t="shared" si="170"/>
        <v>0</v>
      </c>
      <c r="T835"/>
    </row>
    <row r="836" spans="2:22" s="5" customFormat="1" x14ac:dyDescent="0.3">
      <c r="B836" s="7" t="s">
        <v>16</v>
      </c>
      <c r="C836" s="7" t="s">
        <v>1503</v>
      </c>
      <c r="D836" s="7" t="s">
        <v>1494</v>
      </c>
      <c r="E836" s="7" t="s">
        <v>941</v>
      </c>
      <c r="F836" s="7" t="s">
        <v>1495</v>
      </c>
      <c r="G836" s="7" t="s">
        <v>1496</v>
      </c>
      <c r="H836" s="8">
        <f t="shared" ref="H836:H856" si="173">+P836-I836-J836</f>
        <v>260000.04000000004</v>
      </c>
      <c r="I836" s="8">
        <f t="shared" si="166"/>
        <v>135294</v>
      </c>
      <c r="J836" s="8">
        <v>25705.86</v>
      </c>
      <c r="K836" s="8">
        <v>0</v>
      </c>
      <c r="L836" s="8">
        <v>0</v>
      </c>
      <c r="M836" s="8">
        <f>+I836+H836</f>
        <v>395294.04000000004</v>
      </c>
      <c r="N836" s="8">
        <f t="shared" ref="N836:N866" si="174">+J836+L836</f>
        <v>25705.86</v>
      </c>
      <c r="O836" s="8">
        <f t="shared" si="167"/>
        <v>420999.9</v>
      </c>
      <c r="P836" s="8">
        <v>420999.9</v>
      </c>
      <c r="Q836" s="8">
        <v>0</v>
      </c>
      <c r="R836" s="8">
        <f t="shared" si="170"/>
        <v>0</v>
      </c>
      <c r="T836"/>
    </row>
    <row r="837" spans="2:22" s="5" customFormat="1" x14ac:dyDescent="0.3">
      <c r="B837" s="7" t="s">
        <v>16</v>
      </c>
      <c r="C837" s="7" t="s">
        <v>1504</v>
      </c>
      <c r="D837" s="7" t="s">
        <v>1494</v>
      </c>
      <c r="E837" s="7" t="s">
        <v>698</v>
      </c>
      <c r="F837" s="7" t="s">
        <v>1495</v>
      </c>
      <c r="G837" s="7" t="s">
        <v>1496</v>
      </c>
      <c r="H837" s="8">
        <f t="shared" si="173"/>
        <v>300000.12631578947</v>
      </c>
      <c r="I837" s="8">
        <f t="shared" si="166"/>
        <v>31092.473684210523</v>
      </c>
      <c r="J837" s="8">
        <v>5907.57</v>
      </c>
      <c r="K837" s="8">
        <v>0</v>
      </c>
      <c r="L837" s="8">
        <v>0</v>
      </c>
      <c r="M837" s="8">
        <f>+I837+H837</f>
        <v>331092.59999999998</v>
      </c>
      <c r="N837" s="8">
        <f t="shared" si="174"/>
        <v>5907.57</v>
      </c>
      <c r="O837" s="8">
        <f t="shared" si="167"/>
        <v>337000.17</v>
      </c>
      <c r="P837" s="8">
        <v>337000.17</v>
      </c>
      <c r="Q837" s="8">
        <v>0</v>
      </c>
      <c r="R837" s="8">
        <f t="shared" si="170"/>
        <v>0</v>
      </c>
      <c r="T837"/>
    </row>
    <row r="838" spans="2:22" s="5" customFormat="1" x14ac:dyDescent="0.3">
      <c r="B838" s="7" t="s">
        <v>16</v>
      </c>
      <c r="C838" s="7" t="s">
        <v>1505</v>
      </c>
      <c r="D838" s="7" t="s">
        <v>1494</v>
      </c>
      <c r="E838" s="7" t="s">
        <v>765</v>
      </c>
      <c r="F838" s="7" t="s">
        <v>1495</v>
      </c>
      <c r="G838" s="7" t="s">
        <v>1496</v>
      </c>
      <c r="H838" s="8">
        <f t="shared" si="173"/>
        <v>322774.83421052631</v>
      </c>
      <c r="I838" s="8">
        <f t="shared" si="166"/>
        <v>165882.31578947368</v>
      </c>
      <c r="J838" s="8">
        <v>31517.64</v>
      </c>
      <c r="K838" s="8">
        <v>0</v>
      </c>
      <c r="L838" s="8">
        <v>0</v>
      </c>
      <c r="M838" s="8">
        <f>+I838+H838</f>
        <v>488657.15</v>
      </c>
      <c r="N838" s="8">
        <f t="shared" si="174"/>
        <v>31517.64</v>
      </c>
      <c r="O838" s="8">
        <f t="shared" si="167"/>
        <v>520174.79000000004</v>
      </c>
      <c r="P838" s="8">
        <v>520174.79</v>
      </c>
      <c r="Q838" s="8">
        <v>0</v>
      </c>
      <c r="R838" s="8">
        <f t="shared" si="170"/>
        <v>0</v>
      </c>
      <c r="T838"/>
    </row>
    <row r="839" spans="2:22" s="5" customFormat="1" x14ac:dyDescent="0.3">
      <c r="B839" s="7" t="s">
        <v>16</v>
      </c>
      <c r="C839" s="7" t="s">
        <v>1506</v>
      </c>
      <c r="D839" s="7" t="s">
        <v>1494</v>
      </c>
      <c r="E839" s="7" t="s">
        <v>196</v>
      </c>
      <c r="F839" s="7" t="s">
        <v>1495</v>
      </c>
      <c r="G839" s="7" t="s">
        <v>1496</v>
      </c>
      <c r="H839" s="8">
        <f t="shared" si="173"/>
        <v>296000.07894736843</v>
      </c>
      <c r="I839" s="8">
        <f t="shared" si="166"/>
        <v>178865.42105263157</v>
      </c>
      <c r="J839" s="8">
        <v>33984.43</v>
      </c>
      <c r="K839" s="8">
        <v>0</v>
      </c>
      <c r="L839" s="8">
        <v>0</v>
      </c>
      <c r="M839" s="8">
        <f>+I839+H839</f>
        <v>474865.5</v>
      </c>
      <c r="N839" s="8">
        <f t="shared" si="174"/>
        <v>33984.43</v>
      </c>
      <c r="O839" s="8">
        <f t="shared" si="167"/>
        <v>508849.93</v>
      </c>
      <c r="P839" s="8">
        <v>508849.93</v>
      </c>
      <c r="Q839" s="8">
        <v>0</v>
      </c>
      <c r="R839" s="8">
        <f t="shared" si="170"/>
        <v>0</v>
      </c>
      <c r="S839" s="7"/>
      <c r="T839"/>
    </row>
    <row r="840" spans="2:22" s="5" customFormat="1" x14ac:dyDescent="0.3">
      <c r="B840" s="5" t="s">
        <v>16</v>
      </c>
      <c r="C840" s="5" t="s">
        <v>1507</v>
      </c>
      <c r="D840" s="5" t="s">
        <v>1494</v>
      </c>
      <c r="E840" s="5" t="s">
        <v>520</v>
      </c>
      <c r="F840" s="5" t="s">
        <v>1495</v>
      </c>
      <c r="G840" s="5" t="s">
        <v>1496</v>
      </c>
      <c r="H840" s="6">
        <f t="shared" si="173"/>
        <v>240000.00368421062</v>
      </c>
      <c r="I840" s="6">
        <f t="shared" si="166"/>
        <v>324368.52631578944</v>
      </c>
      <c r="J840" s="6">
        <v>61630.02</v>
      </c>
      <c r="K840" s="6">
        <v>0</v>
      </c>
      <c r="L840" s="6">
        <v>0</v>
      </c>
      <c r="M840" s="6">
        <f t="shared" ref="M840:M866" si="175">+H840+I840+K840</f>
        <v>564368.53</v>
      </c>
      <c r="N840" s="6">
        <f t="shared" si="174"/>
        <v>61630.02</v>
      </c>
      <c r="O840" s="6">
        <f t="shared" si="167"/>
        <v>625998.55000000005</v>
      </c>
      <c r="P840" s="6">
        <v>625998.55000000005</v>
      </c>
      <c r="Q840" s="6"/>
      <c r="R840" s="6">
        <f t="shared" si="170"/>
        <v>0</v>
      </c>
      <c r="S840"/>
      <c r="T840"/>
      <c r="V840"/>
    </row>
    <row r="841" spans="2:22" s="5" customFormat="1" x14ac:dyDescent="0.3">
      <c r="B841" s="5" t="s">
        <v>16</v>
      </c>
      <c r="C841" s="5" t="s">
        <v>1508</v>
      </c>
      <c r="D841" s="5" t="s">
        <v>1494</v>
      </c>
      <c r="E841" s="5" t="s">
        <v>1509</v>
      </c>
      <c r="F841" s="5" t="s">
        <v>1495</v>
      </c>
      <c r="G841" s="5" t="s">
        <v>1496</v>
      </c>
      <c r="H841" s="6">
        <f t="shared" si="173"/>
        <v>239999.97789473683</v>
      </c>
      <c r="I841" s="6">
        <f t="shared" si="166"/>
        <v>142352.84210526315</v>
      </c>
      <c r="J841" s="6">
        <v>27047.040000000001</v>
      </c>
      <c r="K841" s="6">
        <v>0</v>
      </c>
      <c r="L841" s="6">
        <v>0</v>
      </c>
      <c r="M841" s="6">
        <f t="shared" si="175"/>
        <v>382352.81999999995</v>
      </c>
      <c r="N841" s="6">
        <f t="shared" si="174"/>
        <v>27047.040000000001</v>
      </c>
      <c r="O841" s="6">
        <f t="shared" si="167"/>
        <v>409399.85999999993</v>
      </c>
      <c r="P841" s="6">
        <v>409399.86</v>
      </c>
      <c r="Q841" s="6"/>
      <c r="R841" s="6">
        <f t="shared" si="170"/>
        <v>0</v>
      </c>
      <c r="T841"/>
    </row>
    <row r="842" spans="2:22" s="5" customFormat="1" x14ac:dyDescent="0.3">
      <c r="B842" s="5" t="s">
        <v>16</v>
      </c>
      <c r="C842" s="5" t="s">
        <v>1510</v>
      </c>
      <c r="D842" s="5" t="s">
        <v>1494</v>
      </c>
      <c r="E842" s="5" t="s">
        <v>673</v>
      </c>
      <c r="F842" s="5" t="s">
        <v>1495</v>
      </c>
      <c r="G842" s="5" t="s">
        <v>1496</v>
      </c>
      <c r="H842" s="6">
        <f t="shared" si="173"/>
        <v>203549.88842105266</v>
      </c>
      <c r="I842" s="6">
        <f t="shared" si="166"/>
        <v>186554.63157894736</v>
      </c>
      <c r="J842" s="6">
        <v>35445.379999999997</v>
      </c>
      <c r="K842" s="6">
        <v>0</v>
      </c>
      <c r="L842" s="6">
        <v>0</v>
      </c>
      <c r="M842" s="6">
        <f t="shared" si="175"/>
        <v>390104.52</v>
      </c>
      <c r="N842" s="6">
        <f t="shared" si="174"/>
        <v>35445.379999999997</v>
      </c>
      <c r="O842" s="6">
        <f t="shared" si="167"/>
        <v>425549.9</v>
      </c>
      <c r="P842" s="6">
        <v>425549.9</v>
      </c>
      <c r="Q842" s="6"/>
      <c r="R842" s="6">
        <f t="shared" si="170"/>
        <v>0</v>
      </c>
      <c r="T842"/>
    </row>
    <row r="843" spans="2:22" s="5" customFormat="1" x14ac:dyDescent="0.3">
      <c r="B843" s="5" t="s">
        <v>16</v>
      </c>
      <c r="C843" s="5" t="s">
        <v>1511</v>
      </c>
      <c r="D843" s="5" t="s">
        <v>1494</v>
      </c>
      <c r="E843" s="5" t="s">
        <v>1340</v>
      </c>
      <c r="F843" s="5" t="s">
        <v>1495</v>
      </c>
      <c r="G843" s="5" t="s">
        <v>1496</v>
      </c>
      <c r="H843" s="6">
        <f t="shared" si="173"/>
        <v>295400.13473684207</v>
      </c>
      <c r="I843" s="6">
        <f t="shared" si="166"/>
        <v>333277.10526315792</v>
      </c>
      <c r="J843" s="6">
        <v>63322.65</v>
      </c>
      <c r="K843" s="6">
        <v>0</v>
      </c>
      <c r="L843" s="6">
        <v>0</v>
      </c>
      <c r="M843" s="6">
        <f t="shared" si="175"/>
        <v>628677.24</v>
      </c>
      <c r="N843" s="6">
        <f t="shared" si="174"/>
        <v>63322.65</v>
      </c>
      <c r="O843" s="6">
        <f t="shared" si="167"/>
        <v>691999.89</v>
      </c>
      <c r="P843" s="6">
        <v>691999.89</v>
      </c>
      <c r="Q843" s="6"/>
      <c r="R843" s="6">
        <f t="shared" si="170"/>
        <v>0</v>
      </c>
      <c r="S843"/>
      <c r="T843"/>
    </row>
    <row r="844" spans="2:22" s="5" customFormat="1" x14ac:dyDescent="0.3">
      <c r="B844" s="5" t="s">
        <v>16</v>
      </c>
      <c r="C844" s="5" t="s">
        <v>1512</v>
      </c>
      <c r="D844" s="5" t="s">
        <v>1494</v>
      </c>
      <c r="E844" s="5" t="s">
        <v>456</v>
      </c>
      <c r="F844" s="5" t="s">
        <v>1495</v>
      </c>
      <c r="G844" s="5" t="s">
        <v>1496</v>
      </c>
      <c r="H844" s="6">
        <f t="shared" si="173"/>
        <v>192691.47210526315</v>
      </c>
      <c r="I844" s="6">
        <f t="shared" si="166"/>
        <v>358215.15789473685</v>
      </c>
      <c r="J844" s="6">
        <v>68060.88</v>
      </c>
      <c r="K844" s="6">
        <v>0</v>
      </c>
      <c r="L844" s="6">
        <v>0</v>
      </c>
      <c r="M844" s="6">
        <f t="shared" si="175"/>
        <v>550906.63</v>
      </c>
      <c r="N844" s="6">
        <f t="shared" si="174"/>
        <v>68060.88</v>
      </c>
      <c r="O844" s="6">
        <f t="shared" si="167"/>
        <v>618967.51</v>
      </c>
      <c r="P844" s="6">
        <v>618967.51</v>
      </c>
      <c r="Q844" s="6">
        <v>0</v>
      </c>
      <c r="R844" s="6">
        <f t="shared" si="170"/>
        <v>0</v>
      </c>
      <c r="T844"/>
    </row>
    <row r="845" spans="2:22" s="5" customFormat="1" x14ac:dyDescent="0.3">
      <c r="B845" s="5" t="s">
        <v>16</v>
      </c>
      <c r="C845" s="5" t="s">
        <v>1513</v>
      </c>
      <c r="D845" s="5" t="s">
        <v>1494</v>
      </c>
      <c r="E845" s="5" t="s">
        <v>298</v>
      </c>
      <c r="F845" s="5" t="s">
        <v>1495</v>
      </c>
      <c r="G845" s="5" t="s">
        <v>1496</v>
      </c>
      <c r="H845" s="6">
        <f t="shared" si="173"/>
        <v>303097.5289473685</v>
      </c>
      <c r="I845" s="6">
        <f t="shared" si="166"/>
        <v>238235.4210526316</v>
      </c>
      <c r="J845" s="6">
        <v>45264.73</v>
      </c>
      <c r="K845" s="6">
        <v>0</v>
      </c>
      <c r="L845" s="6">
        <v>0</v>
      </c>
      <c r="M845" s="6">
        <f t="shared" si="175"/>
        <v>541332.95000000007</v>
      </c>
      <c r="N845" s="6">
        <f t="shared" si="174"/>
        <v>45264.73</v>
      </c>
      <c r="O845" s="6">
        <f t="shared" si="167"/>
        <v>586597.68000000005</v>
      </c>
      <c r="P845" s="6">
        <v>586597.68000000005</v>
      </c>
      <c r="Q845" s="6">
        <v>0</v>
      </c>
      <c r="R845" s="6">
        <f t="shared" si="170"/>
        <v>0</v>
      </c>
      <c r="T845"/>
      <c r="U845" s="7"/>
      <c r="V845" s="7"/>
    </row>
    <row r="846" spans="2:22" s="5" customFormat="1" x14ac:dyDescent="0.3">
      <c r="B846" s="5" t="s">
        <v>16</v>
      </c>
      <c r="C846" s="5" t="s">
        <v>1514</v>
      </c>
      <c r="D846" s="5" t="s">
        <v>1494</v>
      </c>
      <c r="E846" s="5" t="s">
        <v>200</v>
      </c>
      <c r="F846" s="5" t="s">
        <v>1495</v>
      </c>
      <c r="G846" s="5" t="s">
        <v>1496</v>
      </c>
      <c r="H846" s="6">
        <f t="shared" si="173"/>
        <v>267999.84894736839</v>
      </c>
      <c r="I846" s="6">
        <f t="shared" si="166"/>
        <v>421048.42105263157</v>
      </c>
      <c r="J846" s="6">
        <v>79999.199999999997</v>
      </c>
      <c r="K846" s="6">
        <v>0</v>
      </c>
      <c r="L846" s="6">
        <v>0</v>
      </c>
      <c r="M846" s="6">
        <f t="shared" si="175"/>
        <v>689048.27</v>
      </c>
      <c r="N846" s="6">
        <f t="shared" si="174"/>
        <v>79999.199999999997</v>
      </c>
      <c r="O846" s="6">
        <f t="shared" si="167"/>
        <v>769047.47</v>
      </c>
      <c r="P846" s="6">
        <v>769047.47</v>
      </c>
      <c r="Q846" s="6">
        <v>0</v>
      </c>
      <c r="R846" s="6">
        <f t="shared" si="170"/>
        <v>0</v>
      </c>
      <c r="T846"/>
    </row>
    <row r="847" spans="2:22" s="5" customFormat="1" x14ac:dyDescent="0.3">
      <c r="B847" s="5" t="s">
        <v>16</v>
      </c>
      <c r="C847" s="5" t="s">
        <v>1515</v>
      </c>
      <c r="D847" s="5" t="s">
        <v>1494</v>
      </c>
      <c r="E847" s="5" t="s">
        <v>1516</v>
      </c>
      <c r="F847" s="5" t="s">
        <v>1495</v>
      </c>
      <c r="G847" s="5" t="s">
        <v>1496</v>
      </c>
      <c r="H847" s="6">
        <f t="shared" si="173"/>
        <v>335400.21684210526</v>
      </c>
      <c r="I847" s="6">
        <f t="shared" si="166"/>
        <v>208403.26315789475</v>
      </c>
      <c r="J847" s="6">
        <v>39596.620000000003</v>
      </c>
      <c r="K847" s="6">
        <v>0</v>
      </c>
      <c r="L847" s="6">
        <v>0</v>
      </c>
      <c r="M847" s="6">
        <f t="shared" si="175"/>
        <v>543803.48</v>
      </c>
      <c r="N847" s="6">
        <f t="shared" si="174"/>
        <v>39596.620000000003</v>
      </c>
      <c r="O847" s="6">
        <f t="shared" si="167"/>
        <v>583400.1</v>
      </c>
      <c r="P847" s="6">
        <v>583400.1</v>
      </c>
      <c r="Q847" s="6">
        <v>0</v>
      </c>
      <c r="R847" s="6">
        <f t="shared" si="170"/>
        <v>0</v>
      </c>
      <c r="T847"/>
    </row>
    <row r="848" spans="2:22" s="5" customFormat="1" x14ac:dyDescent="0.3">
      <c r="B848" s="5" t="s">
        <v>16</v>
      </c>
      <c r="C848" s="5" t="s">
        <v>1517</v>
      </c>
      <c r="D848" s="5" t="s">
        <v>1494</v>
      </c>
      <c r="E848" s="5" t="s">
        <v>523</v>
      </c>
      <c r="F848" s="5" t="s">
        <v>1495</v>
      </c>
      <c r="G848" s="5" t="s">
        <v>1496</v>
      </c>
      <c r="H848" s="6">
        <f t="shared" si="173"/>
        <v>239999.99052631579</v>
      </c>
      <c r="I848" s="6">
        <f t="shared" si="166"/>
        <v>284957.78947368421</v>
      </c>
      <c r="J848" s="6">
        <v>54141.98</v>
      </c>
      <c r="K848" s="6">
        <v>0</v>
      </c>
      <c r="L848" s="6">
        <v>0</v>
      </c>
      <c r="M848" s="6">
        <f t="shared" si="175"/>
        <v>524957.78</v>
      </c>
      <c r="N848" s="6">
        <f t="shared" si="174"/>
        <v>54141.98</v>
      </c>
      <c r="O848" s="6">
        <f t="shared" si="167"/>
        <v>579099.76</v>
      </c>
      <c r="P848" s="6">
        <v>579099.76</v>
      </c>
      <c r="Q848" s="6">
        <v>0</v>
      </c>
      <c r="R848" s="6">
        <f t="shared" si="170"/>
        <v>0</v>
      </c>
      <c r="T848"/>
    </row>
    <row r="849" spans="2:22" s="5" customFormat="1" x14ac:dyDescent="0.3">
      <c r="B849" s="5" t="s">
        <v>16</v>
      </c>
      <c r="C849" s="5" t="s">
        <v>1518</v>
      </c>
      <c r="D849" s="5" t="s">
        <v>1494</v>
      </c>
      <c r="E849" s="5" t="s">
        <v>389</v>
      </c>
      <c r="F849" s="5" t="s">
        <v>1495</v>
      </c>
      <c r="G849" s="5" t="s">
        <v>1496</v>
      </c>
      <c r="H849" s="6">
        <f t="shared" si="173"/>
        <v>281999.76</v>
      </c>
      <c r="I849" s="6">
        <f t="shared" si="166"/>
        <v>0</v>
      </c>
      <c r="J849" s="6">
        <v>0</v>
      </c>
      <c r="K849" s="6">
        <v>0</v>
      </c>
      <c r="L849" s="6">
        <v>0</v>
      </c>
      <c r="M849" s="6">
        <f t="shared" si="175"/>
        <v>281999.76</v>
      </c>
      <c r="N849" s="6">
        <f t="shared" si="174"/>
        <v>0</v>
      </c>
      <c r="O849" s="6">
        <f t="shared" si="167"/>
        <v>281999.76</v>
      </c>
      <c r="P849" s="6">
        <v>281999.76</v>
      </c>
      <c r="Q849" s="6">
        <v>0</v>
      </c>
      <c r="R849" s="6">
        <f t="shared" si="170"/>
        <v>0</v>
      </c>
      <c r="T849"/>
    </row>
    <row r="850" spans="2:22" s="5" customFormat="1" x14ac:dyDescent="0.3">
      <c r="B850" s="5" t="s">
        <v>16</v>
      </c>
      <c r="C850" s="5" t="s">
        <v>1519</v>
      </c>
      <c r="D850" s="5" t="s">
        <v>1494</v>
      </c>
      <c r="E850" s="5" t="s">
        <v>222</v>
      </c>
      <c r="F850" s="5" t="s">
        <v>1495</v>
      </c>
      <c r="G850" s="5" t="s">
        <v>1496</v>
      </c>
      <c r="H850" s="6">
        <f t="shared" si="173"/>
        <v>290899.93052631582</v>
      </c>
      <c r="I850" s="6">
        <f t="shared" si="166"/>
        <v>292772.78947368421</v>
      </c>
      <c r="J850" s="6">
        <v>55626.83</v>
      </c>
      <c r="K850" s="6">
        <v>0</v>
      </c>
      <c r="L850" s="6">
        <v>0</v>
      </c>
      <c r="M850" s="6">
        <f t="shared" si="175"/>
        <v>583672.72</v>
      </c>
      <c r="N850" s="6">
        <f t="shared" si="174"/>
        <v>55626.83</v>
      </c>
      <c r="O850" s="6">
        <f t="shared" si="167"/>
        <v>639299.54999999993</v>
      </c>
      <c r="P850" s="6">
        <v>639299.55000000005</v>
      </c>
      <c r="Q850" s="6">
        <v>0</v>
      </c>
      <c r="R850" s="6">
        <f t="shared" si="170"/>
        <v>0</v>
      </c>
      <c r="T850"/>
    </row>
    <row r="851" spans="2:22" s="5" customFormat="1" x14ac:dyDescent="0.3">
      <c r="B851" s="5" t="s">
        <v>16</v>
      </c>
      <c r="C851" s="5" t="s">
        <v>1520</v>
      </c>
      <c r="D851" s="5" t="s">
        <v>1494</v>
      </c>
      <c r="E851" s="5" t="s">
        <v>1521</v>
      </c>
      <c r="F851" s="5" t="s">
        <v>1495</v>
      </c>
      <c r="G851" s="5" t="s">
        <v>1496</v>
      </c>
      <c r="H851" s="6">
        <f t="shared" si="173"/>
        <v>280000.08421052631</v>
      </c>
      <c r="I851" s="6">
        <f t="shared" si="166"/>
        <v>146218.31578947368</v>
      </c>
      <c r="J851" s="6">
        <v>27781.48</v>
      </c>
      <c r="K851" s="6">
        <v>0</v>
      </c>
      <c r="L851" s="6">
        <v>0</v>
      </c>
      <c r="M851" s="6">
        <f t="shared" si="175"/>
        <v>426218.4</v>
      </c>
      <c r="N851" s="6">
        <f t="shared" si="174"/>
        <v>27781.48</v>
      </c>
      <c r="O851" s="6">
        <f t="shared" si="167"/>
        <v>453999.88</v>
      </c>
      <c r="P851" s="6">
        <v>453999.88</v>
      </c>
      <c r="Q851" s="6">
        <v>0</v>
      </c>
      <c r="R851" s="6">
        <f t="shared" si="170"/>
        <v>0</v>
      </c>
      <c r="T851"/>
    </row>
    <row r="852" spans="2:22" s="5" customFormat="1" x14ac:dyDescent="0.3">
      <c r="B852" s="5" t="s">
        <v>16</v>
      </c>
      <c r="C852" s="5" t="s">
        <v>1522</v>
      </c>
      <c r="D852" s="5" t="s">
        <v>1494</v>
      </c>
      <c r="E852" s="5" t="s">
        <v>52</v>
      </c>
      <c r="F852" s="5" t="s">
        <v>1495</v>
      </c>
      <c r="G852" s="5" t="s">
        <v>1496</v>
      </c>
      <c r="H852" s="6">
        <f t="shared" si="173"/>
        <v>295400.29157894739</v>
      </c>
      <c r="I852" s="6">
        <f t="shared" si="166"/>
        <v>436091.36842105264</v>
      </c>
      <c r="J852" s="6">
        <v>82857.36</v>
      </c>
      <c r="K852" s="6">
        <v>0</v>
      </c>
      <c r="L852" s="6">
        <v>0</v>
      </c>
      <c r="M852" s="6">
        <f t="shared" si="175"/>
        <v>731491.66</v>
      </c>
      <c r="N852" s="6">
        <f t="shared" si="174"/>
        <v>82857.36</v>
      </c>
      <c r="O852" s="6">
        <f t="shared" si="167"/>
        <v>814349.02</v>
      </c>
      <c r="P852" s="6">
        <v>814349.02</v>
      </c>
      <c r="Q852" s="6">
        <v>0</v>
      </c>
      <c r="R852" s="6">
        <f t="shared" si="170"/>
        <v>0</v>
      </c>
      <c r="T852"/>
      <c r="V852"/>
    </row>
    <row r="853" spans="2:22" s="5" customFormat="1" x14ac:dyDescent="0.3">
      <c r="B853" s="5" t="s">
        <v>16</v>
      </c>
      <c r="C853" s="5" t="s">
        <v>1523</v>
      </c>
      <c r="D853" s="5" t="s">
        <v>1494</v>
      </c>
      <c r="E853" s="5" t="s">
        <v>869</v>
      </c>
      <c r="F853" s="5" t="s">
        <v>1495</v>
      </c>
      <c r="G853" s="5" t="s">
        <v>1496</v>
      </c>
      <c r="H853" s="6">
        <f t="shared" si="173"/>
        <v>445985.50526315795</v>
      </c>
      <c r="I853" s="6">
        <f t="shared" si="166"/>
        <v>262184.89473684208</v>
      </c>
      <c r="J853" s="6">
        <v>49815.13</v>
      </c>
      <c r="K853" s="6">
        <v>0</v>
      </c>
      <c r="L853" s="6">
        <v>0</v>
      </c>
      <c r="M853" s="6">
        <f t="shared" si="175"/>
        <v>708170.4</v>
      </c>
      <c r="N853" s="6">
        <f t="shared" si="174"/>
        <v>49815.13</v>
      </c>
      <c r="O853" s="6">
        <f t="shared" si="167"/>
        <v>757985.53</v>
      </c>
      <c r="P853" s="6">
        <v>757985.53</v>
      </c>
      <c r="Q853" s="6">
        <v>0</v>
      </c>
      <c r="R853" s="6">
        <f t="shared" si="170"/>
        <v>0</v>
      </c>
      <c r="T853"/>
      <c r="V853"/>
    </row>
    <row r="854" spans="2:22" s="5" customFormat="1" x14ac:dyDescent="0.3">
      <c r="B854" s="5" t="s">
        <v>16</v>
      </c>
      <c r="C854" s="5" t="s">
        <v>1524</v>
      </c>
      <c r="D854" s="5" t="s">
        <v>1494</v>
      </c>
      <c r="E854" s="5" t="s">
        <v>538</v>
      </c>
      <c r="F854" s="5" t="s">
        <v>1495</v>
      </c>
      <c r="G854" s="5" t="s">
        <v>1496</v>
      </c>
      <c r="H854" s="6">
        <f t="shared" si="173"/>
        <v>337799.62578947371</v>
      </c>
      <c r="I854" s="6">
        <f t="shared" si="166"/>
        <v>17131.684210526317</v>
      </c>
      <c r="J854" s="6">
        <v>3255.02</v>
      </c>
      <c r="K854" s="6">
        <v>0</v>
      </c>
      <c r="L854" s="6">
        <v>0</v>
      </c>
      <c r="M854" s="6">
        <f t="shared" si="175"/>
        <v>354931.31</v>
      </c>
      <c r="N854" s="6">
        <f t="shared" si="174"/>
        <v>3255.02</v>
      </c>
      <c r="O854" s="6">
        <f t="shared" si="167"/>
        <v>358186.33</v>
      </c>
      <c r="P854" s="6">
        <v>358186.33</v>
      </c>
      <c r="Q854" s="6">
        <v>0</v>
      </c>
      <c r="R854" s="6">
        <f t="shared" si="170"/>
        <v>0</v>
      </c>
      <c r="T854"/>
      <c r="V854"/>
    </row>
    <row r="855" spans="2:22" s="5" customFormat="1" x14ac:dyDescent="0.3">
      <c r="B855" s="5" t="s">
        <v>16</v>
      </c>
      <c r="C855" s="5" t="s">
        <v>1525</v>
      </c>
      <c r="D855" s="5" t="s">
        <v>1494</v>
      </c>
      <c r="E855" s="5" t="s">
        <v>874</v>
      </c>
      <c r="F855" s="5" t="s">
        <v>1495</v>
      </c>
      <c r="G855" s="5" t="s">
        <v>1496</v>
      </c>
      <c r="H855" s="6">
        <f t="shared" si="173"/>
        <v>239999.98947368423</v>
      </c>
      <c r="I855" s="6">
        <f t="shared" si="166"/>
        <v>122689.21052631579</v>
      </c>
      <c r="J855" s="6">
        <v>23310.95</v>
      </c>
      <c r="K855" s="6">
        <v>0</v>
      </c>
      <c r="L855" s="6">
        <v>0</v>
      </c>
      <c r="M855" s="6">
        <f t="shared" si="175"/>
        <v>362689.2</v>
      </c>
      <c r="N855" s="6">
        <f t="shared" si="174"/>
        <v>23310.95</v>
      </c>
      <c r="O855" s="6">
        <f t="shared" si="167"/>
        <v>386000.15</v>
      </c>
      <c r="P855" s="6">
        <v>386000.15</v>
      </c>
      <c r="Q855" s="6">
        <v>0</v>
      </c>
      <c r="R855" s="6">
        <f t="shared" si="170"/>
        <v>0</v>
      </c>
      <c r="T855"/>
      <c r="V855"/>
    </row>
    <row r="856" spans="2:22" s="5" customFormat="1" x14ac:dyDescent="0.3">
      <c r="B856" s="5" t="s">
        <v>16</v>
      </c>
      <c r="C856" s="5" t="s">
        <v>1526</v>
      </c>
      <c r="D856" s="5" t="s">
        <v>1494</v>
      </c>
      <c r="E856" s="5" t="s">
        <v>68</v>
      </c>
      <c r="F856" s="5" t="s">
        <v>1495</v>
      </c>
      <c r="G856" s="5" t="s">
        <v>1496</v>
      </c>
      <c r="H856" s="6">
        <f t="shared" si="173"/>
        <v>383103.15526315791</v>
      </c>
      <c r="I856" s="6">
        <f t="shared" si="166"/>
        <v>94957.894736842107</v>
      </c>
      <c r="J856" s="6">
        <v>18042</v>
      </c>
      <c r="K856" s="6">
        <v>0</v>
      </c>
      <c r="L856" s="6">
        <v>0</v>
      </c>
      <c r="M856" s="6">
        <f t="shared" si="175"/>
        <v>478061.05000000005</v>
      </c>
      <c r="N856" s="6">
        <f t="shared" si="174"/>
        <v>18042</v>
      </c>
      <c r="O856" s="6">
        <f t="shared" si="167"/>
        <v>496103.05000000005</v>
      </c>
      <c r="P856" s="6">
        <v>496103.05</v>
      </c>
      <c r="Q856" s="6">
        <v>0</v>
      </c>
      <c r="R856" s="6">
        <f t="shared" si="170"/>
        <v>0</v>
      </c>
      <c r="T856"/>
    </row>
    <row r="857" spans="2:22" s="5" customFormat="1" x14ac:dyDescent="0.3">
      <c r="B857" s="5" t="s">
        <v>16</v>
      </c>
      <c r="C857" s="5" t="s">
        <v>1527</v>
      </c>
      <c r="D857" s="5" t="s">
        <v>1494</v>
      </c>
      <c r="E857" s="5" t="s">
        <v>91</v>
      </c>
      <c r="F857" s="5" t="s">
        <v>1495</v>
      </c>
      <c r="G857" s="5" t="s">
        <v>1496</v>
      </c>
      <c r="H857" s="6">
        <f>+P857-I857-J857-K857-L857</f>
        <v>287990.42526315787</v>
      </c>
      <c r="I857" s="6">
        <f t="shared" si="166"/>
        <v>110083.89473684211</v>
      </c>
      <c r="J857" s="6">
        <v>20915.939999999999</v>
      </c>
      <c r="K857" s="6">
        <v>0</v>
      </c>
      <c r="L857" s="6">
        <v>0</v>
      </c>
      <c r="M857" s="6">
        <f t="shared" si="175"/>
        <v>398074.31999999995</v>
      </c>
      <c r="N857" s="6">
        <f t="shared" si="174"/>
        <v>20915.939999999999</v>
      </c>
      <c r="O857" s="6">
        <f t="shared" si="167"/>
        <v>418990.25999999995</v>
      </c>
      <c r="P857" s="6">
        <v>418990.26</v>
      </c>
      <c r="Q857" s="6">
        <v>0</v>
      </c>
      <c r="R857" s="6">
        <f t="shared" si="170"/>
        <v>0</v>
      </c>
      <c r="T857"/>
    </row>
    <row r="858" spans="2:22" s="5" customFormat="1" x14ac:dyDescent="0.3">
      <c r="B858" s="5" t="s">
        <v>16</v>
      </c>
      <c r="C858" s="5" t="s">
        <v>1528</v>
      </c>
      <c r="D858" s="5" t="s">
        <v>1494</v>
      </c>
      <c r="E858" s="5" t="s">
        <v>126</v>
      </c>
      <c r="F858" s="5" t="s">
        <v>1495</v>
      </c>
      <c r="G858" s="5" t="s">
        <v>1496</v>
      </c>
      <c r="H858" s="6">
        <f>+P858-I858-J858-K858-L858</f>
        <v>503997.40894736844</v>
      </c>
      <c r="I858" s="6">
        <f t="shared" si="166"/>
        <v>244073.42105263154</v>
      </c>
      <c r="J858" s="6">
        <v>46373.95</v>
      </c>
      <c r="K858" s="6">
        <v>0</v>
      </c>
      <c r="L858" s="6">
        <v>0</v>
      </c>
      <c r="M858" s="6">
        <f t="shared" si="175"/>
        <v>748070.83</v>
      </c>
      <c r="N858" s="6">
        <f t="shared" si="174"/>
        <v>46373.95</v>
      </c>
      <c r="O858" s="6">
        <f t="shared" si="167"/>
        <v>794444.77999999991</v>
      </c>
      <c r="P858" s="6">
        <v>794444.78</v>
      </c>
      <c r="Q858" s="6">
        <v>0</v>
      </c>
      <c r="R858" s="6">
        <f t="shared" si="170"/>
        <v>0</v>
      </c>
      <c r="T858"/>
    </row>
    <row r="859" spans="2:22" s="5" customFormat="1" x14ac:dyDescent="0.3">
      <c r="B859" s="5" t="s">
        <v>16</v>
      </c>
      <c r="C859" s="5" t="s">
        <v>1529</v>
      </c>
      <c r="D859" s="5" t="s">
        <v>1494</v>
      </c>
      <c r="E859" s="5" t="s">
        <v>481</v>
      </c>
      <c r="F859" s="5" t="s">
        <v>1495</v>
      </c>
      <c r="G859" s="5" t="s">
        <v>1496</v>
      </c>
      <c r="H859" s="6">
        <v>0</v>
      </c>
      <c r="I859" s="6">
        <f t="shared" si="166"/>
        <v>265041.73684210528</v>
      </c>
      <c r="J859" s="6">
        <v>50357.93</v>
      </c>
      <c r="K859" s="6">
        <v>0</v>
      </c>
      <c r="L859" s="6">
        <v>0</v>
      </c>
      <c r="M859" s="6">
        <f t="shared" si="175"/>
        <v>265041.73684210528</v>
      </c>
      <c r="N859" s="6">
        <f t="shared" si="174"/>
        <v>50357.93</v>
      </c>
      <c r="O859" s="6">
        <f t="shared" si="167"/>
        <v>315399.66684210527</v>
      </c>
      <c r="P859" s="6">
        <v>656799.93000000005</v>
      </c>
      <c r="Q859" s="6">
        <v>0</v>
      </c>
      <c r="R859" s="6">
        <f t="shared" si="170"/>
        <v>0</v>
      </c>
      <c r="T859"/>
    </row>
    <row r="860" spans="2:22" s="5" customFormat="1" x14ac:dyDescent="0.3">
      <c r="B860" s="5" t="s">
        <v>16</v>
      </c>
      <c r="C860" s="5" t="s">
        <v>1530</v>
      </c>
      <c r="D860" s="5" t="s">
        <v>1494</v>
      </c>
      <c r="E860" s="5" t="s">
        <v>1531</v>
      </c>
      <c r="F860" s="5" t="s">
        <v>1495</v>
      </c>
      <c r="G860" s="5" t="s">
        <v>1496</v>
      </c>
      <c r="H860" s="6">
        <v>0</v>
      </c>
      <c r="I860" s="6">
        <f t="shared" si="166"/>
        <v>31092.473684210523</v>
      </c>
      <c r="J860" s="6">
        <v>5907.57</v>
      </c>
      <c r="K860" s="6">
        <v>0</v>
      </c>
      <c r="L860" s="6">
        <v>0</v>
      </c>
      <c r="M860" s="6">
        <f t="shared" si="175"/>
        <v>31092.473684210523</v>
      </c>
      <c r="N860" s="6">
        <f t="shared" si="174"/>
        <v>5907.57</v>
      </c>
      <c r="O860" s="6">
        <f t="shared" si="167"/>
        <v>37000.043684210526</v>
      </c>
      <c r="P860" s="6">
        <v>332400.21000000002</v>
      </c>
      <c r="Q860" s="6">
        <v>0</v>
      </c>
      <c r="R860" s="6">
        <f t="shared" si="170"/>
        <v>0</v>
      </c>
      <c r="T860"/>
      <c r="U860"/>
      <c r="V860"/>
    </row>
    <row r="861" spans="2:22" s="5" customFormat="1" x14ac:dyDescent="0.3">
      <c r="B861" s="5" t="s">
        <v>16</v>
      </c>
      <c r="C861" s="5" t="s">
        <v>1532</v>
      </c>
      <c r="D861" s="5" t="s">
        <v>1494</v>
      </c>
      <c r="E861" s="5" t="s">
        <v>302</v>
      </c>
      <c r="F861" s="5" t="s">
        <v>1495</v>
      </c>
      <c r="G861" s="5" t="s">
        <v>1496</v>
      </c>
      <c r="H861" s="6">
        <v>0</v>
      </c>
      <c r="I861" s="6">
        <f t="shared" si="166"/>
        <v>80672.15789473684</v>
      </c>
      <c r="J861" s="6">
        <v>15327.71</v>
      </c>
      <c r="K861" s="6">
        <v>0</v>
      </c>
      <c r="L861" s="6">
        <v>0</v>
      </c>
      <c r="M861" s="6">
        <f t="shared" si="175"/>
        <v>80672.15789473684</v>
      </c>
      <c r="N861" s="6">
        <f t="shared" si="174"/>
        <v>15327.71</v>
      </c>
      <c r="O861" s="6">
        <f t="shared" si="167"/>
        <v>95999.867894736846</v>
      </c>
      <c r="P861" s="6">
        <v>403700.03</v>
      </c>
      <c r="Q861" s="6">
        <v>0</v>
      </c>
      <c r="R861" s="6">
        <f t="shared" si="170"/>
        <v>0</v>
      </c>
      <c r="T861"/>
      <c r="U861"/>
      <c r="V861"/>
    </row>
    <row r="862" spans="2:22" s="5" customFormat="1" x14ac:dyDescent="0.3">
      <c r="B862" s="5" t="s">
        <v>16</v>
      </c>
      <c r="C862" s="5" t="s">
        <v>1533</v>
      </c>
      <c r="D862" s="5" t="s">
        <v>1494</v>
      </c>
      <c r="E862" s="5" t="s">
        <v>909</v>
      </c>
      <c r="F862" s="5" t="s">
        <v>1495</v>
      </c>
      <c r="G862" s="5" t="s">
        <v>1496</v>
      </c>
      <c r="H862" s="6">
        <v>0</v>
      </c>
      <c r="I862" s="6">
        <f t="shared" ref="I862:I925" si="176">+J862/19*100</f>
        <v>388781.3684210527</v>
      </c>
      <c r="J862" s="6">
        <v>73868.460000000006</v>
      </c>
      <c r="K862" s="6">
        <v>0</v>
      </c>
      <c r="L862" s="6">
        <v>0</v>
      </c>
      <c r="M862" s="6">
        <f t="shared" si="175"/>
        <v>388781.3684210527</v>
      </c>
      <c r="N862" s="6">
        <f t="shared" si="174"/>
        <v>73868.460000000006</v>
      </c>
      <c r="O862" s="6">
        <f t="shared" ref="O862:O925" si="177">+M862+N862</f>
        <v>462649.82842105272</v>
      </c>
      <c r="P862" s="6">
        <v>758050</v>
      </c>
      <c r="Q862" s="6">
        <v>0</v>
      </c>
      <c r="R862" s="6">
        <f t="shared" si="170"/>
        <v>0</v>
      </c>
      <c r="T862"/>
    </row>
    <row r="863" spans="2:22" s="5" customFormat="1" x14ac:dyDescent="0.3">
      <c r="B863" s="5" t="s">
        <v>16</v>
      </c>
      <c r="C863" s="5" t="s">
        <v>1534</v>
      </c>
      <c r="D863" s="5" t="s">
        <v>1494</v>
      </c>
      <c r="E863" s="5" t="s">
        <v>1138</v>
      </c>
      <c r="F863" s="5" t="s">
        <v>1495</v>
      </c>
      <c r="G863" s="5" t="s">
        <v>1496</v>
      </c>
      <c r="H863" s="6">
        <f>+P863-I863-J863</f>
        <v>300905.51157894736</v>
      </c>
      <c r="I863" s="6">
        <f t="shared" si="176"/>
        <v>113445.36842105263</v>
      </c>
      <c r="J863" s="6">
        <v>21554.62</v>
      </c>
      <c r="K863" s="6">
        <v>0</v>
      </c>
      <c r="L863" s="6">
        <v>0</v>
      </c>
      <c r="M863" s="6">
        <f t="shared" si="175"/>
        <v>414350.88</v>
      </c>
      <c r="N863" s="6">
        <f t="shared" si="174"/>
        <v>21554.62</v>
      </c>
      <c r="O863" s="6">
        <f t="shared" si="177"/>
        <v>435905.5</v>
      </c>
      <c r="P863" s="6">
        <v>435905.5</v>
      </c>
      <c r="Q863" s="6">
        <v>0</v>
      </c>
      <c r="R863" s="6">
        <f t="shared" si="170"/>
        <v>0</v>
      </c>
      <c r="T863"/>
    </row>
    <row r="864" spans="2:22" s="5" customFormat="1" x14ac:dyDescent="0.3">
      <c r="B864" s="5" t="s">
        <v>16</v>
      </c>
      <c r="C864" s="5" t="s">
        <v>1535</v>
      </c>
      <c r="D864" s="5" t="s">
        <v>1494</v>
      </c>
      <c r="E864" s="5" t="s">
        <v>48</v>
      </c>
      <c r="F864" s="5" t="s">
        <v>1495</v>
      </c>
      <c r="G864" s="5" t="s">
        <v>1496</v>
      </c>
      <c r="H864" s="6">
        <f>+P864-I864-J864</f>
        <v>323103.91105263156</v>
      </c>
      <c r="I864" s="6">
        <f t="shared" si="176"/>
        <v>381679.57894736843</v>
      </c>
      <c r="J864" s="6">
        <v>72519.12</v>
      </c>
      <c r="K864" s="6">
        <v>0</v>
      </c>
      <c r="L864" s="6">
        <v>0</v>
      </c>
      <c r="M864" s="6">
        <f t="shared" si="175"/>
        <v>704783.49</v>
      </c>
      <c r="N864" s="6">
        <f t="shared" si="174"/>
        <v>72519.12</v>
      </c>
      <c r="O864" s="6">
        <f t="shared" si="177"/>
        <v>777302.61</v>
      </c>
      <c r="P864" s="6">
        <v>777302.61</v>
      </c>
      <c r="Q864" s="6">
        <v>0</v>
      </c>
      <c r="R864" s="6">
        <f t="shared" si="170"/>
        <v>0</v>
      </c>
      <c r="T864"/>
    </row>
    <row r="865" spans="2:22" s="5" customFormat="1" x14ac:dyDescent="0.3">
      <c r="B865" s="5" t="s">
        <v>16</v>
      </c>
      <c r="C865" s="5" t="s">
        <v>1536</v>
      </c>
      <c r="D865" s="5" t="s">
        <v>1494</v>
      </c>
      <c r="E865" s="5" t="s">
        <v>1342</v>
      </c>
      <c r="F865" s="5" t="s">
        <v>1495</v>
      </c>
      <c r="G865" s="5" t="s">
        <v>1496</v>
      </c>
      <c r="H865" s="6">
        <f>+P865-I865-J865-K865-L865</f>
        <v>295400.18526315788</v>
      </c>
      <c r="I865" s="6">
        <f t="shared" si="176"/>
        <v>289915.89473684208</v>
      </c>
      <c r="J865" s="6">
        <v>55084.02</v>
      </c>
      <c r="K865" s="6">
        <v>0</v>
      </c>
      <c r="L865" s="6">
        <v>0</v>
      </c>
      <c r="M865" s="6">
        <f t="shared" si="175"/>
        <v>585316.07999999996</v>
      </c>
      <c r="N865" s="6">
        <f t="shared" si="174"/>
        <v>55084.02</v>
      </c>
      <c r="O865" s="6">
        <f t="shared" si="177"/>
        <v>640400.1</v>
      </c>
      <c r="P865" s="6">
        <v>640400.1</v>
      </c>
      <c r="Q865" s="6">
        <v>0</v>
      </c>
      <c r="R865" s="6">
        <f t="shared" si="170"/>
        <v>0</v>
      </c>
      <c r="S865"/>
      <c r="T865"/>
    </row>
    <row r="866" spans="2:22" s="5" customFormat="1" x14ac:dyDescent="0.3">
      <c r="B866" s="5" t="s">
        <v>16</v>
      </c>
      <c r="C866" s="5" t="s">
        <v>1537</v>
      </c>
      <c r="D866" s="5" t="s">
        <v>1494</v>
      </c>
      <c r="E866" s="5" t="s">
        <v>353</v>
      </c>
      <c r="F866" s="5" t="s">
        <v>1495</v>
      </c>
      <c r="G866" s="5" t="s">
        <v>1496</v>
      </c>
      <c r="H866" s="6">
        <f>+P866-I866-J866</f>
        <v>503100.37368421035</v>
      </c>
      <c r="I866" s="6">
        <f t="shared" si="176"/>
        <v>544285.52631578955</v>
      </c>
      <c r="J866" s="6">
        <v>103414.25</v>
      </c>
      <c r="K866" s="6">
        <v>0</v>
      </c>
      <c r="L866" s="6">
        <v>0</v>
      </c>
      <c r="M866" s="6">
        <f t="shared" si="175"/>
        <v>1047385.8999999999</v>
      </c>
      <c r="N866" s="6">
        <f t="shared" si="174"/>
        <v>103414.25</v>
      </c>
      <c r="O866" s="6">
        <f t="shared" si="177"/>
        <v>1150800.1499999999</v>
      </c>
      <c r="P866" s="6">
        <v>1150800.1499999999</v>
      </c>
      <c r="Q866" s="6">
        <v>0</v>
      </c>
      <c r="R866" s="6">
        <f t="shared" si="170"/>
        <v>0</v>
      </c>
      <c r="S866"/>
      <c r="T866"/>
    </row>
    <row r="867" spans="2:22" s="5" customFormat="1" x14ac:dyDescent="0.3">
      <c r="B867" s="5" t="s">
        <v>16</v>
      </c>
      <c r="C867" s="5" t="s">
        <v>1538</v>
      </c>
      <c r="D867" s="5" t="s">
        <v>1539</v>
      </c>
      <c r="E867" s="5" t="s">
        <v>633</v>
      </c>
      <c r="F867" s="5" t="s">
        <v>280</v>
      </c>
      <c r="G867" s="5" t="s">
        <v>281</v>
      </c>
      <c r="H867" s="6">
        <v>-2.5263157895533368</v>
      </c>
      <c r="I867" s="6">
        <f t="shared" si="176"/>
        <v>535610.52631578955</v>
      </c>
      <c r="J867" s="6">
        <v>101766</v>
      </c>
      <c r="K867" s="6"/>
      <c r="L867" s="6"/>
      <c r="M867" s="6">
        <f>+H867+I867</f>
        <v>535608</v>
      </c>
      <c r="N867" s="6">
        <f>+J867</f>
        <v>101766</v>
      </c>
      <c r="O867" s="6">
        <f t="shared" si="177"/>
        <v>637374</v>
      </c>
      <c r="P867" s="6">
        <v>637374</v>
      </c>
      <c r="Q867" s="6"/>
      <c r="R867" s="6">
        <f t="shared" si="170"/>
        <v>0</v>
      </c>
      <c r="S867" s="7"/>
      <c r="T867"/>
    </row>
    <row r="868" spans="2:22" s="5" customFormat="1" x14ac:dyDescent="0.3">
      <c r="B868" s="5" t="s">
        <v>16</v>
      </c>
      <c r="C868" s="5" t="s">
        <v>1540</v>
      </c>
      <c r="D868" s="5" t="s">
        <v>1539</v>
      </c>
      <c r="E868" s="5" t="s">
        <v>938</v>
      </c>
      <c r="F868" s="5" t="s">
        <v>280</v>
      </c>
      <c r="G868" s="5" t="s">
        <v>281</v>
      </c>
      <c r="H868" s="6">
        <v>0</v>
      </c>
      <c r="I868" s="6">
        <f t="shared" si="176"/>
        <v>213000</v>
      </c>
      <c r="J868" s="6">
        <v>40470</v>
      </c>
      <c r="K868" s="6"/>
      <c r="L868" s="6"/>
      <c r="M868" s="6">
        <f>+H868+I868</f>
        <v>213000</v>
      </c>
      <c r="N868" s="6">
        <f>+J868</f>
        <v>40470</v>
      </c>
      <c r="O868" s="6">
        <f t="shared" si="177"/>
        <v>253470</v>
      </c>
      <c r="P868" s="6">
        <v>253470</v>
      </c>
      <c r="Q868" s="6"/>
      <c r="R868" s="6">
        <f t="shared" si="170"/>
        <v>0</v>
      </c>
      <c r="T868"/>
      <c r="U868" s="7"/>
      <c r="V868" s="7"/>
    </row>
    <row r="869" spans="2:22" s="5" customFormat="1" x14ac:dyDescent="0.3">
      <c r="B869" s="5" t="s">
        <v>16</v>
      </c>
      <c r="C869" s="5" t="s">
        <v>1541</v>
      </c>
      <c r="D869" s="5" t="s">
        <v>1539</v>
      </c>
      <c r="E869" s="5" t="s">
        <v>439</v>
      </c>
      <c r="F869" s="5" t="s">
        <v>280</v>
      </c>
      <c r="G869" s="5" t="s">
        <v>281</v>
      </c>
      <c r="H869" s="6">
        <f>+P869-I869-J869</f>
        <v>2.8947368421358988</v>
      </c>
      <c r="I869" s="6">
        <f t="shared" si="176"/>
        <v>785242.10526315786</v>
      </c>
      <c r="J869" s="6">
        <v>149196</v>
      </c>
      <c r="K869" s="6">
        <v>0</v>
      </c>
      <c r="L869" s="6">
        <v>0</v>
      </c>
      <c r="M869" s="6">
        <f t="shared" ref="M869:M875" si="178">+H869+I869+K869</f>
        <v>785245</v>
      </c>
      <c r="N869" s="6">
        <f>+J869+L869</f>
        <v>149196</v>
      </c>
      <c r="O869" s="6">
        <f t="shared" si="177"/>
        <v>934441</v>
      </c>
      <c r="P869" s="6">
        <v>934441</v>
      </c>
      <c r="Q869" s="6"/>
      <c r="R869" s="6">
        <f t="shared" si="170"/>
        <v>0</v>
      </c>
      <c r="S869" s="7"/>
      <c r="T869"/>
      <c r="U869" s="7"/>
      <c r="V869" s="7"/>
    </row>
    <row r="870" spans="2:22" s="5" customFormat="1" x14ac:dyDescent="0.3">
      <c r="B870" s="5" t="s">
        <v>16</v>
      </c>
      <c r="C870" s="5" t="s">
        <v>1542</v>
      </c>
      <c r="D870" s="5" t="s">
        <v>1539</v>
      </c>
      <c r="E870" s="5" t="s">
        <v>999</v>
      </c>
      <c r="F870" s="5" t="s">
        <v>280</v>
      </c>
      <c r="G870" s="5" t="s">
        <v>281</v>
      </c>
      <c r="H870" s="6">
        <f>+P870-I870-J870</f>
        <v>-0.42105263157282025</v>
      </c>
      <c r="I870" s="6">
        <f t="shared" si="176"/>
        <v>748168.42105263157</v>
      </c>
      <c r="J870" s="6">
        <v>142152</v>
      </c>
      <c r="K870" s="6">
        <v>0</v>
      </c>
      <c r="L870" s="6">
        <v>0</v>
      </c>
      <c r="M870" s="6">
        <f t="shared" si="178"/>
        <v>748168</v>
      </c>
      <c r="N870" s="6">
        <f>J870+L870</f>
        <v>142152</v>
      </c>
      <c r="O870" s="6">
        <f t="shared" si="177"/>
        <v>890320</v>
      </c>
      <c r="P870" s="6">
        <v>890320</v>
      </c>
      <c r="Q870" s="6">
        <v>0</v>
      </c>
      <c r="R870" s="6">
        <f t="shared" si="170"/>
        <v>0</v>
      </c>
      <c r="T870"/>
      <c r="U870" s="7"/>
      <c r="V870" s="7"/>
    </row>
    <row r="871" spans="2:22" s="5" customFormat="1" x14ac:dyDescent="0.3">
      <c r="B871" s="5" t="s">
        <v>16</v>
      </c>
      <c r="C871" s="5" t="s">
        <v>1543</v>
      </c>
      <c r="D871" s="5" t="s">
        <v>1539</v>
      </c>
      <c r="E871" s="5" t="s">
        <v>716</v>
      </c>
      <c r="F871" s="5" t="s">
        <v>280</v>
      </c>
      <c r="G871" s="5" t="s">
        <v>281</v>
      </c>
      <c r="H871" s="6">
        <f>+P871-I871-J871</f>
        <v>1.0526315784081817</v>
      </c>
      <c r="I871" s="6">
        <f t="shared" si="176"/>
        <v>5578978.9473684216</v>
      </c>
      <c r="J871" s="6">
        <v>1060006</v>
      </c>
      <c r="K871" s="6">
        <v>0</v>
      </c>
      <c r="L871" s="6">
        <v>0</v>
      </c>
      <c r="M871" s="6">
        <f t="shared" si="178"/>
        <v>5578980</v>
      </c>
      <c r="N871" s="6">
        <f>+J871+L871</f>
        <v>1060006</v>
      </c>
      <c r="O871" s="6">
        <f t="shared" si="177"/>
        <v>6638986</v>
      </c>
      <c r="P871" s="6">
        <v>6638986</v>
      </c>
      <c r="Q871" s="6">
        <f>+M871</f>
        <v>5578980</v>
      </c>
      <c r="R871" s="6">
        <f t="shared" si="170"/>
        <v>139474.5</v>
      </c>
      <c r="T871"/>
      <c r="U871" s="7"/>
      <c r="V871" s="7"/>
    </row>
    <row r="872" spans="2:22" s="5" customFormat="1" x14ac:dyDescent="0.3">
      <c r="B872" s="5" t="s">
        <v>16</v>
      </c>
      <c r="C872" s="5" t="s">
        <v>1544</v>
      </c>
      <c r="D872" s="5" t="s">
        <v>1539</v>
      </c>
      <c r="E872" s="5" t="s">
        <v>409</v>
      </c>
      <c r="F872" s="5" t="s">
        <v>280</v>
      </c>
      <c r="G872" s="5" t="s">
        <v>281</v>
      </c>
      <c r="H872" s="6">
        <f>+P872-I872-J872</f>
        <v>6372800</v>
      </c>
      <c r="I872" s="6">
        <f t="shared" si="176"/>
        <v>0</v>
      </c>
      <c r="J872" s="6">
        <v>0</v>
      </c>
      <c r="K872" s="6">
        <v>0</v>
      </c>
      <c r="L872" s="6">
        <v>0</v>
      </c>
      <c r="M872" s="6">
        <f t="shared" si="178"/>
        <v>6372800</v>
      </c>
      <c r="N872" s="6">
        <f>+J872+L872</f>
        <v>0</v>
      </c>
      <c r="O872" s="6">
        <f t="shared" si="177"/>
        <v>6372800</v>
      </c>
      <c r="P872" s="6">
        <v>6372800</v>
      </c>
      <c r="Q872" s="6">
        <f>+M872-6372800</f>
        <v>0</v>
      </c>
      <c r="R872" s="6">
        <f t="shared" si="170"/>
        <v>0</v>
      </c>
      <c r="T872"/>
      <c r="U872" s="7"/>
      <c r="V872" s="7"/>
    </row>
    <row r="873" spans="2:22" s="5" customFormat="1" x14ac:dyDescent="0.3">
      <c r="B873" s="5" t="s">
        <v>16</v>
      </c>
      <c r="C873" s="5" t="s">
        <v>1545</v>
      </c>
      <c r="D873" s="5" t="s">
        <v>1539</v>
      </c>
      <c r="E873" s="5" t="s">
        <v>1131</v>
      </c>
      <c r="F873" s="5" t="s">
        <v>280</v>
      </c>
      <c r="G873" s="5" t="s">
        <v>281</v>
      </c>
      <c r="H873" s="6">
        <f>+P873-I873-J873-K873-L873</f>
        <v>0</v>
      </c>
      <c r="I873" s="6">
        <f t="shared" si="176"/>
        <v>6372800</v>
      </c>
      <c r="J873" s="6">
        <v>1210832</v>
      </c>
      <c r="K873" s="6">
        <v>0</v>
      </c>
      <c r="L873" s="6">
        <v>0</v>
      </c>
      <c r="M873" s="6">
        <f t="shared" si="178"/>
        <v>6372800</v>
      </c>
      <c r="N873" s="6">
        <f>+J873+L873</f>
        <v>1210832</v>
      </c>
      <c r="O873" s="6">
        <f t="shared" si="177"/>
        <v>7583632</v>
      </c>
      <c r="P873" s="6">
        <v>7583632</v>
      </c>
      <c r="Q873" s="6">
        <f>+M873</f>
        <v>6372800</v>
      </c>
      <c r="R873" s="6">
        <f t="shared" si="170"/>
        <v>159320</v>
      </c>
      <c r="T873"/>
      <c r="U873" s="7"/>
      <c r="V873" s="7"/>
    </row>
    <row r="874" spans="2:22" s="5" customFormat="1" x14ac:dyDescent="0.3">
      <c r="B874" s="5" t="s">
        <v>16</v>
      </c>
      <c r="C874" s="5" t="s">
        <v>1546</v>
      </c>
      <c r="D874" s="5" t="s">
        <v>18</v>
      </c>
      <c r="E874" s="5" t="s">
        <v>460</v>
      </c>
      <c r="F874" s="5" t="s">
        <v>62</v>
      </c>
      <c r="G874" s="5" t="s">
        <v>69</v>
      </c>
      <c r="H874" s="6">
        <v>0</v>
      </c>
      <c r="I874" s="6">
        <f t="shared" si="176"/>
        <v>862650</v>
      </c>
      <c r="J874" s="6">
        <v>163903.5</v>
      </c>
      <c r="K874" s="6">
        <v>0</v>
      </c>
      <c r="L874" s="6">
        <v>0</v>
      </c>
      <c r="M874" s="6">
        <f t="shared" si="178"/>
        <v>862650</v>
      </c>
      <c r="N874" s="6">
        <f>+J874+L874</f>
        <v>163903.5</v>
      </c>
      <c r="O874" s="6">
        <f t="shared" si="177"/>
        <v>1026553.5</v>
      </c>
      <c r="P874" s="6">
        <v>1026553.5</v>
      </c>
      <c r="Q874" s="6">
        <f>+P874-O874</f>
        <v>0</v>
      </c>
      <c r="R874" s="6">
        <f t="shared" si="170"/>
        <v>0</v>
      </c>
      <c r="T874"/>
    </row>
    <row r="875" spans="2:22" s="5" customFormat="1" x14ac:dyDescent="0.3">
      <c r="B875" s="5" t="s">
        <v>16</v>
      </c>
      <c r="C875" s="5" t="s">
        <v>1547</v>
      </c>
      <c r="D875" s="5" t="s">
        <v>18</v>
      </c>
      <c r="E875" s="5" t="s">
        <v>549</v>
      </c>
      <c r="F875" s="5" t="s">
        <v>62</v>
      </c>
      <c r="G875" s="5" t="s">
        <v>69</v>
      </c>
      <c r="H875" s="6">
        <v>720113</v>
      </c>
      <c r="I875" s="6">
        <f t="shared" si="176"/>
        <v>0</v>
      </c>
      <c r="J875" s="6">
        <v>0</v>
      </c>
      <c r="K875" s="6">
        <v>0</v>
      </c>
      <c r="L875" s="6">
        <v>0</v>
      </c>
      <c r="M875" s="6">
        <f t="shared" si="178"/>
        <v>720113</v>
      </c>
      <c r="N875" s="6">
        <f>+J875+L875</f>
        <v>0</v>
      </c>
      <c r="O875" s="6">
        <f t="shared" si="177"/>
        <v>720113</v>
      </c>
      <c r="P875" s="6">
        <v>720113</v>
      </c>
      <c r="Q875" s="6">
        <f>+P875-O875</f>
        <v>0</v>
      </c>
      <c r="R875" s="6">
        <f t="shared" si="170"/>
        <v>0</v>
      </c>
      <c r="T875"/>
    </row>
    <row r="876" spans="2:22" s="5" customFormat="1" x14ac:dyDescent="0.3">
      <c r="B876" s="5" t="s">
        <v>16</v>
      </c>
      <c r="C876" s="5" t="s">
        <v>1548</v>
      </c>
      <c r="D876" s="5" t="s">
        <v>18</v>
      </c>
      <c r="E876" s="5" t="s">
        <v>1423</v>
      </c>
      <c r="F876" s="5" t="s">
        <v>62</v>
      </c>
      <c r="G876" s="5" t="s">
        <v>69</v>
      </c>
      <c r="H876" s="6">
        <v>976000</v>
      </c>
      <c r="I876" s="6">
        <f t="shared" si="176"/>
        <v>51240</v>
      </c>
      <c r="J876" s="6">
        <v>9735.6</v>
      </c>
      <c r="K876" s="6"/>
      <c r="L876" s="6"/>
      <c r="M876" s="6">
        <f>+H876+I876</f>
        <v>1027240</v>
      </c>
      <c r="N876" s="6">
        <f>+J876</f>
        <v>9735.6</v>
      </c>
      <c r="O876" s="6">
        <f t="shared" si="177"/>
        <v>1036975.6</v>
      </c>
      <c r="P876" s="6">
        <v>1036975.6</v>
      </c>
      <c r="Q876" s="6"/>
      <c r="R876" s="6">
        <f t="shared" si="170"/>
        <v>0</v>
      </c>
      <c r="S876"/>
      <c r="T876"/>
    </row>
    <row r="877" spans="2:22" s="5" customFormat="1" x14ac:dyDescent="0.3">
      <c r="B877" s="5" t="s">
        <v>16</v>
      </c>
      <c r="C877" s="5" t="s">
        <v>1549</v>
      </c>
      <c r="D877" s="5" t="s">
        <v>18</v>
      </c>
      <c r="E877" s="5" t="s">
        <v>1550</v>
      </c>
      <c r="F877" s="5" t="s">
        <v>62</v>
      </c>
      <c r="G877" s="5" t="s">
        <v>69</v>
      </c>
      <c r="H877" s="6">
        <v>389008.85263157886</v>
      </c>
      <c r="I877" s="6">
        <f t="shared" si="176"/>
        <v>1232858.9473684211</v>
      </c>
      <c r="J877" s="6">
        <v>234243.20000000001</v>
      </c>
      <c r="K877" s="6"/>
      <c r="L877" s="6"/>
      <c r="M877" s="6">
        <f>+H877+I877</f>
        <v>1621867.8</v>
      </c>
      <c r="N877" s="6">
        <f>+J877</f>
        <v>234243.20000000001</v>
      </c>
      <c r="O877" s="6">
        <f t="shared" si="177"/>
        <v>1856111</v>
      </c>
      <c r="P877" s="6">
        <v>1856111</v>
      </c>
      <c r="Q877" s="6">
        <f>+M877</f>
        <v>1621867.8</v>
      </c>
      <c r="R877" s="6">
        <f t="shared" si="170"/>
        <v>40546.695</v>
      </c>
      <c r="S877" s="7"/>
      <c r="T877"/>
    </row>
    <row r="878" spans="2:22" s="5" customFormat="1" x14ac:dyDescent="0.3">
      <c r="B878" s="5" t="s">
        <v>16</v>
      </c>
      <c r="C878" s="5" t="s">
        <v>1551</v>
      </c>
      <c r="D878" s="5" t="s">
        <v>18</v>
      </c>
      <c r="E878" s="5" t="s">
        <v>671</v>
      </c>
      <c r="F878" s="5" t="s">
        <v>62</v>
      </c>
      <c r="G878" s="5" t="s">
        <v>69</v>
      </c>
      <c r="H878" s="6">
        <v>894312.8768421053</v>
      </c>
      <c r="I878" s="6">
        <f t="shared" si="176"/>
        <v>6065863.2631578948</v>
      </c>
      <c r="J878" s="6">
        <v>1152514.02</v>
      </c>
      <c r="K878" s="6"/>
      <c r="L878" s="6"/>
      <c r="M878" s="6">
        <f>+H878+I878</f>
        <v>6960176.1400000006</v>
      </c>
      <c r="N878" s="6">
        <f>+J878</f>
        <v>1152514.02</v>
      </c>
      <c r="O878" s="6">
        <f t="shared" si="177"/>
        <v>8112690.1600000001</v>
      </c>
      <c r="P878" s="6">
        <v>8112690.1600000001</v>
      </c>
      <c r="Q878" s="6">
        <f>+M878</f>
        <v>6960176.1400000006</v>
      </c>
      <c r="R878" s="6">
        <f t="shared" si="170"/>
        <v>174004.40350000001</v>
      </c>
      <c r="S878" s="7"/>
      <c r="T878"/>
    </row>
    <row r="879" spans="2:22" s="5" customFormat="1" x14ac:dyDescent="0.3">
      <c r="B879" s="7" t="s">
        <v>16</v>
      </c>
      <c r="C879" s="7" t="s">
        <v>1552</v>
      </c>
      <c r="D879" s="7" t="s">
        <v>18</v>
      </c>
      <c r="E879" s="7" t="s">
        <v>818</v>
      </c>
      <c r="F879" s="7" t="s">
        <v>62</v>
      </c>
      <c r="G879" s="7" t="s">
        <v>69</v>
      </c>
      <c r="H879" s="8">
        <f>+P879-I879-J879</f>
        <v>534573</v>
      </c>
      <c r="I879" s="8">
        <f t="shared" si="176"/>
        <v>0</v>
      </c>
      <c r="J879" s="8">
        <v>0</v>
      </c>
      <c r="K879" s="8">
        <v>0</v>
      </c>
      <c r="L879" s="8">
        <v>0</v>
      </c>
      <c r="M879" s="8">
        <f>+I879+H879</f>
        <v>534573</v>
      </c>
      <c r="N879" s="8">
        <f>+J879+L879</f>
        <v>0</v>
      </c>
      <c r="O879" s="8">
        <f t="shared" si="177"/>
        <v>534573</v>
      </c>
      <c r="P879" s="8">
        <v>534573</v>
      </c>
      <c r="Q879" s="8">
        <v>0</v>
      </c>
      <c r="R879" s="8">
        <f t="shared" si="170"/>
        <v>0</v>
      </c>
      <c r="T879"/>
    </row>
    <row r="880" spans="2:22" s="5" customFormat="1" x14ac:dyDescent="0.3">
      <c r="B880" s="5" t="s">
        <v>16</v>
      </c>
      <c r="C880" s="5" t="s">
        <v>1553</v>
      </c>
      <c r="D880" s="5" t="s">
        <v>18</v>
      </c>
      <c r="E880" s="5" t="s">
        <v>520</v>
      </c>
      <c r="F880" s="5" t="s">
        <v>62</v>
      </c>
      <c r="G880" s="5" t="s">
        <v>69</v>
      </c>
      <c r="H880" s="6">
        <f>+P880-I880-J880</f>
        <v>18</v>
      </c>
      <c r="I880" s="6">
        <f t="shared" si="176"/>
        <v>0</v>
      </c>
      <c r="J880" s="6">
        <v>0</v>
      </c>
      <c r="K880" s="6">
        <v>0</v>
      </c>
      <c r="L880" s="6">
        <v>0</v>
      </c>
      <c r="M880" s="6">
        <f>+H880+I880+K880</f>
        <v>18</v>
      </c>
      <c r="N880" s="6">
        <f>+J880+L880</f>
        <v>0</v>
      </c>
      <c r="O880" s="6">
        <f t="shared" si="177"/>
        <v>18</v>
      </c>
      <c r="P880" s="6">
        <v>18</v>
      </c>
      <c r="Q880" s="6"/>
      <c r="R880" s="6">
        <f t="shared" si="170"/>
        <v>0</v>
      </c>
      <c r="T880"/>
    </row>
    <row r="881" spans="2:22" s="5" customFormat="1" x14ac:dyDescent="0.3">
      <c r="B881" s="5" t="s">
        <v>16</v>
      </c>
      <c r="C881" s="5" t="s">
        <v>1554</v>
      </c>
      <c r="D881" s="5" t="s">
        <v>18</v>
      </c>
      <c r="E881" s="5" t="s">
        <v>1555</v>
      </c>
      <c r="F881" s="5" t="s">
        <v>62</v>
      </c>
      <c r="G881" s="5" t="s">
        <v>69</v>
      </c>
      <c r="H881" s="6">
        <f>+P881-I881-J881</f>
        <v>38.008421052625636</v>
      </c>
      <c r="I881" s="6">
        <f t="shared" si="176"/>
        <v>56033.631578947374</v>
      </c>
      <c r="J881" s="6">
        <v>10646.39</v>
      </c>
      <c r="K881" s="6">
        <v>0</v>
      </c>
      <c r="L881" s="6">
        <v>0</v>
      </c>
      <c r="M881" s="6">
        <f>+H881+I881+K881</f>
        <v>56071.64</v>
      </c>
      <c r="N881" s="6">
        <f>+J881+L881</f>
        <v>10646.39</v>
      </c>
      <c r="O881" s="6">
        <f t="shared" si="177"/>
        <v>66718.03</v>
      </c>
      <c r="P881" s="6">
        <v>66718.03</v>
      </c>
      <c r="Q881" s="6">
        <v>0</v>
      </c>
      <c r="R881" s="6">
        <f t="shared" si="170"/>
        <v>0</v>
      </c>
      <c r="T881"/>
    </row>
    <row r="882" spans="2:22" s="5" customFormat="1" x14ac:dyDescent="0.3">
      <c r="B882" s="5" t="s">
        <v>16</v>
      </c>
      <c r="C882" s="5" t="s">
        <v>1556</v>
      </c>
      <c r="D882" s="5" t="s">
        <v>18</v>
      </c>
      <c r="E882" s="5" t="s">
        <v>771</v>
      </c>
      <c r="F882" s="5" t="s">
        <v>62</v>
      </c>
      <c r="G882" s="5" t="s">
        <v>69</v>
      </c>
      <c r="H882" s="6">
        <v>0</v>
      </c>
      <c r="I882" s="6">
        <f t="shared" si="176"/>
        <v>0</v>
      </c>
      <c r="J882" s="6">
        <v>0</v>
      </c>
      <c r="K882" s="6">
        <v>0</v>
      </c>
      <c r="L882" s="6">
        <v>0</v>
      </c>
      <c r="M882" s="6">
        <f>+H882+I882+K882</f>
        <v>0</v>
      </c>
      <c r="N882" s="6">
        <f>+J882+L882</f>
        <v>0</v>
      </c>
      <c r="O882" s="6">
        <f t="shared" si="177"/>
        <v>0</v>
      </c>
      <c r="P882" s="6">
        <v>4137184.8</v>
      </c>
      <c r="Q882" s="6">
        <f>+M882</f>
        <v>0</v>
      </c>
      <c r="R882" s="6">
        <f t="shared" si="170"/>
        <v>0</v>
      </c>
      <c r="T882"/>
    </row>
    <row r="883" spans="2:22" s="5" customFormat="1" x14ac:dyDescent="0.3">
      <c r="B883" s="5" t="s">
        <v>16</v>
      </c>
      <c r="C883" s="5" t="s">
        <v>1557</v>
      </c>
      <c r="D883" s="5" t="s">
        <v>18</v>
      </c>
      <c r="E883" s="5" t="s">
        <v>1423</v>
      </c>
      <c r="F883" s="5" t="s">
        <v>20</v>
      </c>
      <c r="G883" s="5" t="s">
        <v>21</v>
      </c>
      <c r="H883" s="6">
        <v>4.6315789484651759E-2</v>
      </c>
      <c r="I883" s="6">
        <f t="shared" si="176"/>
        <v>354199.4736842105</v>
      </c>
      <c r="J883" s="6">
        <v>67297.899999999994</v>
      </c>
      <c r="K883" s="6"/>
      <c r="L883" s="6"/>
      <c r="M883" s="6">
        <f>+H883+I883</f>
        <v>354199.52</v>
      </c>
      <c r="N883" s="6">
        <f>+J883</f>
        <v>67297.899999999994</v>
      </c>
      <c r="O883" s="6">
        <f t="shared" si="177"/>
        <v>421497.42000000004</v>
      </c>
      <c r="P883" s="6">
        <v>421497.42</v>
      </c>
      <c r="Q883" s="6"/>
      <c r="R883" s="6">
        <f t="shared" si="170"/>
        <v>0</v>
      </c>
      <c r="T883"/>
    </row>
    <row r="884" spans="2:22" s="5" customFormat="1" x14ac:dyDescent="0.3">
      <c r="B884" s="5" t="s">
        <v>16</v>
      </c>
      <c r="C884" s="5" t="s">
        <v>1558</v>
      </c>
      <c r="D884" s="5" t="s">
        <v>18</v>
      </c>
      <c r="E884" s="5" t="s">
        <v>1271</v>
      </c>
      <c r="F884" s="5" t="s">
        <v>20</v>
      </c>
      <c r="G884" s="5" t="s">
        <v>21</v>
      </c>
      <c r="H884" s="6">
        <v>543320.04578947381</v>
      </c>
      <c r="I884" s="6">
        <f t="shared" si="176"/>
        <v>5079396.6842105258</v>
      </c>
      <c r="J884" s="6">
        <v>965085.37</v>
      </c>
      <c r="K884" s="6"/>
      <c r="L884" s="6"/>
      <c r="M884" s="6">
        <f>+H884+I884</f>
        <v>5622716.7299999995</v>
      </c>
      <c r="N884" s="6">
        <f>+J884</f>
        <v>965085.37</v>
      </c>
      <c r="O884" s="6">
        <f t="shared" si="177"/>
        <v>6587802.0999999996</v>
      </c>
      <c r="P884" s="6">
        <v>6587802.0999999996</v>
      </c>
      <c r="Q884" s="6">
        <f>+M884-1004050</f>
        <v>4618666.7299999995</v>
      </c>
      <c r="R884" s="6">
        <f t="shared" ref="R884:R947" si="179">+Q884*2.5/100</f>
        <v>115466.66824999999</v>
      </c>
      <c r="T884"/>
      <c r="U884"/>
      <c r="V884"/>
    </row>
    <row r="885" spans="2:22" s="5" customFormat="1" x14ac:dyDescent="0.3">
      <c r="B885" s="5" t="s">
        <v>16</v>
      </c>
      <c r="C885" s="5" t="s">
        <v>1559</v>
      </c>
      <c r="D885" s="5" t="s">
        <v>18</v>
      </c>
      <c r="E885" s="5" t="s">
        <v>1275</v>
      </c>
      <c r="F885" s="5" t="s">
        <v>20</v>
      </c>
      <c r="G885" s="5" t="s">
        <v>21</v>
      </c>
      <c r="H885" s="6">
        <v>1073938.6078947368</v>
      </c>
      <c r="I885" s="6">
        <f t="shared" si="176"/>
        <v>4382689.8421052629</v>
      </c>
      <c r="J885" s="6">
        <v>832711.07</v>
      </c>
      <c r="K885" s="6"/>
      <c r="L885" s="6"/>
      <c r="M885" s="6">
        <f>+H885+I885</f>
        <v>5456628.4499999993</v>
      </c>
      <c r="N885" s="6">
        <f>+J885</f>
        <v>832711.07</v>
      </c>
      <c r="O885" s="6">
        <f t="shared" si="177"/>
        <v>6289339.5199999996</v>
      </c>
      <c r="P885" s="6">
        <v>6289339.5199999996</v>
      </c>
      <c r="Q885" s="6">
        <f>+M885</f>
        <v>5456628.4499999993</v>
      </c>
      <c r="R885" s="6">
        <f t="shared" si="179"/>
        <v>136415.71124999999</v>
      </c>
      <c r="T885"/>
      <c r="U885"/>
      <c r="V885"/>
    </row>
    <row r="886" spans="2:22" s="5" customFormat="1" x14ac:dyDescent="0.3">
      <c r="B886" s="7" t="s">
        <v>16</v>
      </c>
      <c r="C886" s="7" t="s">
        <v>1560</v>
      </c>
      <c r="D886" s="7" t="s">
        <v>18</v>
      </c>
      <c r="E886" s="7" t="s">
        <v>1561</v>
      </c>
      <c r="F886" s="7" t="s">
        <v>20</v>
      </c>
      <c r="G886" s="7" t="s">
        <v>21</v>
      </c>
      <c r="H886" s="8">
        <f>+P886-I886-J886</f>
        <v>3.1578947382513434E-2</v>
      </c>
      <c r="I886" s="8">
        <f t="shared" si="176"/>
        <v>202622.36842105261</v>
      </c>
      <c r="J886" s="8">
        <v>38498.25</v>
      </c>
      <c r="K886" s="8">
        <v>0</v>
      </c>
      <c r="L886" s="8">
        <v>0</v>
      </c>
      <c r="M886" s="8">
        <f>+I886+H886</f>
        <v>202622.4</v>
      </c>
      <c r="N886" s="8">
        <f>+J886+L886</f>
        <v>38498.25</v>
      </c>
      <c r="O886" s="8">
        <f t="shared" si="177"/>
        <v>241120.65</v>
      </c>
      <c r="P886" s="8">
        <v>241120.65</v>
      </c>
      <c r="Q886" s="8">
        <v>0</v>
      </c>
      <c r="R886" s="8">
        <f t="shared" si="179"/>
        <v>0</v>
      </c>
      <c r="T886"/>
      <c r="U886"/>
      <c r="V886"/>
    </row>
    <row r="887" spans="2:22" s="5" customFormat="1" x14ac:dyDescent="0.3">
      <c r="B887" s="5" t="s">
        <v>16</v>
      </c>
      <c r="C887" s="5" t="s">
        <v>1562</v>
      </c>
      <c r="D887" s="5" t="s">
        <v>18</v>
      </c>
      <c r="E887" s="5" t="s">
        <v>469</v>
      </c>
      <c r="F887" s="5" t="s">
        <v>20</v>
      </c>
      <c r="G887" s="5" t="s">
        <v>21</v>
      </c>
      <c r="H887" s="6">
        <f>+P887-I887-J887</f>
        <v>8.0000000045401976E-2</v>
      </c>
      <c r="I887" s="6">
        <f t="shared" si="176"/>
        <v>667990</v>
      </c>
      <c r="J887" s="6">
        <v>126918.1</v>
      </c>
      <c r="K887" s="6">
        <v>0</v>
      </c>
      <c r="L887" s="6">
        <v>0</v>
      </c>
      <c r="M887" s="6">
        <f>+H887+I887+K887</f>
        <v>667990.08000000007</v>
      </c>
      <c r="N887" s="6">
        <f>+J887+L887</f>
        <v>126918.1</v>
      </c>
      <c r="O887" s="6">
        <f t="shared" si="177"/>
        <v>794908.18</v>
      </c>
      <c r="P887" s="6">
        <v>794908.18</v>
      </c>
      <c r="Q887" s="6">
        <v>0</v>
      </c>
      <c r="R887" s="6">
        <f t="shared" si="179"/>
        <v>0</v>
      </c>
      <c r="T887"/>
      <c r="U887"/>
      <c r="V887"/>
    </row>
    <row r="888" spans="2:22" s="5" customFormat="1" x14ac:dyDescent="0.3">
      <c r="B888" s="5" t="s">
        <v>16</v>
      </c>
      <c r="C888" s="5" t="s">
        <v>1563</v>
      </c>
      <c r="D888" s="5" t="s">
        <v>18</v>
      </c>
      <c r="E888" s="5" t="s">
        <v>409</v>
      </c>
      <c r="F888" s="5" t="s">
        <v>20</v>
      </c>
      <c r="G888" s="5" t="s">
        <v>21</v>
      </c>
      <c r="H888" s="6">
        <f>+P888-I888-J888</f>
        <v>4.210526317183394E-2</v>
      </c>
      <c r="I888" s="6">
        <f t="shared" si="176"/>
        <v>196243.15789473683</v>
      </c>
      <c r="J888" s="6">
        <v>37286.199999999997</v>
      </c>
      <c r="K888" s="6">
        <v>0</v>
      </c>
      <c r="L888" s="6">
        <v>0</v>
      </c>
      <c r="M888" s="6">
        <f>+H888+I888+K888</f>
        <v>196243.20000000001</v>
      </c>
      <c r="N888" s="6">
        <f>+J888+L888</f>
        <v>37286.199999999997</v>
      </c>
      <c r="O888" s="6">
        <f t="shared" si="177"/>
        <v>233529.40000000002</v>
      </c>
      <c r="P888" s="6">
        <v>233529.4</v>
      </c>
      <c r="Q888" s="6">
        <v>0</v>
      </c>
      <c r="R888" s="6">
        <f t="shared" si="179"/>
        <v>0</v>
      </c>
      <c r="T888"/>
    </row>
    <row r="889" spans="2:22" s="5" customFormat="1" x14ac:dyDescent="0.3">
      <c r="B889" s="5" t="s">
        <v>16</v>
      </c>
      <c r="C889" s="5" t="s">
        <v>1564</v>
      </c>
      <c r="D889" s="5" t="s">
        <v>18</v>
      </c>
      <c r="E889" s="5" t="s">
        <v>1317</v>
      </c>
      <c r="F889" s="5" t="s">
        <v>20</v>
      </c>
      <c r="G889" s="5" t="s">
        <v>21</v>
      </c>
      <c r="H889" s="6">
        <f>+P889-I889-J889-K889-L889</f>
        <v>-8.8817841970012523E-16</v>
      </c>
      <c r="I889" s="6">
        <f t="shared" si="176"/>
        <v>24</v>
      </c>
      <c r="J889" s="6">
        <v>4.5599999999999996</v>
      </c>
      <c r="K889" s="6">
        <v>0</v>
      </c>
      <c r="L889" s="6">
        <v>0</v>
      </c>
      <c r="M889" s="6">
        <f>+H889+I889+K889</f>
        <v>24</v>
      </c>
      <c r="N889" s="6">
        <f>+J889+L889</f>
        <v>4.5599999999999996</v>
      </c>
      <c r="O889" s="6">
        <f t="shared" si="177"/>
        <v>28.56</v>
      </c>
      <c r="P889" s="6">
        <v>28.56</v>
      </c>
      <c r="Q889" s="6">
        <v>0</v>
      </c>
      <c r="R889" s="6">
        <f t="shared" si="179"/>
        <v>0</v>
      </c>
      <c r="T889"/>
    </row>
    <row r="890" spans="2:22" s="5" customFormat="1" x14ac:dyDescent="0.3">
      <c r="B890" s="5" t="s">
        <v>16</v>
      </c>
      <c r="C890" s="5" t="s">
        <v>1565</v>
      </c>
      <c r="D890" s="5" t="s">
        <v>18</v>
      </c>
      <c r="E890" s="5" t="s">
        <v>620</v>
      </c>
      <c r="F890" s="5" t="s">
        <v>20</v>
      </c>
      <c r="G890" s="5" t="s">
        <v>21</v>
      </c>
      <c r="H890" s="6">
        <f>+P890-I890-J890-K890-L890</f>
        <v>2.1052631575003034E-2</v>
      </c>
      <c r="I890" s="6">
        <f t="shared" si="176"/>
        <v>86973.578947368427</v>
      </c>
      <c r="J890" s="6">
        <v>16524.98</v>
      </c>
      <c r="K890" s="6">
        <v>0</v>
      </c>
      <c r="L890" s="6">
        <v>0</v>
      </c>
      <c r="M890" s="6">
        <f>+H890+I890+K890</f>
        <v>86973.6</v>
      </c>
      <c r="N890" s="6">
        <f>+J890+L890</f>
        <v>16524.98</v>
      </c>
      <c r="O890" s="6">
        <f t="shared" si="177"/>
        <v>103498.58</v>
      </c>
      <c r="P890" s="6">
        <v>103498.58</v>
      </c>
      <c r="Q890" s="6">
        <v>0</v>
      </c>
      <c r="R890" s="6">
        <f t="shared" si="179"/>
        <v>0</v>
      </c>
      <c r="T890"/>
    </row>
    <row r="891" spans="2:22" s="5" customFormat="1" x14ac:dyDescent="0.3">
      <c r="B891" s="5" t="s">
        <v>16</v>
      </c>
      <c r="C891" s="5" t="s">
        <v>1566</v>
      </c>
      <c r="D891" s="5" t="s">
        <v>1567</v>
      </c>
      <c r="E891" s="5" t="s">
        <v>938</v>
      </c>
      <c r="F891" s="5" t="s">
        <v>473</v>
      </c>
      <c r="G891" s="5" t="s">
        <v>474</v>
      </c>
      <c r="H891" s="6">
        <v>-2.3157894844189286E-2</v>
      </c>
      <c r="I891" s="6">
        <f t="shared" si="176"/>
        <v>1373109.2631578948</v>
      </c>
      <c r="J891" s="6">
        <v>260890.76</v>
      </c>
      <c r="K891" s="6"/>
      <c r="L891" s="6"/>
      <c r="M891" s="6">
        <f>+H891+I891</f>
        <v>1373109.24</v>
      </c>
      <c r="N891" s="6">
        <f>+J891</f>
        <v>260890.76</v>
      </c>
      <c r="O891" s="6">
        <f t="shared" si="177"/>
        <v>1634000</v>
      </c>
      <c r="P891" s="6">
        <v>1634000</v>
      </c>
      <c r="Q891" s="6">
        <f>+M891</f>
        <v>1373109.24</v>
      </c>
      <c r="R891" s="6">
        <f t="shared" si="179"/>
        <v>34327.731</v>
      </c>
      <c r="T891"/>
    </row>
    <row r="892" spans="2:22" s="5" customFormat="1" x14ac:dyDescent="0.3">
      <c r="B892" s="5" t="s">
        <v>16</v>
      </c>
      <c r="C892" s="5" t="s">
        <v>1568</v>
      </c>
      <c r="D892" s="5" t="s">
        <v>1569</v>
      </c>
      <c r="E892" s="5" t="s">
        <v>230</v>
      </c>
      <c r="F892" s="5" t="s">
        <v>1570</v>
      </c>
      <c r="G892" s="5" t="s">
        <v>1571</v>
      </c>
      <c r="H892" s="6">
        <v>4032759.8510526316</v>
      </c>
      <c r="I892" s="6">
        <f t="shared" si="176"/>
        <v>2212084.5789473685</v>
      </c>
      <c r="J892" s="6">
        <v>420296.07</v>
      </c>
      <c r="K892" s="6">
        <v>0</v>
      </c>
      <c r="L892" s="6">
        <v>0</v>
      </c>
      <c r="M892" s="6">
        <f>+H892+I892+K892</f>
        <v>6244844.4299999997</v>
      </c>
      <c r="N892" s="6">
        <f>+J892+L892</f>
        <v>420296.07</v>
      </c>
      <c r="O892" s="6">
        <f t="shared" si="177"/>
        <v>6665140.5</v>
      </c>
      <c r="P892" s="6">
        <v>6665140.5</v>
      </c>
      <c r="Q892" s="6">
        <f>+P892-O892</f>
        <v>0</v>
      </c>
      <c r="R892" s="6">
        <f t="shared" si="179"/>
        <v>0</v>
      </c>
      <c r="T892"/>
    </row>
    <row r="893" spans="2:22" s="5" customFormat="1" x14ac:dyDescent="0.3">
      <c r="B893" s="5" t="s">
        <v>16</v>
      </c>
      <c r="C893" s="5" t="s">
        <v>1572</v>
      </c>
      <c r="D893" s="5" t="s">
        <v>1569</v>
      </c>
      <c r="E893" s="5" t="s">
        <v>230</v>
      </c>
      <c r="F893" s="5" t="s">
        <v>1570</v>
      </c>
      <c r="G893" s="5" t="s">
        <v>1571</v>
      </c>
      <c r="H893" s="6">
        <v>537407.96</v>
      </c>
      <c r="I893" s="6">
        <f t="shared" si="176"/>
        <v>327576</v>
      </c>
      <c r="J893" s="6">
        <v>62239.44</v>
      </c>
      <c r="K893" s="6">
        <v>0</v>
      </c>
      <c r="L893" s="6">
        <v>0</v>
      </c>
      <c r="M893" s="6">
        <f>+H893+I893+K893</f>
        <v>864983.96</v>
      </c>
      <c r="N893" s="6">
        <f>+J893+L893</f>
        <v>62239.44</v>
      </c>
      <c r="O893" s="6">
        <f t="shared" si="177"/>
        <v>927223.39999999991</v>
      </c>
      <c r="P893" s="6">
        <v>927223.4</v>
      </c>
      <c r="Q893" s="6">
        <f>+P893-O893</f>
        <v>0</v>
      </c>
      <c r="R893" s="6">
        <f t="shared" si="179"/>
        <v>0</v>
      </c>
      <c r="S893" s="7"/>
      <c r="T893"/>
    </row>
    <row r="894" spans="2:22" s="5" customFormat="1" x14ac:dyDescent="0.3">
      <c r="B894" s="5" t="s">
        <v>16</v>
      </c>
      <c r="C894" s="5" t="s">
        <v>1573</v>
      </c>
      <c r="D894" s="5" t="s">
        <v>1569</v>
      </c>
      <c r="E894" s="5" t="s">
        <v>533</v>
      </c>
      <c r="F894" s="5" t="s">
        <v>1570</v>
      </c>
      <c r="G894" s="5" t="s">
        <v>1571</v>
      </c>
      <c r="H894" s="6">
        <v>1386738.4</v>
      </c>
      <c r="I894" s="6">
        <f t="shared" si="176"/>
        <v>0</v>
      </c>
      <c r="J894" s="6">
        <v>0</v>
      </c>
      <c r="K894" s="6">
        <v>0</v>
      </c>
      <c r="L894" s="6">
        <v>0</v>
      </c>
      <c r="M894" s="6">
        <f>+H894+I894+K894</f>
        <v>1386738.4</v>
      </c>
      <c r="N894" s="6">
        <f>+J894+L894</f>
        <v>0</v>
      </c>
      <c r="O894" s="6">
        <f t="shared" si="177"/>
        <v>1386738.4</v>
      </c>
      <c r="P894" s="6">
        <v>1386738.4</v>
      </c>
      <c r="Q894" s="6">
        <v>0</v>
      </c>
      <c r="R894" s="6">
        <f t="shared" si="179"/>
        <v>0</v>
      </c>
      <c r="T894"/>
    </row>
    <row r="895" spans="2:22" s="5" customFormat="1" x14ac:dyDescent="0.3">
      <c r="B895" s="5" t="s">
        <v>16</v>
      </c>
      <c r="C895" s="5" t="s">
        <v>1574</v>
      </c>
      <c r="D895" s="5" t="s">
        <v>1569</v>
      </c>
      <c r="E895" s="5" t="s">
        <v>1267</v>
      </c>
      <c r="F895" s="5" t="s">
        <v>1570</v>
      </c>
      <c r="G895" s="5" t="s">
        <v>1571</v>
      </c>
      <c r="H895" s="6">
        <v>254520</v>
      </c>
      <c r="I895" s="6">
        <f t="shared" si="176"/>
        <v>0</v>
      </c>
      <c r="J895" s="6">
        <v>0</v>
      </c>
      <c r="K895" s="6"/>
      <c r="L895" s="6"/>
      <c r="M895" s="6">
        <f>+H895+I895</f>
        <v>254520</v>
      </c>
      <c r="N895" s="6">
        <f>+J895</f>
        <v>0</v>
      </c>
      <c r="O895" s="6">
        <f t="shared" si="177"/>
        <v>254520</v>
      </c>
      <c r="P895" s="6">
        <v>254520</v>
      </c>
      <c r="Q895" s="6"/>
      <c r="R895" s="6">
        <f t="shared" si="179"/>
        <v>0</v>
      </c>
      <c r="T895"/>
    </row>
    <row r="896" spans="2:22" s="5" customFormat="1" x14ac:dyDescent="0.3">
      <c r="B896" s="5" t="s">
        <v>16</v>
      </c>
      <c r="C896" s="5" t="s">
        <v>1575</v>
      </c>
      <c r="D896" s="5" t="s">
        <v>1569</v>
      </c>
      <c r="E896" s="5" t="s">
        <v>694</v>
      </c>
      <c r="F896" s="5" t="s">
        <v>1570</v>
      </c>
      <c r="G896" s="5" t="s">
        <v>1571</v>
      </c>
      <c r="H896" s="6">
        <v>4266919.8926315783</v>
      </c>
      <c r="I896" s="6">
        <f t="shared" si="176"/>
        <v>3937532.9473684216</v>
      </c>
      <c r="J896" s="6">
        <v>748131.26</v>
      </c>
      <c r="K896" s="6"/>
      <c r="L896" s="6"/>
      <c r="M896" s="6">
        <f>+H896+I896</f>
        <v>8204452.8399999999</v>
      </c>
      <c r="N896" s="6">
        <f>+J896</f>
        <v>748131.26</v>
      </c>
      <c r="O896" s="6">
        <f t="shared" si="177"/>
        <v>8952584.0999999996</v>
      </c>
      <c r="P896" s="6">
        <v>8952584.0999999996</v>
      </c>
      <c r="Q896" s="6"/>
      <c r="R896" s="6">
        <f t="shared" si="179"/>
        <v>0</v>
      </c>
      <c r="T896"/>
    </row>
    <row r="897" spans="2:22" s="5" customFormat="1" x14ac:dyDescent="0.3">
      <c r="B897" s="5" t="s">
        <v>16</v>
      </c>
      <c r="C897" s="5" t="s">
        <v>1576</v>
      </c>
      <c r="D897" s="5" t="s">
        <v>1569</v>
      </c>
      <c r="E897" s="5" t="s">
        <v>551</v>
      </c>
      <c r="F897" s="5" t="s">
        <v>1570</v>
      </c>
      <c r="G897" s="5" t="s">
        <v>1571</v>
      </c>
      <c r="H897" s="6">
        <v>1878102.4</v>
      </c>
      <c r="I897" s="6">
        <f t="shared" si="176"/>
        <v>0</v>
      </c>
      <c r="J897" s="6">
        <v>0</v>
      </c>
      <c r="K897" s="6"/>
      <c r="L897" s="6"/>
      <c r="M897" s="6">
        <f>+H897+I897</f>
        <v>1878102.4</v>
      </c>
      <c r="N897" s="6">
        <f>+J897</f>
        <v>0</v>
      </c>
      <c r="O897" s="6">
        <f t="shared" si="177"/>
        <v>1878102.4</v>
      </c>
      <c r="P897" s="6">
        <v>1878102.4</v>
      </c>
      <c r="Q897" s="6"/>
      <c r="R897" s="6">
        <f t="shared" si="179"/>
        <v>0</v>
      </c>
      <c r="T897"/>
    </row>
    <row r="898" spans="2:22" s="5" customFormat="1" x14ac:dyDescent="0.3">
      <c r="B898" s="7" t="s">
        <v>16</v>
      </c>
      <c r="C898" s="7" t="s">
        <v>1577</v>
      </c>
      <c r="D898" s="7" t="s">
        <v>1569</v>
      </c>
      <c r="E898" s="7" t="s">
        <v>700</v>
      </c>
      <c r="F898" s="7" t="s">
        <v>1570</v>
      </c>
      <c r="G898" s="7" t="s">
        <v>1571</v>
      </c>
      <c r="H898" s="8">
        <f t="shared" ref="H898:H910" si="180">+P898-I898-J898</f>
        <v>2619969.0699999998</v>
      </c>
      <c r="I898" s="8">
        <f t="shared" si="176"/>
        <v>1544047</v>
      </c>
      <c r="J898" s="8">
        <v>293368.93</v>
      </c>
      <c r="K898" s="8">
        <v>0</v>
      </c>
      <c r="L898" s="8">
        <v>0</v>
      </c>
      <c r="M898" s="8">
        <f>+I898+H898</f>
        <v>4164016.07</v>
      </c>
      <c r="N898" s="8">
        <f t="shared" ref="N898:N922" si="181">+J898+L898</f>
        <v>293368.93</v>
      </c>
      <c r="O898" s="8">
        <f t="shared" si="177"/>
        <v>4457385</v>
      </c>
      <c r="P898" s="8">
        <v>4457385</v>
      </c>
      <c r="Q898" s="8">
        <v>0</v>
      </c>
      <c r="R898" s="8">
        <f t="shared" si="179"/>
        <v>0</v>
      </c>
      <c r="T898"/>
    </row>
    <row r="899" spans="2:22" s="5" customFormat="1" x14ac:dyDescent="0.3">
      <c r="B899" s="7" t="s">
        <v>16</v>
      </c>
      <c r="C899" s="7" t="s">
        <v>1578</v>
      </c>
      <c r="D899" s="7" t="s">
        <v>1569</v>
      </c>
      <c r="E899" s="7" t="s">
        <v>1579</v>
      </c>
      <c r="F899" s="7" t="s">
        <v>1570</v>
      </c>
      <c r="G899" s="7" t="s">
        <v>1571</v>
      </c>
      <c r="H899" s="8">
        <f t="shared" si="180"/>
        <v>360036</v>
      </c>
      <c r="I899" s="8">
        <f t="shared" si="176"/>
        <v>0</v>
      </c>
      <c r="J899" s="8">
        <v>0</v>
      </c>
      <c r="K899" s="8">
        <v>0</v>
      </c>
      <c r="L899" s="8">
        <v>0</v>
      </c>
      <c r="M899" s="8">
        <f>+I899+H899</f>
        <v>360036</v>
      </c>
      <c r="N899" s="8">
        <f t="shared" si="181"/>
        <v>0</v>
      </c>
      <c r="O899" s="8">
        <f t="shared" si="177"/>
        <v>360036</v>
      </c>
      <c r="P899" s="8">
        <v>360036</v>
      </c>
      <c r="Q899" s="8">
        <v>0</v>
      </c>
      <c r="R899" s="8">
        <f t="shared" si="179"/>
        <v>0</v>
      </c>
      <c r="T899"/>
    </row>
    <row r="900" spans="2:22" s="5" customFormat="1" x14ac:dyDescent="0.3">
      <c r="B900" s="5" t="s">
        <v>16</v>
      </c>
      <c r="C900" s="5" t="s">
        <v>1580</v>
      </c>
      <c r="D900" s="5" t="s">
        <v>1569</v>
      </c>
      <c r="E900" s="5" t="s">
        <v>1091</v>
      </c>
      <c r="F900" s="5" t="s">
        <v>1570</v>
      </c>
      <c r="G900" s="5" t="s">
        <v>1571</v>
      </c>
      <c r="H900" s="6">
        <f t="shared" si="180"/>
        <v>403056.03</v>
      </c>
      <c r="I900" s="6">
        <f t="shared" si="176"/>
        <v>124083</v>
      </c>
      <c r="J900" s="6">
        <v>23575.77</v>
      </c>
      <c r="K900" s="6">
        <v>0</v>
      </c>
      <c r="L900" s="6">
        <v>0</v>
      </c>
      <c r="M900" s="6">
        <f t="shared" ref="M900:M922" si="182">+H900+I900+K900</f>
        <v>527139.03</v>
      </c>
      <c r="N900" s="6">
        <f t="shared" si="181"/>
        <v>23575.77</v>
      </c>
      <c r="O900" s="6">
        <f t="shared" si="177"/>
        <v>550714.80000000005</v>
      </c>
      <c r="P900" s="6">
        <v>550714.80000000005</v>
      </c>
      <c r="Q900" s="6"/>
      <c r="R900" s="6">
        <f t="shared" si="179"/>
        <v>0</v>
      </c>
      <c r="T900"/>
    </row>
    <row r="901" spans="2:22" s="5" customFormat="1" x14ac:dyDescent="0.3">
      <c r="B901" s="5" t="s">
        <v>16</v>
      </c>
      <c r="C901" s="5" t="s">
        <v>1581</v>
      </c>
      <c r="D901" s="5" t="s">
        <v>1569</v>
      </c>
      <c r="E901" s="5" t="s">
        <v>1091</v>
      </c>
      <c r="F901" s="5" t="s">
        <v>1570</v>
      </c>
      <c r="G901" s="5" t="s">
        <v>1571</v>
      </c>
      <c r="H901" s="6">
        <f t="shared" si="180"/>
        <v>5314811.58</v>
      </c>
      <c r="I901" s="6">
        <f t="shared" si="176"/>
        <v>800728.00000000012</v>
      </c>
      <c r="J901" s="6">
        <v>152138.32</v>
      </c>
      <c r="K901" s="6">
        <v>0</v>
      </c>
      <c r="L901" s="6">
        <v>0</v>
      </c>
      <c r="M901" s="6">
        <f t="shared" si="182"/>
        <v>6115539.5800000001</v>
      </c>
      <c r="N901" s="6">
        <f t="shared" si="181"/>
        <v>152138.32</v>
      </c>
      <c r="O901" s="6">
        <f t="shared" si="177"/>
        <v>6267677.9000000004</v>
      </c>
      <c r="P901" s="6">
        <v>6267677.9000000004</v>
      </c>
      <c r="Q901" s="6"/>
      <c r="R901" s="6">
        <f t="shared" si="179"/>
        <v>0</v>
      </c>
      <c r="T901"/>
    </row>
    <row r="902" spans="2:22" s="5" customFormat="1" x14ac:dyDescent="0.3">
      <c r="B902" s="5" t="s">
        <v>16</v>
      </c>
      <c r="C902" s="5" t="s">
        <v>1582</v>
      </c>
      <c r="D902" s="5" t="s">
        <v>1569</v>
      </c>
      <c r="E902" s="5" t="s">
        <v>992</v>
      </c>
      <c r="F902" s="5" t="s">
        <v>1570</v>
      </c>
      <c r="G902" s="5" t="s">
        <v>1571</v>
      </c>
      <c r="H902" s="6">
        <f t="shared" si="180"/>
        <v>6876926.0289473701</v>
      </c>
      <c r="I902" s="6">
        <f t="shared" si="176"/>
        <v>2600833.4210526315</v>
      </c>
      <c r="J902" s="6">
        <v>494158.35</v>
      </c>
      <c r="K902" s="6">
        <v>0</v>
      </c>
      <c r="L902" s="6">
        <v>0</v>
      </c>
      <c r="M902" s="6">
        <f t="shared" si="182"/>
        <v>9477759.4500000011</v>
      </c>
      <c r="N902" s="6">
        <f t="shared" si="181"/>
        <v>494158.35</v>
      </c>
      <c r="O902" s="6">
        <f t="shared" si="177"/>
        <v>9971917.8000000007</v>
      </c>
      <c r="P902" s="6">
        <v>9971917.8000000007</v>
      </c>
      <c r="Q902" s="6">
        <v>0</v>
      </c>
      <c r="R902" s="6">
        <f t="shared" si="179"/>
        <v>0</v>
      </c>
      <c r="T902"/>
    </row>
    <row r="903" spans="2:22" s="5" customFormat="1" x14ac:dyDescent="0.3">
      <c r="B903" s="5" t="s">
        <v>16</v>
      </c>
      <c r="C903" s="5" t="s">
        <v>1583</v>
      </c>
      <c r="D903" s="5" t="s">
        <v>1569</v>
      </c>
      <c r="E903" s="5" t="s">
        <v>561</v>
      </c>
      <c r="F903" s="5" t="s">
        <v>1570</v>
      </c>
      <c r="G903" s="5" t="s">
        <v>1571</v>
      </c>
      <c r="H903" s="6">
        <f t="shared" si="180"/>
        <v>290924.42000000004</v>
      </c>
      <c r="I903" s="6">
        <f t="shared" si="176"/>
        <v>327552</v>
      </c>
      <c r="J903" s="6">
        <v>62234.879999999997</v>
      </c>
      <c r="K903" s="6">
        <v>0</v>
      </c>
      <c r="L903" s="6">
        <v>0</v>
      </c>
      <c r="M903" s="6">
        <f t="shared" si="182"/>
        <v>618476.42000000004</v>
      </c>
      <c r="N903" s="6">
        <f t="shared" si="181"/>
        <v>62234.879999999997</v>
      </c>
      <c r="O903" s="6">
        <f t="shared" si="177"/>
        <v>680711.3</v>
      </c>
      <c r="P903" s="6">
        <v>680711.3</v>
      </c>
      <c r="Q903" s="6">
        <v>0</v>
      </c>
      <c r="R903" s="6">
        <f t="shared" si="179"/>
        <v>0</v>
      </c>
      <c r="T903"/>
      <c r="U903"/>
      <c r="V903"/>
    </row>
    <row r="904" spans="2:22" s="5" customFormat="1" x14ac:dyDescent="0.3">
      <c r="B904" s="5" t="s">
        <v>16</v>
      </c>
      <c r="C904" s="5" t="s">
        <v>1584</v>
      </c>
      <c r="D904" s="5" t="s">
        <v>1569</v>
      </c>
      <c r="E904" s="5" t="s">
        <v>577</v>
      </c>
      <c r="F904" s="5" t="s">
        <v>1570</v>
      </c>
      <c r="G904" s="5" t="s">
        <v>1571</v>
      </c>
      <c r="H904" s="6">
        <f t="shared" si="180"/>
        <v>171132</v>
      </c>
      <c r="I904" s="6">
        <f t="shared" si="176"/>
        <v>0</v>
      </c>
      <c r="J904" s="6">
        <v>0</v>
      </c>
      <c r="K904" s="6">
        <v>0</v>
      </c>
      <c r="L904" s="6">
        <v>0</v>
      </c>
      <c r="M904" s="6">
        <f t="shared" si="182"/>
        <v>171132</v>
      </c>
      <c r="N904" s="6">
        <f t="shared" si="181"/>
        <v>0</v>
      </c>
      <c r="O904" s="6">
        <f t="shared" si="177"/>
        <v>171132</v>
      </c>
      <c r="P904" s="6">
        <v>171132</v>
      </c>
      <c r="Q904" s="6">
        <v>0</v>
      </c>
      <c r="R904" s="6">
        <f t="shared" si="179"/>
        <v>0</v>
      </c>
      <c r="T904"/>
      <c r="U904"/>
      <c r="V904"/>
    </row>
    <row r="905" spans="2:22" s="5" customFormat="1" x14ac:dyDescent="0.3">
      <c r="B905" s="5" t="s">
        <v>16</v>
      </c>
      <c r="C905" s="5" t="s">
        <v>1585</v>
      </c>
      <c r="D905" s="5" t="s">
        <v>1569</v>
      </c>
      <c r="E905" s="5" t="s">
        <v>577</v>
      </c>
      <c r="F905" s="5" t="s">
        <v>1570</v>
      </c>
      <c r="G905" s="5" t="s">
        <v>1571</v>
      </c>
      <c r="H905" s="6">
        <f t="shared" si="180"/>
        <v>3625861.462105263</v>
      </c>
      <c r="I905" s="6">
        <f t="shared" si="176"/>
        <v>1911695.1578947371</v>
      </c>
      <c r="J905" s="6">
        <v>363222.08</v>
      </c>
      <c r="K905" s="6">
        <v>0</v>
      </c>
      <c r="L905" s="6">
        <v>0</v>
      </c>
      <c r="M905" s="6">
        <f t="shared" si="182"/>
        <v>5537556.6200000001</v>
      </c>
      <c r="N905" s="6">
        <f t="shared" si="181"/>
        <v>363222.08</v>
      </c>
      <c r="O905" s="6">
        <f t="shared" si="177"/>
        <v>5900778.7000000002</v>
      </c>
      <c r="P905" s="6">
        <v>5900778.7000000002</v>
      </c>
      <c r="Q905" s="6">
        <v>0</v>
      </c>
      <c r="R905" s="6">
        <f t="shared" si="179"/>
        <v>0</v>
      </c>
      <c r="T905"/>
    </row>
    <row r="906" spans="2:22" s="5" customFormat="1" x14ac:dyDescent="0.3">
      <c r="B906" s="5" t="s">
        <v>16</v>
      </c>
      <c r="C906" s="5" t="s">
        <v>1586</v>
      </c>
      <c r="D906" s="5" t="s">
        <v>1569</v>
      </c>
      <c r="E906" s="5" t="s">
        <v>117</v>
      </c>
      <c r="F906" s="5" t="s">
        <v>1570</v>
      </c>
      <c r="G906" s="5" t="s">
        <v>1571</v>
      </c>
      <c r="H906" s="6">
        <f t="shared" si="180"/>
        <v>4186663.0163157894</v>
      </c>
      <c r="I906" s="6">
        <f t="shared" si="176"/>
        <v>2862108.4736842103</v>
      </c>
      <c r="J906" s="6">
        <v>543800.61</v>
      </c>
      <c r="K906" s="6">
        <v>0</v>
      </c>
      <c r="L906" s="6">
        <v>0</v>
      </c>
      <c r="M906" s="6">
        <f t="shared" si="182"/>
        <v>7048771.4900000002</v>
      </c>
      <c r="N906" s="6">
        <f t="shared" si="181"/>
        <v>543800.61</v>
      </c>
      <c r="O906" s="6">
        <f t="shared" si="177"/>
        <v>7592572.1000000006</v>
      </c>
      <c r="P906" s="6">
        <v>7592572.0999999996</v>
      </c>
      <c r="Q906" s="6">
        <v>0</v>
      </c>
      <c r="R906" s="6">
        <f t="shared" si="179"/>
        <v>0</v>
      </c>
      <c r="T906"/>
    </row>
    <row r="907" spans="2:22" s="5" customFormat="1" x14ac:dyDescent="0.3">
      <c r="B907" s="5" t="s">
        <v>16</v>
      </c>
      <c r="C907" s="5" t="s">
        <v>1587</v>
      </c>
      <c r="D907" s="5" t="s">
        <v>1569</v>
      </c>
      <c r="E907" s="5" t="s">
        <v>117</v>
      </c>
      <c r="F907" s="5" t="s">
        <v>1570</v>
      </c>
      <c r="G907" s="5" t="s">
        <v>1571</v>
      </c>
      <c r="H907" s="6">
        <f t="shared" si="180"/>
        <v>581848.80000000005</v>
      </c>
      <c r="I907" s="6">
        <f t="shared" si="176"/>
        <v>0</v>
      </c>
      <c r="J907" s="6">
        <v>0</v>
      </c>
      <c r="K907" s="6">
        <v>0</v>
      </c>
      <c r="L907" s="6">
        <v>0</v>
      </c>
      <c r="M907" s="6">
        <f t="shared" si="182"/>
        <v>581848.80000000005</v>
      </c>
      <c r="N907" s="6">
        <f t="shared" si="181"/>
        <v>0</v>
      </c>
      <c r="O907" s="6">
        <f t="shared" si="177"/>
        <v>581848.80000000005</v>
      </c>
      <c r="P907" s="6">
        <v>581848.80000000005</v>
      </c>
      <c r="Q907" s="6">
        <v>0</v>
      </c>
      <c r="R907" s="6">
        <f t="shared" si="179"/>
        <v>0</v>
      </c>
      <c r="T907"/>
    </row>
    <row r="908" spans="2:22" s="5" customFormat="1" x14ac:dyDescent="0.3">
      <c r="B908" s="5" t="s">
        <v>16</v>
      </c>
      <c r="C908" s="5" t="s">
        <v>1588</v>
      </c>
      <c r="D908" s="5" t="s">
        <v>1569</v>
      </c>
      <c r="E908" s="5" t="s">
        <v>216</v>
      </c>
      <c r="F908" s="5" t="s">
        <v>1570</v>
      </c>
      <c r="G908" s="5" t="s">
        <v>1571</v>
      </c>
      <c r="H908" s="6">
        <f t="shared" si="180"/>
        <v>1514013.6</v>
      </c>
      <c r="I908" s="6">
        <f t="shared" si="176"/>
        <v>0</v>
      </c>
      <c r="J908" s="6">
        <v>0</v>
      </c>
      <c r="K908" s="6">
        <v>0</v>
      </c>
      <c r="L908" s="6">
        <v>0</v>
      </c>
      <c r="M908" s="6">
        <f t="shared" si="182"/>
        <v>1514013.6</v>
      </c>
      <c r="N908" s="6">
        <f t="shared" si="181"/>
        <v>0</v>
      </c>
      <c r="O908" s="6">
        <f t="shared" si="177"/>
        <v>1514013.6</v>
      </c>
      <c r="P908" s="6">
        <v>1514013.6</v>
      </c>
      <c r="Q908" s="6">
        <v>0</v>
      </c>
      <c r="R908" s="6">
        <f t="shared" si="179"/>
        <v>0</v>
      </c>
      <c r="S908"/>
      <c r="T908"/>
    </row>
    <row r="909" spans="2:22" s="5" customFormat="1" x14ac:dyDescent="0.3">
      <c r="B909" s="5" t="s">
        <v>16</v>
      </c>
      <c r="C909" s="5" t="s">
        <v>1589</v>
      </c>
      <c r="D909" s="5" t="s">
        <v>1569</v>
      </c>
      <c r="E909" s="5" t="s">
        <v>1032</v>
      </c>
      <c r="F909" s="5" t="s">
        <v>1570</v>
      </c>
      <c r="G909" s="5" t="s">
        <v>1571</v>
      </c>
      <c r="H909" s="6">
        <f t="shared" si="180"/>
        <v>3612158.5447368422</v>
      </c>
      <c r="I909" s="6">
        <f t="shared" si="176"/>
        <v>1472327.105263158</v>
      </c>
      <c r="J909" s="6">
        <v>279742.15000000002</v>
      </c>
      <c r="K909" s="6">
        <v>0</v>
      </c>
      <c r="L909" s="6">
        <v>0</v>
      </c>
      <c r="M909" s="6">
        <f t="shared" si="182"/>
        <v>5084485.6500000004</v>
      </c>
      <c r="N909" s="6">
        <f t="shared" si="181"/>
        <v>279742.15000000002</v>
      </c>
      <c r="O909" s="6">
        <f t="shared" si="177"/>
        <v>5364227.8000000007</v>
      </c>
      <c r="P909" s="6">
        <v>5364227.8</v>
      </c>
      <c r="Q909" s="6">
        <v>0</v>
      </c>
      <c r="R909" s="6">
        <f t="shared" si="179"/>
        <v>0</v>
      </c>
      <c r="S909"/>
      <c r="T909"/>
    </row>
    <row r="910" spans="2:22" s="5" customFormat="1" x14ac:dyDescent="0.3">
      <c r="B910" s="5" t="s">
        <v>16</v>
      </c>
      <c r="C910" s="5" t="s">
        <v>1590</v>
      </c>
      <c r="D910" s="5" t="s">
        <v>1569</v>
      </c>
      <c r="E910" s="5" t="s">
        <v>607</v>
      </c>
      <c r="F910" s="5" t="s">
        <v>1570</v>
      </c>
      <c r="G910" s="5" t="s">
        <v>1571</v>
      </c>
      <c r="H910" s="6">
        <f t="shared" si="180"/>
        <v>2947673.2610526308</v>
      </c>
      <c r="I910" s="6">
        <f t="shared" si="176"/>
        <v>2696435.5789473685</v>
      </c>
      <c r="J910" s="6">
        <v>512322.76</v>
      </c>
      <c r="K910" s="6">
        <v>0</v>
      </c>
      <c r="L910" s="6">
        <v>0</v>
      </c>
      <c r="M910" s="6">
        <f t="shared" si="182"/>
        <v>5644108.8399999999</v>
      </c>
      <c r="N910" s="6">
        <f t="shared" si="181"/>
        <v>512322.76</v>
      </c>
      <c r="O910" s="6">
        <f t="shared" si="177"/>
        <v>6156431.5999999996</v>
      </c>
      <c r="P910" s="6">
        <v>6156431.5999999996</v>
      </c>
      <c r="Q910" s="6">
        <v>0</v>
      </c>
      <c r="R910" s="6">
        <f t="shared" si="179"/>
        <v>0</v>
      </c>
      <c r="T910"/>
    </row>
    <row r="911" spans="2:22" s="5" customFormat="1" x14ac:dyDescent="0.3">
      <c r="B911" s="5" t="s">
        <v>16</v>
      </c>
      <c r="C911" s="5" t="s">
        <v>1591</v>
      </c>
      <c r="D911" s="5" t="s">
        <v>1569</v>
      </c>
      <c r="E911" s="5" t="s">
        <v>126</v>
      </c>
      <c r="F911" s="5" t="s">
        <v>1570</v>
      </c>
      <c r="G911" s="5" t="s">
        <v>1571</v>
      </c>
      <c r="H911" s="6">
        <f>+P911-I911-J911-K911-L911</f>
        <v>2.210526293492876E-2</v>
      </c>
      <c r="I911" s="6">
        <f t="shared" si="176"/>
        <v>925851.15789473697</v>
      </c>
      <c r="J911" s="6">
        <v>175911.72</v>
      </c>
      <c r="K911" s="6">
        <v>0</v>
      </c>
      <c r="L911" s="6">
        <v>0</v>
      </c>
      <c r="M911" s="6">
        <f t="shared" si="182"/>
        <v>925851.17999999993</v>
      </c>
      <c r="N911" s="6">
        <f t="shared" si="181"/>
        <v>175911.72</v>
      </c>
      <c r="O911" s="6">
        <f t="shared" si="177"/>
        <v>1101762.8999999999</v>
      </c>
      <c r="P911" s="6">
        <v>1101762.8999999999</v>
      </c>
      <c r="Q911" s="6">
        <v>0</v>
      </c>
      <c r="R911" s="6">
        <f t="shared" si="179"/>
        <v>0</v>
      </c>
      <c r="T911"/>
    </row>
    <row r="912" spans="2:22" s="5" customFormat="1" x14ac:dyDescent="0.3">
      <c r="B912" s="5" t="s">
        <v>16</v>
      </c>
      <c r="C912" s="5" t="s">
        <v>1592</v>
      </c>
      <c r="D912" s="5" t="s">
        <v>1569</v>
      </c>
      <c r="E912" s="5" t="s">
        <v>620</v>
      </c>
      <c r="F912" s="5" t="s">
        <v>1570</v>
      </c>
      <c r="G912" s="5" t="s">
        <v>1571</v>
      </c>
      <c r="H912" s="6">
        <f>+P912-I912-J912-K912-L912</f>
        <v>5049351.9731578948</v>
      </c>
      <c r="I912" s="6">
        <f t="shared" si="176"/>
        <v>2568615.7368421052</v>
      </c>
      <c r="J912" s="6">
        <v>488036.99</v>
      </c>
      <c r="K912" s="6">
        <v>0</v>
      </c>
      <c r="L912" s="6">
        <v>0</v>
      </c>
      <c r="M912" s="6">
        <f t="shared" si="182"/>
        <v>7617967.71</v>
      </c>
      <c r="N912" s="6">
        <f t="shared" si="181"/>
        <v>488036.99</v>
      </c>
      <c r="O912" s="6">
        <f t="shared" si="177"/>
        <v>8106004.7000000002</v>
      </c>
      <c r="P912" s="6">
        <v>8106004.7000000002</v>
      </c>
      <c r="Q912" s="6">
        <v>0</v>
      </c>
      <c r="R912" s="6">
        <f t="shared" si="179"/>
        <v>0</v>
      </c>
      <c r="T912"/>
    </row>
    <row r="913" spans="2:22" s="5" customFormat="1" x14ac:dyDescent="0.3">
      <c r="B913" s="5" t="s">
        <v>16</v>
      </c>
      <c r="C913" s="5" t="s">
        <v>1593</v>
      </c>
      <c r="D913" s="5" t="s">
        <v>1569</v>
      </c>
      <c r="E913" s="5" t="s">
        <v>620</v>
      </c>
      <c r="F913" s="5" t="s">
        <v>1570</v>
      </c>
      <c r="G913" s="5" t="s">
        <v>1571</v>
      </c>
      <c r="H913" s="6">
        <f>+P913-I913-J913-K913-L913</f>
        <v>452206.81999999995</v>
      </c>
      <c r="I913" s="6">
        <f t="shared" si="176"/>
        <v>327552</v>
      </c>
      <c r="J913" s="6">
        <v>62234.879999999997</v>
      </c>
      <c r="K913" s="6">
        <v>0</v>
      </c>
      <c r="L913" s="6">
        <v>0</v>
      </c>
      <c r="M913" s="6">
        <f t="shared" si="182"/>
        <v>779758.82</v>
      </c>
      <c r="N913" s="6">
        <f t="shared" si="181"/>
        <v>62234.879999999997</v>
      </c>
      <c r="O913" s="6">
        <f t="shared" si="177"/>
        <v>841993.7</v>
      </c>
      <c r="P913" s="6">
        <v>841993.7</v>
      </c>
      <c r="Q913" s="6">
        <v>0</v>
      </c>
      <c r="R913" s="6">
        <f t="shared" si="179"/>
        <v>0</v>
      </c>
      <c r="T913"/>
    </row>
    <row r="914" spans="2:22" s="5" customFormat="1" x14ac:dyDescent="0.3">
      <c r="B914" s="5" t="s">
        <v>16</v>
      </c>
      <c r="C914" s="5" t="s">
        <v>1594</v>
      </c>
      <c r="D914" s="5" t="s">
        <v>1569</v>
      </c>
      <c r="E914" s="5" t="s">
        <v>620</v>
      </c>
      <c r="F914" s="5" t="s">
        <v>1570</v>
      </c>
      <c r="G914" s="5" t="s">
        <v>1571</v>
      </c>
      <c r="H914" s="6">
        <f>+P914-I914-J914-K914-L914</f>
        <v>1089844.7</v>
      </c>
      <c r="I914" s="6">
        <f t="shared" si="176"/>
        <v>0</v>
      </c>
      <c r="J914" s="6">
        <v>0</v>
      </c>
      <c r="K914" s="6">
        <v>0</v>
      </c>
      <c r="L914" s="6">
        <v>0</v>
      </c>
      <c r="M914" s="6">
        <f t="shared" si="182"/>
        <v>1089844.7</v>
      </c>
      <c r="N914" s="6">
        <f t="shared" si="181"/>
        <v>0</v>
      </c>
      <c r="O914" s="6">
        <f t="shared" si="177"/>
        <v>1089844.7</v>
      </c>
      <c r="P914" s="6">
        <v>1089844.7</v>
      </c>
      <c r="Q914" s="6">
        <v>0</v>
      </c>
      <c r="R914" s="6">
        <f t="shared" si="179"/>
        <v>0</v>
      </c>
      <c r="T914"/>
    </row>
    <row r="915" spans="2:22" s="5" customFormat="1" x14ac:dyDescent="0.3">
      <c r="B915" s="5" t="s">
        <v>16</v>
      </c>
      <c r="C915" s="5" t="s">
        <v>1595</v>
      </c>
      <c r="D915" s="5" t="s">
        <v>1569</v>
      </c>
      <c r="E915" s="5" t="s">
        <v>481</v>
      </c>
      <c r="F915" s="5" t="s">
        <v>1570</v>
      </c>
      <c r="G915" s="5" t="s">
        <v>1571</v>
      </c>
      <c r="H915" s="6">
        <v>0</v>
      </c>
      <c r="I915" s="6">
        <f t="shared" si="176"/>
        <v>723588</v>
      </c>
      <c r="J915" s="6">
        <v>137481.72</v>
      </c>
      <c r="K915" s="6">
        <v>0</v>
      </c>
      <c r="L915" s="6">
        <v>0</v>
      </c>
      <c r="M915" s="6">
        <f t="shared" si="182"/>
        <v>723588</v>
      </c>
      <c r="N915" s="6">
        <f t="shared" si="181"/>
        <v>137481.72</v>
      </c>
      <c r="O915" s="6">
        <f t="shared" si="177"/>
        <v>861069.72</v>
      </c>
      <c r="P915" s="6">
        <v>861069.7</v>
      </c>
      <c r="Q915" s="6">
        <v>0</v>
      </c>
      <c r="R915" s="6">
        <f t="shared" si="179"/>
        <v>0</v>
      </c>
      <c r="T915"/>
    </row>
    <row r="916" spans="2:22" s="5" customFormat="1" x14ac:dyDescent="0.3">
      <c r="B916" s="5" t="s">
        <v>16</v>
      </c>
      <c r="C916" s="5" t="s">
        <v>1596</v>
      </c>
      <c r="D916" s="5" t="s">
        <v>1569</v>
      </c>
      <c r="E916" s="5" t="s">
        <v>481</v>
      </c>
      <c r="F916" s="5" t="s">
        <v>1570</v>
      </c>
      <c r="G916" s="5" t="s">
        <v>1571</v>
      </c>
      <c r="H916" s="6">
        <v>0</v>
      </c>
      <c r="I916" s="6">
        <f t="shared" si="176"/>
        <v>1266941.8421052634</v>
      </c>
      <c r="J916" s="6">
        <v>240718.95</v>
      </c>
      <c r="K916" s="6">
        <v>0</v>
      </c>
      <c r="L916" s="6">
        <v>0</v>
      </c>
      <c r="M916" s="6">
        <f t="shared" si="182"/>
        <v>1266941.8421052634</v>
      </c>
      <c r="N916" s="6">
        <f t="shared" si="181"/>
        <v>240718.95</v>
      </c>
      <c r="O916" s="6">
        <f t="shared" si="177"/>
        <v>1507660.7921052633</v>
      </c>
      <c r="P916" s="6">
        <v>3846871.5</v>
      </c>
      <c r="Q916" s="6">
        <v>0</v>
      </c>
      <c r="R916" s="6">
        <f t="shared" si="179"/>
        <v>0</v>
      </c>
      <c r="S916" s="7"/>
      <c r="T916"/>
    </row>
    <row r="917" spans="2:22" s="5" customFormat="1" x14ac:dyDescent="0.3">
      <c r="B917" s="5" t="s">
        <v>16</v>
      </c>
      <c r="C917" s="5" t="s">
        <v>1597</v>
      </c>
      <c r="D917" s="5" t="s">
        <v>1569</v>
      </c>
      <c r="E917" s="5" t="s">
        <v>481</v>
      </c>
      <c r="F917" s="5" t="s">
        <v>1570</v>
      </c>
      <c r="G917" s="5" t="s">
        <v>1571</v>
      </c>
      <c r="H917" s="6">
        <v>0</v>
      </c>
      <c r="I917" s="6">
        <f t="shared" si="176"/>
        <v>248166</v>
      </c>
      <c r="J917" s="6">
        <v>47151.54</v>
      </c>
      <c r="K917" s="6">
        <v>0</v>
      </c>
      <c r="L917" s="6">
        <v>0</v>
      </c>
      <c r="M917" s="6">
        <f t="shared" si="182"/>
        <v>248166</v>
      </c>
      <c r="N917" s="6">
        <f t="shared" si="181"/>
        <v>47151.54</v>
      </c>
      <c r="O917" s="6">
        <f t="shared" si="177"/>
        <v>295317.53999999998</v>
      </c>
      <c r="P917" s="6">
        <v>596788.69999999995</v>
      </c>
      <c r="Q917" s="6">
        <v>0</v>
      </c>
      <c r="R917" s="6">
        <f t="shared" si="179"/>
        <v>0</v>
      </c>
      <c r="S917" s="7"/>
      <c r="T917"/>
    </row>
    <row r="918" spans="2:22" s="5" customFormat="1" x14ac:dyDescent="0.3">
      <c r="B918" s="5" t="s">
        <v>16</v>
      </c>
      <c r="C918" s="5" t="s">
        <v>1598</v>
      </c>
      <c r="D918" s="5" t="s">
        <v>1569</v>
      </c>
      <c r="E918" s="5" t="s">
        <v>1204</v>
      </c>
      <c r="F918" s="5" t="s">
        <v>1570</v>
      </c>
      <c r="G918" s="5" t="s">
        <v>1571</v>
      </c>
      <c r="H918" s="6">
        <v>0</v>
      </c>
      <c r="I918" s="6">
        <f t="shared" si="176"/>
        <v>0</v>
      </c>
      <c r="J918" s="6">
        <v>0</v>
      </c>
      <c r="K918" s="6">
        <v>0</v>
      </c>
      <c r="L918" s="6">
        <v>0</v>
      </c>
      <c r="M918" s="6">
        <f t="shared" si="182"/>
        <v>0</v>
      </c>
      <c r="N918" s="6">
        <f t="shared" si="181"/>
        <v>0</v>
      </c>
      <c r="O918" s="6">
        <f t="shared" si="177"/>
        <v>0</v>
      </c>
      <c r="P918" s="6">
        <v>1714066</v>
      </c>
      <c r="Q918" s="6">
        <v>0</v>
      </c>
      <c r="R918" s="6">
        <f t="shared" si="179"/>
        <v>0</v>
      </c>
      <c r="S918" s="7"/>
      <c r="T918"/>
    </row>
    <row r="919" spans="2:22" s="5" customFormat="1" x14ac:dyDescent="0.3">
      <c r="B919" s="5" t="s">
        <v>16</v>
      </c>
      <c r="C919" s="5" t="s">
        <v>1599</v>
      </c>
      <c r="D919" s="5" t="s">
        <v>1569</v>
      </c>
      <c r="E919" s="5" t="s">
        <v>1056</v>
      </c>
      <c r="F919" s="5" t="s">
        <v>1570</v>
      </c>
      <c r="G919" s="5" t="s">
        <v>1571</v>
      </c>
      <c r="H919" s="6">
        <v>0</v>
      </c>
      <c r="I919" s="6">
        <f t="shared" si="176"/>
        <v>399360</v>
      </c>
      <c r="J919" s="6">
        <v>75878.399999999994</v>
      </c>
      <c r="K919" s="6">
        <v>0</v>
      </c>
      <c r="L919" s="6">
        <v>0</v>
      </c>
      <c r="M919" s="6">
        <f t="shared" si="182"/>
        <v>399360</v>
      </c>
      <c r="N919" s="6">
        <f t="shared" si="181"/>
        <v>75878.399999999994</v>
      </c>
      <c r="O919" s="6">
        <f t="shared" si="177"/>
        <v>475238.40000000002</v>
      </c>
      <c r="P919" s="6">
        <v>475238.40000000002</v>
      </c>
      <c r="Q919" s="6">
        <v>0</v>
      </c>
      <c r="R919" s="6">
        <f t="shared" si="179"/>
        <v>0</v>
      </c>
      <c r="S919" s="7"/>
      <c r="T919"/>
    </row>
    <row r="920" spans="2:22" s="5" customFormat="1" x14ac:dyDescent="0.3">
      <c r="B920" s="5" t="s">
        <v>16</v>
      </c>
      <c r="C920" s="5" t="s">
        <v>1600</v>
      </c>
      <c r="D920" s="5" t="s">
        <v>1569</v>
      </c>
      <c r="E920" s="5" t="s">
        <v>75</v>
      </c>
      <c r="F920" s="5" t="s">
        <v>1570</v>
      </c>
      <c r="G920" s="5" t="s">
        <v>1571</v>
      </c>
      <c r="H920" s="6">
        <f>+P920-I920-J920</f>
        <v>387828</v>
      </c>
      <c r="I920" s="6">
        <f t="shared" si="176"/>
        <v>0</v>
      </c>
      <c r="J920" s="6">
        <v>0</v>
      </c>
      <c r="K920" s="6">
        <v>0</v>
      </c>
      <c r="L920" s="6">
        <v>0</v>
      </c>
      <c r="M920" s="6">
        <f t="shared" si="182"/>
        <v>387828</v>
      </c>
      <c r="N920" s="6">
        <f t="shared" si="181"/>
        <v>0</v>
      </c>
      <c r="O920" s="6">
        <f t="shared" si="177"/>
        <v>387828</v>
      </c>
      <c r="P920" s="6">
        <v>387828</v>
      </c>
      <c r="Q920" s="6">
        <v>0</v>
      </c>
      <c r="R920" s="6">
        <f t="shared" si="179"/>
        <v>0</v>
      </c>
      <c r="S920" s="7"/>
      <c r="T920"/>
    </row>
    <row r="921" spans="2:22" s="5" customFormat="1" x14ac:dyDescent="0.3">
      <c r="B921" s="5" t="s">
        <v>16</v>
      </c>
      <c r="C921" s="5" t="s">
        <v>1601</v>
      </c>
      <c r="D921" s="5" t="s">
        <v>1569</v>
      </c>
      <c r="E921" s="5" t="s">
        <v>353</v>
      </c>
      <c r="F921" s="5" t="s">
        <v>1570</v>
      </c>
      <c r="G921" s="5" t="s">
        <v>1571</v>
      </c>
      <c r="H921" s="6">
        <f>+P921-I921-J921</f>
        <v>615576</v>
      </c>
      <c r="I921" s="6">
        <f t="shared" si="176"/>
        <v>0</v>
      </c>
      <c r="J921" s="6">
        <v>0</v>
      </c>
      <c r="K921" s="6">
        <v>0</v>
      </c>
      <c r="L921" s="6">
        <v>0</v>
      </c>
      <c r="M921" s="6">
        <f t="shared" si="182"/>
        <v>615576</v>
      </c>
      <c r="N921" s="6">
        <f t="shared" si="181"/>
        <v>0</v>
      </c>
      <c r="O921" s="6">
        <f t="shared" si="177"/>
        <v>615576</v>
      </c>
      <c r="P921" s="6">
        <v>615576</v>
      </c>
      <c r="Q921" s="6">
        <v>0</v>
      </c>
      <c r="R921" s="6">
        <f t="shared" si="179"/>
        <v>0</v>
      </c>
      <c r="S921" s="7"/>
      <c r="T921"/>
    </row>
    <row r="922" spans="2:22" s="5" customFormat="1" x14ac:dyDescent="0.3">
      <c r="B922" s="5" t="s">
        <v>16</v>
      </c>
      <c r="C922" s="5" t="s">
        <v>1602</v>
      </c>
      <c r="D922" s="5" t="s">
        <v>1569</v>
      </c>
      <c r="E922" s="5" t="s">
        <v>353</v>
      </c>
      <c r="F922" s="5" t="s">
        <v>1570</v>
      </c>
      <c r="G922" s="5" t="s">
        <v>1571</v>
      </c>
      <c r="H922" s="6">
        <f>+P922-I922-J922</f>
        <v>5067442.5694736848</v>
      </c>
      <c r="I922" s="6">
        <f t="shared" si="176"/>
        <v>2040122.2105263157</v>
      </c>
      <c r="J922" s="6">
        <v>387623.22</v>
      </c>
      <c r="K922" s="6">
        <v>0</v>
      </c>
      <c r="L922" s="6">
        <v>0</v>
      </c>
      <c r="M922" s="6">
        <f t="shared" si="182"/>
        <v>7107564.7800000003</v>
      </c>
      <c r="N922" s="6">
        <f t="shared" si="181"/>
        <v>387623.22</v>
      </c>
      <c r="O922" s="6">
        <f t="shared" si="177"/>
        <v>7495188</v>
      </c>
      <c r="P922" s="6">
        <v>7495188</v>
      </c>
      <c r="Q922" s="6">
        <v>0</v>
      </c>
      <c r="R922" s="6">
        <f t="shared" si="179"/>
        <v>0</v>
      </c>
      <c r="T922"/>
    </row>
    <row r="923" spans="2:22" s="5" customFormat="1" x14ac:dyDescent="0.3">
      <c r="B923" s="5" t="s">
        <v>16</v>
      </c>
      <c r="C923" s="5" t="s">
        <v>1603</v>
      </c>
      <c r="D923" s="5" t="s">
        <v>306</v>
      </c>
      <c r="E923" s="5" t="s">
        <v>692</v>
      </c>
      <c r="F923" s="5" t="s">
        <v>470</v>
      </c>
      <c r="G923" s="5" t="s">
        <v>471</v>
      </c>
      <c r="H923" s="6">
        <v>-2.2631578946020454</v>
      </c>
      <c r="I923" s="6">
        <f t="shared" si="176"/>
        <v>1008405.2631578946</v>
      </c>
      <c r="J923" s="6">
        <v>191597</v>
      </c>
      <c r="K923" s="6"/>
      <c r="L923" s="6"/>
      <c r="M923" s="6">
        <f>+H923+I923</f>
        <v>1008403</v>
      </c>
      <c r="N923" s="6">
        <f>+J923</f>
        <v>191597</v>
      </c>
      <c r="O923" s="6">
        <f t="shared" si="177"/>
        <v>1200000</v>
      </c>
      <c r="P923" s="6">
        <v>1200000</v>
      </c>
      <c r="Q923" s="6"/>
      <c r="R923" s="6">
        <f t="shared" si="179"/>
        <v>0</v>
      </c>
      <c r="T923"/>
    </row>
    <row r="924" spans="2:22" s="5" customFormat="1" x14ac:dyDescent="0.3">
      <c r="B924" s="5" t="s">
        <v>16</v>
      </c>
      <c r="C924" s="5" t="s">
        <v>1604</v>
      </c>
      <c r="D924" s="5" t="s">
        <v>306</v>
      </c>
      <c r="E924" s="5" t="s">
        <v>938</v>
      </c>
      <c r="F924" s="5" t="s">
        <v>470</v>
      </c>
      <c r="G924" s="5" t="s">
        <v>471</v>
      </c>
      <c r="H924" s="6">
        <v>-2.2631578946020454</v>
      </c>
      <c r="I924" s="6">
        <f t="shared" si="176"/>
        <v>1008405.2631578946</v>
      </c>
      <c r="J924" s="6">
        <v>191597</v>
      </c>
      <c r="K924" s="6"/>
      <c r="L924" s="6"/>
      <c r="M924" s="6">
        <f>+H924+I924</f>
        <v>1008403</v>
      </c>
      <c r="N924" s="6">
        <f>+J924</f>
        <v>191597</v>
      </c>
      <c r="O924" s="6">
        <f t="shared" si="177"/>
        <v>1200000</v>
      </c>
      <c r="P924" s="6">
        <v>1200000</v>
      </c>
      <c r="Q924" s="6"/>
      <c r="R924" s="6">
        <f t="shared" si="179"/>
        <v>0</v>
      </c>
      <c r="T924"/>
    </row>
    <row r="925" spans="2:22" s="5" customFormat="1" x14ac:dyDescent="0.3">
      <c r="B925" s="5" t="s">
        <v>16</v>
      </c>
      <c r="C925" s="5" t="s">
        <v>1605</v>
      </c>
      <c r="D925" s="5" t="s">
        <v>306</v>
      </c>
      <c r="E925" s="5" t="s">
        <v>694</v>
      </c>
      <c r="F925" s="5" t="s">
        <v>470</v>
      </c>
      <c r="G925" s="5" t="s">
        <v>471</v>
      </c>
      <c r="H925" s="6">
        <v>-2.2631578946020454</v>
      </c>
      <c r="I925" s="6">
        <f t="shared" si="176"/>
        <v>1008405.2631578946</v>
      </c>
      <c r="J925" s="6">
        <v>191597</v>
      </c>
      <c r="K925" s="6"/>
      <c r="L925" s="6"/>
      <c r="M925" s="6">
        <f>+H925+I925</f>
        <v>1008403</v>
      </c>
      <c r="N925" s="6">
        <f>+J925</f>
        <v>191597</v>
      </c>
      <c r="O925" s="6">
        <f t="shared" si="177"/>
        <v>1200000</v>
      </c>
      <c r="P925" s="6">
        <v>1200000</v>
      </c>
      <c r="Q925" s="6"/>
      <c r="R925" s="6">
        <f t="shared" si="179"/>
        <v>0</v>
      </c>
      <c r="T925"/>
    </row>
    <row r="926" spans="2:22" s="5" customFormat="1" x14ac:dyDescent="0.3">
      <c r="B926" s="7" t="s">
        <v>16</v>
      </c>
      <c r="C926" s="7" t="s">
        <v>1606</v>
      </c>
      <c r="D926" s="7" t="s">
        <v>306</v>
      </c>
      <c r="E926" s="7" t="s">
        <v>539</v>
      </c>
      <c r="F926" s="7" t="s">
        <v>470</v>
      </c>
      <c r="G926" s="7" t="s">
        <v>471</v>
      </c>
      <c r="H926" s="8">
        <f t="shared" ref="H926:H932" si="183">+P926-I926-J926</f>
        <v>2.1578947342932224</v>
      </c>
      <c r="I926" s="8">
        <f t="shared" ref="I926:I989" si="184">+J926/19*100</f>
        <v>19096636.842105266</v>
      </c>
      <c r="J926" s="8">
        <v>3628361</v>
      </c>
      <c r="K926" s="8">
        <v>0</v>
      </c>
      <c r="L926" s="8">
        <v>0</v>
      </c>
      <c r="M926" s="8">
        <f>+I926+H926</f>
        <v>19096639</v>
      </c>
      <c r="N926" s="8">
        <f t="shared" ref="N926:N934" si="185">+J926+L926</f>
        <v>3628361</v>
      </c>
      <c r="O926" s="8">
        <f t="shared" ref="O926:O989" si="186">+M926+N926</f>
        <v>22725000</v>
      </c>
      <c r="P926" s="8">
        <v>22725000</v>
      </c>
      <c r="Q926" s="8">
        <f>+M926</f>
        <v>19096639</v>
      </c>
      <c r="R926" s="8">
        <f t="shared" si="179"/>
        <v>477415.97499999998</v>
      </c>
      <c r="T926"/>
    </row>
    <row r="927" spans="2:22" s="5" customFormat="1" x14ac:dyDescent="0.3">
      <c r="B927" s="5" t="s">
        <v>16</v>
      </c>
      <c r="C927" s="5" t="s">
        <v>1607</v>
      </c>
      <c r="D927" s="5" t="s">
        <v>306</v>
      </c>
      <c r="E927" s="5" t="s">
        <v>216</v>
      </c>
      <c r="F927" s="5" t="s">
        <v>470</v>
      </c>
      <c r="G927" s="5" t="s">
        <v>471</v>
      </c>
      <c r="H927" s="6">
        <f t="shared" si="183"/>
        <v>1.5789473671466112</v>
      </c>
      <c r="I927" s="6">
        <f t="shared" si="184"/>
        <v>14924368.421052633</v>
      </c>
      <c r="J927" s="6">
        <v>2835630</v>
      </c>
      <c r="K927" s="6">
        <v>0</v>
      </c>
      <c r="L927" s="6">
        <v>0</v>
      </c>
      <c r="M927" s="6">
        <f>+H927+I927+K927</f>
        <v>14924370</v>
      </c>
      <c r="N927" s="6">
        <f t="shared" si="185"/>
        <v>2835630</v>
      </c>
      <c r="O927" s="6">
        <f t="shared" si="186"/>
        <v>17760000</v>
      </c>
      <c r="P927" s="6">
        <v>17760000</v>
      </c>
      <c r="Q927" s="6">
        <f>+M927</f>
        <v>14924370</v>
      </c>
      <c r="R927" s="6">
        <f t="shared" si="179"/>
        <v>373109.25</v>
      </c>
      <c r="T927"/>
      <c r="U927"/>
      <c r="V927"/>
    </row>
    <row r="928" spans="2:22" s="5" customFormat="1" x14ac:dyDescent="0.3">
      <c r="B928" s="7" t="s">
        <v>16</v>
      </c>
      <c r="C928" s="7" t="s">
        <v>1608</v>
      </c>
      <c r="D928" s="7" t="s">
        <v>156</v>
      </c>
      <c r="E928" s="7" t="s">
        <v>700</v>
      </c>
      <c r="F928" s="7" t="s">
        <v>1609</v>
      </c>
      <c r="G928" s="7" t="s">
        <v>1610</v>
      </c>
      <c r="H928" s="8">
        <f t="shared" si="183"/>
        <v>0</v>
      </c>
      <c r="I928" s="8">
        <f t="shared" si="184"/>
        <v>1903493.9999999998</v>
      </c>
      <c r="J928" s="8">
        <v>361663.86</v>
      </c>
      <c r="K928" s="8">
        <v>0</v>
      </c>
      <c r="L928" s="8">
        <v>0</v>
      </c>
      <c r="M928" s="8">
        <f>+I928+H928</f>
        <v>1903493.9999999998</v>
      </c>
      <c r="N928" s="8">
        <f t="shared" si="185"/>
        <v>361663.86</v>
      </c>
      <c r="O928" s="8">
        <f t="shared" si="186"/>
        <v>2265157.86</v>
      </c>
      <c r="P928" s="8">
        <v>2265157.86</v>
      </c>
      <c r="Q928" s="8">
        <v>0</v>
      </c>
      <c r="R928" s="8">
        <f t="shared" si="179"/>
        <v>0</v>
      </c>
      <c r="T928"/>
      <c r="U928"/>
      <c r="V928"/>
    </row>
    <row r="929" spans="2:22" s="5" customFormat="1" x14ac:dyDescent="0.3">
      <c r="B929" s="5" t="s">
        <v>16</v>
      </c>
      <c r="C929" s="5" t="s">
        <v>1611</v>
      </c>
      <c r="D929" s="5" t="s">
        <v>156</v>
      </c>
      <c r="E929" s="5" t="s">
        <v>920</v>
      </c>
      <c r="F929" s="5" t="s">
        <v>1609</v>
      </c>
      <c r="G929" s="5" t="s">
        <v>1610</v>
      </c>
      <c r="H929" s="6">
        <f t="shared" si="183"/>
        <v>0</v>
      </c>
      <c r="I929" s="6">
        <f t="shared" si="184"/>
        <v>1422036</v>
      </c>
      <c r="J929" s="6">
        <v>270186.84000000003</v>
      </c>
      <c r="K929" s="6">
        <v>0</v>
      </c>
      <c r="L929" s="6">
        <v>0</v>
      </c>
      <c r="M929" s="6">
        <f t="shared" ref="M929:M934" si="187">+H929+I929+K929</f>
        <v>1422036</v>
      </c>
      <c r="N929" s="6">
        <f t="shared" si="185"/>
        <v>270186.84000000003</v>
      </c>
      <c r="O929" s="6">
        <f t="shared" si="186"/>
        <v>1692222.84</v>
      </c>
      <c r="P929" s="6">
        <v>1692222.84</v>
      </c>
      <c r="Q929" s="6">
        <v>0</v>
      </c>
      <c r="R929" s="6">
        <f t="shared" si="179"/>
        <v>0</v>
      </c>
      <c r="T929"/>
      <c r="U929"/>
      <c r="V929"/>
    </row>
    <row r="930" spans="2:22" s="5" customFormat="1" x14ac:dyDescent="0.3">
      <c r="B930" s="5" t="s">
        <v>16</v>
      </c>
      <c r="C930" s="5" t="s">
        <v>1612</v>
      </c>
      <c r="D930" s="5" t="s">
        <v>156</v>
      </c>
      <c r="E930" s="5" t="s">
        <v>1613</v>
      </c>
      <c r="F930" s="5" t="s">
        <v>1609</v>
      </c>
      <c r="G930" s="5" t="s">
        <v>1610</v>
      </c>
      <c r="H930" s="6">
        <f t="shared" si="183"/>
        <v>0</v>
      </c>
      <c r="I930" s="6">
        <f t="shared" si="184"/>
        <v>2354832</v>
      </c>
      <c r="J930" s="6">
        <v>447418.08</v>
      </c>
      <c r="K930" s="6">
        <v>0</v>
      </c>
      <c r="L930" s="6">
        <v>0</v>
      </c>
      <c r="M930" s="6">
        <f t="shared" si="187"/>
        <v>2354832</v>
      </c>
      <c r="N930" s="6">
        <f t="shared" si="185"/>
        <v>447418.08</v>
      </c>
      <c r="O930" s="6">
        <f t="shared" si="186"/>
        <v>2802250.08</v>
      </c>
      <c r="P930" s="6">
        <v>2802250.08</v>
      </c>
      <c r="Q930" s="6">
        <v>0</v>
      </c>
      <c r="R930" s="6">
        <f t="shared" si="179"/>
        <v>0</v>
      </c>
      <c r="T930"/>
    </row>
    <row r="931" spans="2:22" s="5" customFormat="1" x14ac:dyDescent="0.3">
      <c r="B931" s="5" t="s">
        <v>16</v>
      </c>
      <c r="C931" s="5" t="s">
        <v>1614</v>
      </c>
      <c r="D931" s="5" t="s">
        <v>156</v>
      </c>
      <c r="E931" s="5" t="s">
        <v>409</v>
      </c>
      <c r="F931" s="5" t="s">
        <v>1609</v>
      </c>
      <c r="G931" s="5" t="s">
        <v>1610</v>
      </c>
      <c r="H931" s="6">
        <f t="shared" si="183"/>
        <v>0</v>
      </c>
      <c r="I931" s="6">
        <f t="shared" si="184"/>
        <v>313272</v>
      </c>
      <c r="J931" s="6">
        <v>59521.68</v>
      </c>
      <c r="K931" s="6">
        <v>0</v>
      </c>
      <c r="L931" s="6">
        <v>0</v>
      </c>
      <c r="M931" s="6">
        <f t="shared" si="187"/>
        <v>313272</v>
      </c>
      <c r="N931" s="6">
        <f t="shared" si="185"/>
        <v>59521.68</v>
      </c>
      <c r="O931" s="6">
        <f t="shared" si="186"/>
        <v>372793.68</v>
      </c>
      <c r="P931" s="6">
        <v>372793.68</v>
      </c>
      <c r="Q931" s="6">
        <v>0</v>
      </c>
      <c r="R931" s="6">
        <f t="shared" si="179"/>
        <v>0</v>
      </c>
      <c r="T931"/>
    </row>
    <row r="932" spans="2:22" s="5" customFormat="1" x14ac:dyDescent="0.3">
      <c r="B932" s="5" t="s">
        <v>16</v>
      </c>
      <c r="C932" s="5" t="s">
        <v>1615</v>
      </c>
      <c r="D932" s="5" t="s">
        <v>156</v>
      </c>
      <c r="E932" s="5" t="s">
        <v>949</v>
      </c>
      <c r="F932" s="5" t="s">
        <v>1609</v>
      </c>
      <c r="G932" s="5" t="s">
        <v>1610</v>
      </c>
      <c r="H932" s="6">
        <f t="shared" si="183"/>
        <v>0</v>
      </c>
      <c r="I932" s="6">
        <f t="shared" si="184"/>
        <v>2231180</v>
      </c>
      <c r="J932" s="6">
        <v>423924.2</v>
      </c>
      <c r="K932" s="6">
        <v>0</v>
      </c>
      <c r="L932" s="6">
        <v>0</v>
      </c>
      <c r="M932" s="6">
        <f t="shared" si="187"/>
        <v>2231180</v>
      </c>
      <c r="N932" s="6">
        <f t="shared" si="185"/>
        <v>423924.2</v>
      </c>
      <c r="O932" s="6">
        <f t="shared" si="186"/>
        <v>2655104.2000000002</v>
      </c>
      <c r="P932" s="6">
        <v>2655104.2000000002</v>
      </c>
      <c r="Q932" s="6">
        <v>0</v>
      </c>
      <c r="R932" s="6">
        <f t="shared" si="179"/>
        <v>0</v>
      </c>
      <c r="S932"/>
      <c r="T932"/>
    </row>
    <row r="933" spans="2:22" s="5" customFormat="1" x14ac:dyDescent="0.3">
      <c r="B933" s="5" t="s">
        <v>16</v>
      </c>
      <c r="C933" s="5" t="s">
        <v>1616</v>
      </c>
      <c r="D933" s="5" t="s">
        <v>156</v>
      </c>
      <c r="E933" s="5" t="s">
        <v>1617</v>
      </c>
      <c r="F933" s="5" t="s">
        <v>1609</v>
      </c>
      <c r="G933" s="5" t="s">
        <v>1610</v>
      </c>
      <c r="H933" s="6">
        <v>0</v>
      </c>
      <c r="I933" s="6">
        <f t="shared" si="184"/>
        <v>1796039.9999999998</v>
      </c>
      <c r="J933" s="6">
        <v>341247.6</v>
      </c>
      <c r="K933" s="6">
        <v>0</v>
      </c>
      <c r="L933" s="6">
        <v>0</v>
      </c>
      <c r="M933" s="6">
        <f t="shared" si="187"/>
        <v>1796039.9999999998</v>
      </c>
      <c r="N933" s="6">
        <f t="shared" si="185"/>
        <v>341247.6</v>
      </c>
      <c r="O933" s="6">
        <f t="shared" si="186"/>
        <v>2137287.5999999996</v>
      </c>
      <c r="P933" s="6">
        <v>2137287.6</v>
      </c>
      <c r="Q933" s="6">
        <v>0</v>
      </c>
      <c r="R933" s="6">
        <f t="shared" si="179"/>
        <v>0</v>
      </c>
      <c r="S933"/>
      <c r="T933"/>
    </row>
    <row r="934" spans="2:22" s="5" customFormat="1" x14ac:dyDescent="0.3">
      <c r="B934" s="5" t="s">
        <v>16</v>
      </c>
      <c r="C934" s="5" t="s">
        <v>1618</v>
      </c>
      <c r="D934" s="5" t="s">
        <v>156</v>
      </c>
      <c r="E934" s="5" t="s">
        <v>911</v>
      </c>
      <c r="F934" s="5" t="s">
        <v>1609</v>
      </c>
      <c r="G934" s="5" t="s">
        <v>1610</v>
      </c>
      <c r="H934" s="6">
        <f>+P934-I934-J934</f>
        <v>0</v>
      </c>
      <c r="I934" s="6">
        <f t="shared" si="184"/>
        <v>1664039.9999999998</v>
      </c>
      <c r="J934" s="6">
        <v>316167.59999999998</v>
      </c>
      <c r="K934" s="6">
        <v>0</v>
      </c>
      <c r="L934" s="6">
        <v>0</v>
      </c>
      <c r="M934" s="6">
        <f t="shared" si="187"/>
        <v>1664039.9999999998</v>
      </c>
      <c r="N934" s="6">
        <f t="shared" si="185"/>
        <v>316167.59999999998</v>
      </c>
      <c r="O934" s="6">
        <f t="shared" si="186"/>
        <v>1980207.5999999996</v>
      </c>
      <c r="P934" s="6">
        <v>1980207.6</v>
      </c>
      <c r="Q934" s="6">
        <v>0</v>
      </c>
      <c r="R934" s="6">
        <f t="shared" si="179"/>
        <v>0</v>
      </c>
      <c r="S934"/>
      <c r="T934"/>
    </row>
    <row r="935" spans="2:22" s="5" customFormat="1" x14ac:dyDescent="0.3">
      <c r="B935" s="5" t="s">
        <v>16</v>
      </c>
      <c r="C935" s="5" t="s">
        <v>1619</v>
      </c>
      <c r="D935" s="5" t="s">
        <v>1620</v>
      </c>
      <c r="E935" s="5" t="s">
        <v>807</v>
      </c>
      <c r="F935" s="5" t="s">
        <v>329</v>
      </c>
      <c r="G935" s="5" t="s">
        <v>330</v>
      </c>
      <c r="H935" s="6">
        <v>0</v>
      </c>
      <c r="I935" s="6">
        <f t="shared" si="184"/>
        <v>2057489.9999999998</v>
      </c>
      <c r="J935" s="6">
        <v>390923.1</v>
      </c>
      <c r="K935" s="6"/>
      <c r="L935" s="6"/>
      <c r="M935" s="6">
        <f>+H935+I935</f>
        <v>2057489.9999999998</v>
      </c>
      <c r="N935" s="6">
        <f>+J935</f>
        <v>390923.1</v>
      </c>
      <c r="O935" s="6">
        <f t="shared" si="186"/>
        <v>2448413.0999999996</v>
      </c>
      <c r="P935" s="6">
        <v>2448413.1</v>
      </c>
      <c r="Q935" s="6">
        <f t="shared" ref="Q935:Q941" si="188">+M935</f>
        <v>2057489.9999999998</v>
      </c>
      <c r="R935" s="6">
        <f t="shared" si="179"/>
        <v>51437.249999999993</v>
      </c>
      <c r="S935"/>
      <c r="T935"/>
    </row>
    <row r="936" spans="2:22" s="5" customFormat="1" x14ac:dyDescent="0.3">
      <c r="B936" s="7" t="s">
        <v>16</v>
      </c>
      <c r="C936" s="7" t="s">
        <v>1621</v>
      </c>
      <c r="D936" s="7" t="s">
        <v>1620</v>
      </c>
      <c r="E936" s="7" t="s">
        <v>464</v>
      </c>
      <c r="F936" s="7" t="s">
        <v>329</v>
      </c>
      <c r="G936" s="7" t="s">
        <v>330</v>
      </c>
      <c r="H936" s="8">
        <f t="shared" ref="H936:H941" si="189">+P936-I936-J936</f>
        <v>0</v>
      </c>
      <c r="I936" s="8">
        <f t="shared" si="184"/>
        <v>1636740</v>
      </c>
      <c r="J936" s="8">
        <v>310980.59999999998</v>
      </c>
      <c r="K936" s="8">
        <v>0</v>
      </c>
      <c r="L936" s="8">
        <v>0</v>
      </c>
      <c r="M936" s="8">
        <f>+I936+H936</f>
        <v>1636740</v>
      </c>
      <c r="N936" s="8">
        <f t="shared" ref="N936:N965" si="190">+J936+L936</f>
        <v>310980.59999999998</v>
      </c>
      <c r="O936" s="8">
        <f t="shared" si="186"/>
        <v>1947720.6</v>
      </c>
      <c r="P936" s="8">
        <v>1947720.6</v>
      </c>
      <c r="Q936" s="8">
        <f t="shared" si="188"/>
        <v>1636740</v>
      </c>
      <c r="R936" s="8">
        <f t="shared" si="179"/>
        <v>40918.5</v>
      </c>
      <c r="T936"/>
    </row>
    <row r="937" spans="2:22" s="5" customFormat="1" x14ac:dyDescent="0.3">
      <c r="B937" s="7" t="s">
        <v>16</v>
      </c>
      <c r="C937" s="7" t="s">
        <v>1622</v>
      </c>
      <c r="D937" s="7" t="s">
        <v>1620</v>
      </c>
      <c r="E937" s="7" t="s">
        <v>539</v>
      </c>
      <c r="F937" s="7" t="s">
        <v>329</v>
      </c>
      <c r="G937" s="7" t="s">
        <v>330</v>
      </c>
      <c r="H937" s="8">
        <f t="shared" si="189"/>
        <v>0</v>
      </c>
      <c r="I937" s="8">
        <f t="shared" si="184"/>
        <v>1983600</v>
      </c>
      <c r="J937" s="8">
        <v>376884</v>
      </c>
      <c r="K937" s="8">
        <v>0</v>
      </c>
      <c r="L937" s="8">
        <v>0</v>
      </c>
      <c r="M937" s="8">
        <f>+I937+H937</f>
        <v>1983600</v>
      </c>
      <c r="N937" s="8">
        <f t="shared" si="190"/>
        <v>376884</v>
      </c>
      <c r="O937" s="8">
        <f t="shared" si="186"/>
        <v>2360484</v>
      </c>
      <c r="P937" s="8">
        <v>2360484</v>
      </c>
      <c r="Q937" s="8">
        <f t="shared" si="188"/>
        <v>1983600</v>
      </c>
      <c r="R937" s="8">
        <f t="shared" si="179"/>
        <v>49590</v>
      </c>
      <c r="T937"/>
    </row>
    <row r="938" spans="2:22" s="5" customFormat="1" x14ac:dyDescent="0.3">
      <c r="B938" s="5" t="s">
        <v>16</v>
      </c>
      <c r="C938" s="5" t="s">
        <v>1623</v>
      </c>
      <c r="D938" s="5" t="s">
        <v>1620</v>
      </c>
      <c r="E938" s="5" t="s">
        <v>200</v>
      </c>
      <c r="F938" s="5" t="s">
        <v>329</v>
      </c>
      <c r="G938" s="5" t="s">
        <v>330</v>
      </c>
      <c r="H938" s="6">
        <f t="shared" si="189"/>
        <v>0</v>
      </c>
      <c r="I938" s="6">
        <f t="shared" si="184"/>
        <v>617400</v>
      </c>
      <c r="J938" s="6">
        <v>117306</v>
      </c>
      <c r="K938" s="6">
        <v>0</v>
      </c>
      <c r="L938" s="6">
        <v>0</v>
      </c>
      <c r="M938" s="6">
        <f t="shared" ref="M938:M950" si="191">+H938+I938+K938</f>
        <v>617400</v>
      </c>
      <c r="N938" s="6">
        <f t="shared" si="190"/>
        <v>117306</v>
      </c>
      <c r="O938" s="6">
        <f t="shared" si="186"/>
        <v>734706</v>
      </c>
      <c r="P938" s="6">
        <v>734706</v>
      </c>
      <c r="Q938" s="6">
        <f t="shared" si="188"/>
        <v>617400</v>
      </c>
      <c r="R938" s="6">
        <f t="shared" si="179"/>
        <v>15435</v>
      </c>
      <c r="T938"/>
    </row>
    <row r="939" spans="2:22" s="5" customFormat="1" x14ac:dyDescent="0.3">
      <c r="B939" s="5" t="s">
        <v>16</v>
      </c>
      <c r="C939" s="5" t="s">
        <v>1624</v>
      </c>
      <c r="D939" s="5" t="s">
        <v>1625</v>
      </c>
      <c r="E939" s="5" t="s">
        <v>597</v>
      </c>
      <c r="F939" s="5" t="s">
        <v>329</v>
      </c>
      <c r="G939" s="5" t="s">
        <v>330</v>
      </c>
      <c r="H939" s="6">
        <f t="shared" si="189"/>
        <v>0</v>
      </c>
      <c r="I939" s="6">
        <f t="shared" si="184"/>
        <v>1647000</v>
      </c>
      <c r="J939" s="6">
        <v>312930</v>
      </c>
      <c r="K939" s="6">
        <v>0</v>
      </c>
      <c r="L939" s="6">
        <v>0</v>
      </c>
      <c r="M939" s="6">
        <f t="shared" si="191"/>
        <v>1647000</v>
      </c>
      <c r="N939" s="6">
        <f t="shared" si="190"/>
        <v>312930</v>
      </c>
      <c r="O939" s="6">
        <f t="shared" si="186"/>
        <v>1959930</v>
      </c>
      <c r="P939" s="6">
        <v>1959930</v>
      </c>
      <c r="Q939" s="6">
        <f t="shared" si="188"/>
        <v>1647000</v>
      </c>
      <c r="R939" s="6">
        <f t="shared" si="179"/>
        <v>41175</v>
      </c>
      <c r="T939"/>
    </row>
    <row r="940" spans="2:22" s="5" customFormat="1" x14ac:dyDescent="0.3">
      <c r="B940" s="5" t="s">
        <v>16</v>
      </c>
      <c r="C940" s="5" t="s">
        <v>1626</v>
      </c>
      <c r="D940" s="5" t="s">
        <v>1620</v>
      </c>
      <c r="E940" s="5" t="s">
        <v>349</v>
      </c>
      <c r="F940" s="5" t="s">
        <v>329</v>
      </c>
      <c r="G940" s="5" t="s">
        <v>330</v>
      </c>
      <c r="H940" s="6">
        <f t="shared" si="189"/>
        <v>0</v>
      </c>
      <c r="I940" s="6">
        <f t="shared" si="184"/>
        <v>3239550</v>
      </c>
      <c r="J940" s="6">
        <v>615514.5</v>
      </c>
      <c r="K940" s="6">
        <v>0</v>
      </c>
      <c r="L940" s="6">
        <v>0</v>
      </c>
      <c r="M940" s="6">
        <f t="shared" si="191"/>
        <v>3239550</v>
      </c>
      <c r="N940" s="6">
        <f t="shared" si="190"/>
        <v>615514.5</v>
      </c>
      <c r="O940" s="6">
        <f t="shared" si="186"/>
        <v>3855064.5</v>
      </c>
      <c r="P940" s="6">
        <v>3855064.5</v>
      </c>
      <c r="Q940" s="6">
        <f t="shared" si="188"/>
        <v>3239550</v>
      </c>
      <c r="R940" s="6">
        <f t="shared" si="179"/>
        <v>80988.75</v>
      </c>
      <c r="T940"/>
    </row>
    <row r="941" spans="2:22" s="5" customFormat="1" x14ac:dyDescent="0.3">
      <c r="B941" s="5" t="s">
        <v>16</v>
      </c>
      <c r="C941" s="5" t="s">
        <v>1627</v>
      </c>
      <c r="D941" s="5" t="s">
        <v>1628</v>
      </c>
      <c r="E941" s="5" t="s">
        <v>869</v>
      </c>
      <c r="F941" s="5" t="s">
        <v>267</v>
      </c>
      <c r="G941" s="5" t="s">
        <v>268</v>
      </c>
      <c r="H941" s="6">
        <f t="shared" si="189"/>
        <v>0</v>
      </c>
      <c r="I941" s="6">
        <f t="shared" si="184"/>
        <v>5726592</v>
      </c>
      <c r="J941" s="6">
        <v>1088052.48</v>
      </c>
      <c r="K941" s="6">
        <v>0</v>
      </c>
      <c r="L941" s="6">
        <v>0</v>
      </c>
      <c r="M941" s="6">
        <f t="shared" si="191"/>
        <v>5726592</v>
      </c>
      <c r="N941" s="6">
        <f t="shared" si="190"/>
        <v>1088052.48</v>
      </c>
      <c r="O941" s="6">
        <f t="shared" si="186"/>
        <v>6814644.4800000004</v>
      </c>
      <c r="P941" s="6">
        <v>6814644.4800000004</v>
      </c>
      <c r="Q941" s="6">
        <f t="shared" si="188"/>
        <v>5726592</v>
      </c>
      <c r="R941" s="6">
        <f t="shared" si="179"/>
        <v>143164.79999999999</v>
      </c>
      <c r="T941"/>
    </row>
    <row r="942" spans="2:22" s="5" customFormat="1" x14ac:dyDescent="0.3">
      <c r="B942" s="5" t="s">
        <v>16</v>
      </c>
      <c r="C942" s="5" t="s">
        <v>1629</v>
      </c>
      <c r="D942" s="5" t="s">
        <v>1630</v>
      </c>
      <c r="E942" s="5" t="s">
        <v>1631</v>
      </c>
      <c r="F942" s="5" t="s">
        <v>267</v>
      </c>
      <c r="G942" s="5" t="s">
        <v>268</v>
      </c>
      <c r="H942" s="6">
        <f>+P942-I942-J942-K942-L942</f>
        <v>5.3684210524806986E-2</v>
      </c>
      <c r="I942" s="6">
        <f t="shared" si="184"/>
        <v>57227.526315789473</v>
      </c>
      <c r="J942" s="6">
        <v>10873.23</v>
      </c>
      <c r="K942" s="6">
        <v>0</v>
      </c>
      <c r="L942" s="6">
        <v>0</v>
      </c>
      <c r="M942" s="6">
        <f t="shared" si="191"/>
        <v>57227.58</v>
      </c>
      <c r="N942" s="6">
        <f t="shared" si="190"/>
        <v>10873.23</v>
      </c>
      <c r="O942" s="6">
        <f t="shared" si="186"/>
        <v>68100.81</v>
      </c>
      <c r="P942" s="6">
        <v>68100.81</v>
      </c>
      <c r="Q942" s="6">
        <v>0</v>
      </c>
      <c r="R942" s="6">
        <f t="shared" si="179"/>
        <v>0</v>
      </c>
      <c r="T942"/>
    </row>
    <row r="943" spans="2:22" s="5" customFormat="1" x14ac:dyDescent="0.3">
      <c r="B943" s="5" t="s">
        <v>16</v>
      </c>
      <c r="C943" s="5" t="s">
        <v>1632</v>
      </c>
      <c r="D943" s="5" t="s">
        <v>1630</v>
      </c>
      <c r="E943" s="5" t="s">
        <v>1131</v>
      </c>
      <c r="F943" s="5" t="s">
        <v>267</v>
      </c>
      <c r="G943" s="5" t="s">
        <v>268</v>
      </c>
      <c r="H943" s="6">
        <f>+P943-I943-J943-K943-L943</f>
        <v>2.5263157673180103E-2</v>
      </c>
      <c r="I943" s="6">
        <f t="shared" si="184"/>
        <v>1711599.8947368423</v>
      </c>
      <c r="J943" s="6">
        <v>325203.98</v>
      </c>
      <c r="K943" s="6">
        <v>0</v>
      </c>
      <c r="L943" s="6">
        <v>0</v>
      </c>
      <c r="M943" s="6">
        <f t="shared" si="191"/>
        <v>1711599.92</v>
      </c>
      <c r="N943" s="6">
        <f t="shared" si="190"/>
        <v>325203.98</v>
      </c>
      <c r="O943" s="6">
        <f t="shared" si="186"/>
        <v>2036803.9</v>
      </c>
      <c r="P943" s="6">
        <v>2036803.9</v>
      </c>
      <c r="Q943" s="6">
        <f>+M943</f>
        <v>1711599.92</v>
      </c>
      <c r="R943" s="6">
        <f t="shared" si="179"/>
        <v>42789.998</v>
      </c>
      <c r="T943"/>
    </row>
    <row r="944" spans="2:22" s="5" customFormat="1" x14ac:dyDescent="0.3">
      <c r="B944" s="5" t="s">
        <v>16</v>
      </c>
      <c r="C944" s="5" t="s">
        <v>1633</v>
      </c>
      <c r="D944" s="5" t="s">
        <v>1630</v>
      </c>
      <c r="E944" s="5" t="s">
        <v>270</v>
      </c>
      <c r="F944" s="5" t="s">
        <v>267</v>
      </c>
      <c r="G944" s="5" t="s">
        <v>268</v>
      </c>
      <c r="H944" s="6">
        <f>+P944-I944-J944-K944-L944</f>
        <v>-2.7368421258870512E-2</v>
      </c>
      <c r="I944" s="6">
        <f t="shared" si="184"/>
        <v>2614737.9473684211</v>
      </c>
      <c r="J944" s="6">
        <v>496800.21</v>
      </c>
      <c r="K944" s="6">
        <v>0</v>
      </c>
      <c r="L944" s="6">
        <v>0</v>
      </c>
      <c r="M944" s="6">
        <f t="shared" si="191"/>
        <v>2614737.9199999999</v>
      </c>
      <c r="N944" s="6">
        <f t="shared" si="190"/>
        <v>496800.21</v>
      </c>
      <c r="O944" s="6">
        <f t="shared" si="186"/>
        <v>3111538.13</v>
      </c>
      <c r="P944" s="6">
        <v>3111538.13</v>
      </c>
      <c r="Q944" s="6">
        <f>+M944</f>
        <v>2614737.9199999999</v>
      </c>
      <c r="R944" s="6">
        <f t="shared" si="179"/>
        <v>65368.447999999997</v>
      </c>
      <c r="T944"/>
    </row>
    <row r="945" spans="2:22" s="5" customFormat="1" x14ac:dyDescent="0.3">
      <c r="B945" s="5" t="s">
        <v>16</v>
      </c>
      <c r="C945" s="5" t="s">
        <v>1634</v>
      </c>
      <c r="D945" s="5" t="s">
        <v>1630</v>
      </c>
      <c r="E945" s="5" t="s">
        <v>270</v>
      </c>
      <c r="F945" s="5" t="s">
        <v>267</v>
      </c>
      <c r="G945" s="5" t="s">
        <v>268</v>
      </c>
      <c r="H945" s="6">
        <f>+P945-I945-J945-K945-L945</f>
        <v>0.19999999832361937</v>
      </c>
      <c r="I945" s="6">
        <f t="shared" si="184"/>
        <v>11501048.000000002</v>
      </c>
      <c r="J945" s="6">
        <v>2185199.12</v>
      </c>
      <c r="K945" s="6">
        <v>0</v>
      </c>
      <c r="L945" s="6">
        <v>0</v>
      </c>
      <c r="M945" s="6">
        <f t="shared" si="191"/>
        <v>11501048.199999999</v>
      </c>
      <c r="N945" s="6">
        <f t="shared" si="190"/>
        <v>2185199.12</v>
      </c>
      <c r="O945" s="6">
        <f t="shared" si="186"/>
        <v>13686247.32</v>
      </c>
      <c r="P945" s="6">
        <v>13686247.32</v>
      </c>
      <c r="Q945" s="6">
        <f>+M945</f>
        <v>11501048.199999999</v>
      </c>
      <c r="R945" s="6">
        <f t="shared" si="179"/>
        <v>287526.20500000002</v>
      </c>
      <c r="T945"/>
    </row>
    <row r="946" spans="2:22" s="5" customFormat="1" x14ac:dyDescent="0.3">
      <c r="B946" s="5" t="s">
        <v>16</v>
      </c>
      <c r="C946" s="5" t="s">
        <v>1635</v>
      </c>
      <c r="D946" s="5" t="s">
        <v>1636</v>
      </c>
      <c r="E946" s="5" t="s">
        <v>1094</v>
      </c>
      <c r="F946" s="5" t="s">
        <v>432</v>
      </c>
      <c r="G946" s="5" t="s">
        <v>433</v>
      </c>
      <c r="H946" s="6">
        <v>0</v>
      </c>
      <c r="I946" s="6">
        <f t="shared" si="184"/>
        <v>1928564.9999999998</v>
      </c>
      <c r="J946" s="6">
        <v>366427.35</v>
      </c>
      <c r="K946" s="6">
        <v>0</v>
      </c>
      <c r="L946" s="6">
        <v>0</v>
      </c>
      <c r="M946" s="6">
        <f t="shared" si="191"/>
        <v>1928564.9999999998</v>
      </c>
      <c r="N946" s="6">
        <f t="shared" si="190"/>
        <v>366427.35</v>
      </c>
      <c r="O946" s="6">
        <f t="shared" si="186"/>
        <v>2294992.3499999996</v>
      </c>
      <c r="P946" s="6">
        <v>2294992.35</v>
      </c>
      <c r="Q946" s="6">
        <f>+M946</f>
        <v>1928564.9999999998</v>
      </c>
      <c r="R946" s="6">
        <f t="shared" si="179"/>
        <v>48214.124999999993</v>
      </c>
      <c r="T946"/>
    </row>
    <row r="947" spans="2:22" s="5" customFormat="1" x14ac:dyDescent="0.3">
      <c r="B947" s="5" t="s">
        <v>16</v>
      </c>
      <c r="C947" s="5" t="s">
        <v>1637</v>
      </c>
      <c r="D947" s="5" t="s">
        <v>35</v>
      </c>
      <c r="E947" s="5" t="s">
        <v>548</v>
      </c>
      <c r="F947" s="5" t="s">
        <v>37</v>
      </c>
      <c r="G947" s="5" t="s">
        <v>527</v>
      </c>
      <c r="H947" s="6">
        <v>-1.2631578953005373E-2</v>
      </c>
      <c r="I947" s="6">
        <f t="shared" si="184"/>
        <v>266207.05263157893</v>
      </c>
      <c r="J947" s="6">
        <v>50579.34</v>
      </c>
      <c r="K947" s="6">
        <v>0</v>
      </c>
      <c r="L947" s="6">
        <v>0</v>
      </c>
      <c r="M947" s="6">
        <f t="shared" si="191"/>
        <v>266207.03999999998</v>
      </c>
      <c r="N947" s="6">
        <f t="shared" si="190"/>
        <v>50579.34</v>
      </c>
      <c r="O947" s="6">
        <f t="shared" si="186"/>
        <v>316786.38</v>
      </c>
      <c r="P947" s="6">
        <v>316786.38</v>
      </c>
      <c r="Q947" s="6">
        <v>0</v>
      </c>
      <c r="R947" s="6">
        <f t="shared" si="179"/>
        <v>0</v>
      </c>
      <c r="T947"/>
    </row>
    <row r="948" spans="2:22" s="5" customFormat="1" x14ac:dyDescent="0.3">
      <c r="B948" s="5" t="s">
        <v>16</v>
      </c>
      <c r="C948" s="5" t="s">
        <v>1638</v>
      </c>
      <c r="D948" s="5" t="s">
        <v>35</v>
      </c>
      <c r="E948" s="5" t="s">
        <v>312</v>
      </c>
      <c r="F948" s="5" t="s">
        <v>502</v>
      </c>
      <c r="G948" s="5" t="s">
        <v>503</v>
      </c>
      <c r="H948" s="6">
        <f>+P948-I948-J948</f>
        <v>2.8421051567420363E-2</v>
      </c>
      <c r="I948" s="6">
        <f t="shared" si="184"/>
        <v>7792638.6315789483</v>
      </c>
      <c r="J948" s="6">
        <v>1480601.34</v>
      </c>
      <c r="K948" s="6">
        <v>0</v>
      </c>
      <c r="L948" s="6">
        <v>0</v>
      </c>
      <c r="M948" s="6">
        <f t="shared" si="191"/>
        <v>7792638.6600000001</v>
      </c>
      <c r="N948" s="6">
        <f t="shared" si="190"/>
        <v>1480601.34</v>
      </c>
      <c r="O948" s="6">
        <f t="shared" si="186"/>
        <v>9273240</v>
      </c>
      <c r="P948" s="6">
        <v>9273240</v>
      </c>
      <c r="Q948" s="6">
        <f>+M948</f>
        <v>7792638.6600000001</v>
      </c>
      <c r="R948" s="6">
        <f t="shared" ref="R948:R1011" si="192">+Q948*2.5/100</f>
        <v>194815.96649999998</v>
      </c>
      <c r="T948"/>
    </row>
    <row r="949" spans="2:22" s="5" customFormat="1" x14ac:dyDescent="0.3">
      <c r="B949" s="5" t="s">
        <v>16</v>
      </c>
      <c r="C949" s="5" t="s">
        <v>540</v>
      </c>
      <c r="D949" s="5" t="s">
        <v>35</v>
      </c>
      <c r="E949" s="5" t="s">
        <v>1639</v>
      </c>
      <c r="F949" s="5" t="s">
        <v>502</v>
      </c>
      <c r="G949" s="5" t="s">
        <v>503</v>
      </c>
      <c r="H949" s="6">
        <f>+P949-I949-J949-K949-L949</f>
        <v>2.2631579311564565E-2</v>
      </c>
      <c r="I949" s="6">
        <f t="shared" si="184"/>
        <v>7189915.9473684207</v>
      </c>
      <c r="J949" s="6">
        <v>1366084.03</v>
      </c>
      <c r="K949" s="6">
        <v>0</v>
      </c>
      <c r="L949" s="6">
        <v>0</v>
      </c>
      <c r="M949" s="6">
        <f t="shared" si="191"/>
        <v>7189915.9699999997</v>
      </c>
      <c r="N949" s="6">
        <f t="shared" si="190"/>
        <v>1366084.03</v>
      </c>
      <c r="O949" s="6">
        <f t="shared" si="186"/>
        <v>8556000</v>
      </c>
      <c r="P949" s="6">
        <v>8556000</v>
      </c>
      <c r="Q949" s="6">
        <v>0</v>
      </c>
      <c r="R949" s="6">
        <f t="shared" si="192"/>
        <v>0</v>
      </c>
      <c r="T949"/>
    </row>
    <row r="950" spans="2:22" s="5" customFormat="1" x14ac:dyDescent="0.3">
      <c r="B950" s="5" t="s">
        <v>16</v>
      </c>
      <c r="C950" s="5" t="s">
        <v>1640</v>
      </c>
      <c r="D950" s="5" t="s">
        <v>1641</v>
      </c>
      <c r="E950" s="5" t="s">
        <v>508</v>
      </c>
      <c r="F950" s="5" t="s">
        <v>1642</v>
      </c>
      <c r="G950" s="5" t="s">
        <v>1643</v>
      </c>
      <c r="H950" s="6">
        <f t="shared" ref="H950:H957" si="193">+P950-I950-J950</f>
        <v>0</v>
      </c>
      <c r="I950" s="6">
        <f t="shared" si="184"/>
        <v>369039.00000000006</v>
      </c>
      <c r="J950" s="6">
        <v>70117.41</v>
      </c>
      <c r="K950" s="6">
        <v>0</v>
      </c>
      <c r="L950" s="6">
        <v>0</v>
      </c>
      <c r="M950" s="6">
        <f t="shared" si="191"/>
        <v>369039.00000000006</v>
      </c>
      <c r="N950" s="6">
        <f t="shared" si="190"/>
        <v>70117.41</v>
      </c>
      <c r="O950" s="6">
        <f t="shared" si="186"/>
        <v>439156.41000000003</v>
      </c>
      <c r="P950" s="6">
        <v>439156.41</v>
      </c>
      <c r="Q950" s="6">
        <v>0</v>
      </c>
      <c r="R950" s="6">
        <f t="shared" si="192"/>
        <v>0</v>
      </c>
      <c r="T950"/>
    </row>
    <row r="951" spans="2:22" s="5" customFormat="1" x14ac:dyDescent="0.3">
      <c r="B951" s="7" t="s">
        <v>16</v>
      </c>
      <c r="C951" s="7" t="s">
        <v>780</v>
      </c>
      <c r="D951" s="7" t="s">
        <v>1644</v>
      </c>
      <c r="E951" s="7" t="s">
        <v>698</v>
      </c>
      <c r="F951" s="7" t="s">
        <v>1645</v>
      </c>
      <c r="G951" s="7" t="s">
        <v>1646</v>
      </c>
      <c r="H951" s="8">
        <f t="shared" si="193"/>
        <v>0.12473684223368764</v>
      </c>
      <c r="I951" s="8">
        <f t="shared" si="184"/>
        <v>7441625.1052631577</v>
      </c>
      <c r="J951" s="8">
        <v>1413908.77</v>
      </c>
      <c r="K951" s="8">
        <v>0</v>
      </c>
      <c r="L951" s="8">
        <v>0</v>
      </c>
      <c r="M951" s="8">
        <f>+I951+H951</f>
        <v>7441625.2300000004</v>
      </c>
      <c r="N951" s="8">
        <f t="shared" si="190"/>
        <v>1413908.77</v>
      </c>
      <c r="O951" s="8">
        <f t="shared" si="186"/>
        <v>8855534</v>
      </c>
      <c r="P951" s="8">
        <v>8855534</v>
      </c>
      <c r="Q951" s="8">
        <v>0</v>
      </c>
      <c r="R951" s="8">
        <f t="shared" si="192"/>
        <v>0</v>
      </c>
      <c r="S951"/>
      <c r="T951"/>
    </row>
    <row r="952" spans="2:22" s="5" customFormat="1" x14ac:dyDescent="0.3">
      <c r="B952" s="5" t="s">
        <v>16</v>
      </c>
      <c r="C952" s="5" t="s">
        <v>1647</v>
      </c>
      <c r="D952" s="5" t="s">
        <v>1648</v>
      </c>
      <c r="E952" s="5" t="s">
        <v>316</v>
      </c>
      <c r="F952" s="5" t="s">
        <v>398</v>
      </c>
      <c r="G952" s="5" t="s">
        <v>399</v>
      </c>
      <c r="H952" s="6">
        <f t="shared" si="193"/>
        <v>-0.12368421058636159</v>
      </c>
      <c r="I952" s="6">
        <f t="shared" si="184"/>
        <v>1755724.4736842106</v>
      </c>
      <c r="J952" s="6">
        <v>333587.65000000002</v>
      </c>
      <c r="K952" s="6">
        <v>0</v>
      </c>
      <c r="L952" s="6">
        <v>0</v>
      </c>
      <c r="M952" s="6">
        <f t="shared" ref="M952:M965" si="194">+H952+I952+K952</f>
        <v>1755724.35</v>
      </c>
      <c r="N952" s="6">
        <f t="shared" si="190"/>
        <v>333587.65000000002</v>
      </c>
      <c r="O952" s="6">
        <f t="shared" si="186"/>
        <v>2089312</v>
      </c>
      <c r="P952" s="6">
        <v>2089312</v>
      </c>
      <c r="Q952" s="6">
        <f t="shared" ref="Q952:Q957" si="195">+M952</f>
        <v>1755724.35</v>
      </c>
      <c r="R952" s="6">
        <f t="shared" si="192"/>
        <v>43893.108749999999</v>
      </c>
      <c r="S952"/>
      <c r="T952"/>
    </row>
    <row r="953" spans="2:22" s="9" customFormat="1" x14ac:dyDescent="0.3">
      <c r="B953" s="5" t="s">
        <v>16</v>
      </c>
      <c r="C953" s="5" t="s">
        <v>1649</v>
      </c>
      <c r="D953" s="5" t="s">
        <v>1648</v>
      </c>
      <c r="E953" s="5" t="s">
        <v>316</v>
      </c>
      <c r="F953" s="5" t="s">
        <v>398</v>
      </c>
      <c r="G953" s="5" t="s">
        <v>399</v>
      </c>
      <c r="H953" s="6">
        <f t="shared" si="193"/>
        <v>-0.21684210514649749</v>
      </c>
      <c r="I953" s="6">
        <f t="shared" si="184"/>
        <v>1791186.7368421052</v>
      </c>
      <c r="J953" s="6">
        <v>340325.48</v>
      </c>
      <c r="K953" s="6">
        <v>0</v>
      </c>
      <c r="L953" s="6">
        <v>0</v>
      </c>
      <c r="M953" s="6">
        <f t="shared" si="194"/>
        <v>1791186.52</v>
      </c>
      <c r="N953" s="6">
        <f t="shared" si="190"/>
        <v>340325.48</v>
      </c>
      <c r="O953" s="6">
        <f t="shared" si="186"/>
        <v>2131512</v>
      </c>
      <c r="P953" s="6">
        <v>2131512</v>
      </c>
      <c r="Q953" s="6">
        <f t="shared" si="195"/>
        <v>1791186.52</v>
      </c>
      <c r="R953" s="6">
        <f t="shared" si="192"/>
        <v>44779.663</v>
      </c>
      <c r="S953" s="5"/>
      <c r="T953"/>
      <c r="U953" s="7"/>
      <c r="V953" s="7"/>
    </row>
    <row r="954" spans="2:22" s="9" customFormat="1" x14ac:dyDescent="0.3">
      <c r="B954" s="5" t="s">
        <v>16</v>
      </c>
      <c r="C954" s="5" t="s">
        <v>1650</v>
      </c>
      <c r="D954" s="5" t="s">
        <v>1648</v>
      </c>
      <c r="E954" s="5" t="s">
        <v>316</v>
      </c>
      <c r="F954" s="5" t="s">
        <v>398</v>
      </c>
      <c r="G954" s="5" t="s">
        <v>399</v>
      </c>
      <c r="H954" s="6">
        <f t="shared" si="193"/>
        <v>-0.1894736842950806</v>
      </c>
      <c r="I954" s="6">
        <f t="shared" si="184"/>
        <v>1858875.7894736843</v>
      </c>
      <c r="J954" s="6">
        <v>353186.4</v>
      </c>
      <c r="K954" s="6">
        <v>0</v>
      </c>
      <c r="L954" s="6">
        <v>0</v>
      </c>
      <c r="M954" s="6">
        <f t="shared" si="194"/>
        <v>1858875.6</v>
      </c>
      <c r="N954" s="6">
        <f t="shared" si="190"/>
        <v>353186.4</v>
      </c>
      <c r="O954" s="6">
        <f t="shared" si="186"/>
        <v>2212062</v>
      </c>
      <c r="P954" s="6">
        <v>2212062</v>
      </c>
      <c r="Q954" s="6">
        <f t="shared" si="195"/>
        <v>1858875.6</v>
      </c>
      <c r="R954" s="6">
        <f t="shared" si="192"/>
        <v>46471.89</v>
      </c>
      <c r="S954" s="5"/>
      <c r="T954"/>
      <c r="U954" s="5"/>
      <c r="V954" s="5"/>
    </row>
    <row r="955" spans="2:22" s="9" customFormat="1" x14ac:dyDescent="0.3">
      <c r="B955" s="5" t="s">
        <v>16</v>
      </c>
      <c r="C955" s="5" t="s">
        <v>1651</v>
      </c>
      <c r="D955" s="5" t="s">
        <v>1648</v>
      </c>
      <c r="E955" s="5" t="s">
        <v>316</v>
      </c>
      <c r="F955" s="5" t="s">
        <v>398</v>
      </c>
      <c r="G955" s="5" t="s">
        <v>399</v>
      </c>
      <c r="H955" s="6">
        <f t="shared" si="193"/>
        <v>-0.16263157885987312</v>
      </c>
      <c r="I955" s="6">
        <f t="shared" si="184"/>
        <v>3334390.0526315789</v>
      </c>
      <c r="J955" s="6">
        <v>633534.11</v>
      </c>
      <c r="K955" s="6">
        <v>0</v>
      </c>
      <c r="L955" s="6">
        <v>0</v>
      </c>
      <c r="M955" s="6">
        <f t="shared" si="194"/>
        <v>3334389.89</v>
      </c>
      <c r="N955" s="6">
        <f t="shared" si="190"/>
        <v>633534.11</v>
      </c>
      <c r="O955" s="6">
        <f t="shared" si="186"/>
        <v>3967924</v>
      </c>
      <c r="P955" s="6">
        <v>3967924</v>
      </c>
      <c r="Q955" s="6">
        <f t="shared" si="195"/>
        <v>3334389.89</v>
      </c>
      <c r="R955" s="6">
        <f t="shared" si="192"/>
        <v>83359.74725</v>
      </c>
      <c r="S955" s="5"/>
      <c r="T955"/>
      <c r="U955" s="5"/>
      <c r="V955" s="5"/>
    </row>
    <row r="956" spans="2:22" s="9" customFormat="1" x14ac:dyDescent="0.3">
      <c r="B956" s="5" t="s">
        <v>16</v>
      </c>
      <c r="C956" s="5" t="s">
        <v>1652</v>
      </c>
      <c r="D956" s="5" t="s">
        <v>1648</v>
      </c>
      <c r="E956" s="5" t="s">
        <v>234</v>
      </c>
      <c r="F956" s="5" t="s">
        <v>398</v>
      </c>
      <c r="G956" s="5" t="s">
        <v>399</v>
      </c>
      <c r="H956" s="6">
        <f t="shared" si="193"/>
        <v>-0.16842105257092044</v>
      </c>
      <c r="I956" s="6">
        <f t="shared" si="184"/>
        <v>958067.36842105258</v>
      </c>
      <c r="J956" s="6">
        <v>182032.8</v>
      </c>
      <c r="K956" s="6">
        <v>0</v>
      </c>
      <c r="L956" s="6">
        <v>0</v>
      </c>
      <c r="M956" s="6">
        <f t="shared" si="194"/>
        <v>958067.19999999995</v>
      </c>
      <c r="N956" s="6">
        <f t="shared" si="190"/>
        <v>182032.8</v>
      </c>
      <c r="O956" s="6">
        <f t="shared" si="186"/>
        <v>1140100</v>
      </c>
      <c r="P956" s="6">
        <v>1140100</v>
      </c>
      <c r="Q956" s="6">
        <f t="shared" si="195"/>
        <v>958067.19999999995</v>
      </c>
      <c r="R956" s="6">
        <f t="shared" si="192"/>
        <v>23951.68</v>
      </c>
      <c r="S956" s="5"/>
      <c r="T956"/>
      <c r="U956" s="5"/>
      <c r="V956" s="5"/>
    </row>
    <row r="957" spans="2:22" s="9" customFormat="1" x14ac:dyDescent="0.3">
      <c r="B957" s="5" t="s">
        <v>16</v>
      </c>
      <c r="C957" s="5" t="s">
        <v>1653</v>
      </c>
      <c r="D957" s="5" t="s">
        <v>132</v>
      </c>
      <c r="E957" s="5" t="s">
        <v>1040</v>
      </c>
      <c r="F957" s="5" t="s">
        <v>410</v>
      </c>
      <c r="G957" s="5" t="s">
        <v>411</v>
      </c>
      <c r="H957" s="6">
        <f t="shared" si="193"/>
        <v>0</v>
      </c>
      <c r="I957" s="6">
        <f t="shared" si="184"/>
        <v>2072808.0000000002</v>
      </c>
      <c r="J957" s="6">
        <v>393833.52</v>
      </c>
      <c r="K957" s="6">
        <v>0</v>
      </c>
      <c r="L957" s="6">
        <v>0</v>
      </c>
      <c r="M957" s="6">
        <f t="shared" si="194"/>
        <v>2072808.0000000002</v>
      </c>
      <c r="N957" s="6">
        <f t="shared" si="190"/>
        <v>393833.52</v>
      </c>
      <c r="O957" s="6">
        <f t="shared" si="186"/>
        <v>2466641.5200000005</v>
      </c>
      <c r="P957" s="6">
        <v>2466641.52</v>
      </c>
      <c r="Q957" s="6">
        <f t="shared" si="195"/>
        <v>2072808.0000000002</v>
      </c>
      <c r="R957" s="6">
        <f t="shared" si="192"/>
        <v>51820.200000000012</v>
      </c>
      <c r="S957" s="5"/>
      <c r="T957"/>
      <c r="U957" s="5"/>
      <c r="V957" s="5"/>
    </row>
    <row r="958" spans="2:22" s="9" customFormat="1" x14ac:dyDescent="0.3">
      <c r="B958" s="5" t="s">
        <v>16</v>
      </c>
      <c r="C958" s="5" t="s">
        <v>1654</v>
      </c>
      <c r="D958" s="5" t="s">
        <v>1655</v>
      </c>
      <c r="E958" s="5" t="s">
        <v>791</v>
      </c>
      <c r="F958" s="5" t="s">
        <v>1656</v>
      </c>
      <c r="G958" s="5" t="s">
        <v>1657</v>
      </c>
      <c r="H958" s="6">
        <v>-2.2631578947366506</v>
      </c>
      <c r="I958" s="6">
        <f t="shared" si="184"/>
        <v>6305.2631578947367</v>
      </c>
      <c r="J958" s="6">
        <v>1198</v>
      </c>
      <c r="K958" s="6">
        <v>0</v>
      </c>
      <c r="L958" s="6">
        <v>0</v>
      </c>
      <c r="M958" s="6">
        <f t="shared" si="194"/>
        <v>6303</v>
      </c>
      <c r="N958" s="6">
        <f t="shared" si="190"/>
        <v>1198</v>
      </c>
      <c r="O958" s="6">
        <f t="shared" si="186"/>
        <v>7501</v>
      </c>
      <c r="P958" s="6">
        <v>7501</v>
      </c>
      <c r="Q958" s="6">
        <f>+P958-O958</f>
        <v>0</v>
      </c>
      <c r="R958" s="6">
        <f t="shared" si="192"/>
        <v>0</v>
      </c>
      <c r="S958" s="5"/>
      <c r="T958"/>
      <c r="U958" s="5"/>
      <c r="V958" s="5"/>
    </row>
    <row r="959" spans="2:22" s="9" customFormat="1" x14ac:dyDescent="0.3">
      <c r="B959" s="5" t="s">
        <v>16</v>
      </c>
      <c r="C959" s="5" t="s">
        <v>1658</v>
      </c>
      <c r="D959" s="5" t="s">
        <v>1655</v>
      </c>
      <c r="E959" s="5" t="s">
        <v>1659</v>
      </c>
      <c r="F959" s="5" t="s">
        <v>1656</v>
      </c>
      <c r="G959" s="5" t="s">
        <v>1657</v>
      </c>
      <c r="H959" s="6">
        <v>9241.6842105263204</v>
      </c>
      <c r="I959" s="6">
        <f t="shared" si="184"/>
        <v>44826.31578947368</v>
      </c>
      <c r="J959" s="6">
        <v>8517</v>
      </c>
      <c r="K959" s="6">
        <v>0</v>
      </c>
      <c r="L959" s="6">
        <v>0</v>
      </c>
      <c r="M959" s="6">
        <f t="shared" si="194"/>
        <v>54068</v>
      </c>
      <c r="N959" s="6">
        <f t="shared" si="190"/>
        <v>8517</v>
      </c>
      <c r="O959" s="6">
        <f t="shared" si="186"/>
        <v>62585</v>
      </c>
      <c r="P959" s="6">
        <v>62585</v>
      </c>
      <c r="Q959" s="6">
        <v>0</v>
      </c>
      <c r="R959" s="6">
        <f t="shared" si="192"/>
        <v>0</v>
      </c>
      <c r="S959" s="5"/>
      <c r="T959"/>
      <c r="U959" s="7"/>
      <c r="V959" s="7"/>
    </row>
    <row r="960" spans="2:22" s="9" customFormat="1" x14ac:dyDescent="0.3">
      <c r="B960" s="5" t="s">
        <v>16</v>
      </c>
      <c r="C960" s="5" t="s">
        <v>1660</v>
      </c>
      <c r="D960" s="5" t="s">
        <v>1655</v>
      </c>
      <c r="E960" s="5" t="s">
        <v>1661</v>
      </c>
      <c r="F960" s="5" t="s">
        <v>1656</v>
      </c>
      <c r="G960" s="5" t="s">
        <v>1657</v>
      </c>
      <c r="H960" s="6">
        <v>1</v>
      </c>
      <c r="I960" s="6">
        <f t="shared" si="184"/>
        <v>12100</v>
      </c>
      <c r="J960" s="6">
        <v>2299</v>
      </c>
      <c r="K960" s="6">
        <v>0</v>
      </c>
      <c r="L960" s="6">
        <v>0</v>
      </c>
      <c r="M960" s="6">
        <f t="shared" si="194"/>
        <v>12101</v>
      </c>
      <c r="N960" s="6">
        <f t="shared" si="190"/>
        <v>2299</v>
      </c>
      <c r="O960" s="6">
        <f t="shared" si="186"/>
        <v>14400</v>
      </c>
      <c r="P960" s="6">
        <v>14400</v>
      </c>
      <c r="Q960" s="6">
        <v>0</v>
      </c>
      <c r="R960" s="6">
        <f t="shared" si="192"/>
        <v>0</v>
      </c>
      <c r="S960" s="5"/>
      <c r="T960"/>
      <c r="U960" s="5"/>
      <c r="V960" s="5"/>
    </row>
    <row r="961" spans="2:22" s="9" customFormat="1" x14ac:dyDescent="0.3">
      <c r="B961" s="5" t="s">
        <v>16</v>
      </c>
      <c r="C961" s="5" t="s">
        <v>1662</v>
      </c>
      <c r="D961" s="5" t="s">
        <v>1655</v>
      </c>
      <c r="E961" s="5" t="s">
        <v>1663</v>
      </c>
      <c r="F961" s="5" t="s">
        <v>1656</v>
      </c>
      <c r="G961" s="5" t="s">
        <v>1657</v>
      </c>
      <c r="H961" s="6">
        <v>572.57894736842081</v>
      </c>
      <c r="I961" s="6">
        <f t="shared" si="184"/>
        <v>5568.4210526315792</v>
      </c>
      <c r="J961" s="6">
        <v>1058</v>
      </c>
      <c r="K961" s="6">
        <v>0</v>
      </c>
      <c r="L961" s="6">
        <v>0</v>
      </c>
      <c r="M961" s="6">
        <f t="shared" si="194"/>
        <v>6141</v>
      </c>
      <c r="N961" s="6">
        <f t="shared" si="190"/>
        <v>1058</v>
      </c>
      <c r="O961" s="6">
        <f t="shared" si="186"/>
        <v>7199</v>
      </c>
      <c r="P961" s="6">
        <v>7199</v>
      </c>
      <c r="Q961" s="6">
        <v>0</v>
      </c>
      <c r="R961" s="6">
        <f t="shared" si="192"/>
        <v>0</v>
      </c>
      <c r="S961" s="5"/>
      <c r="T961"/>
      <c r="U961" s="5"/>
      <c r="V961" s="5"/>
    </row>
    <row r="962" spans="2:22" s="9" customFormat="1" x14ac:dyDescent="0.3">
      <c r="B962" s="5" t="s">
        <v>16</v>
      </c>
      <c r="C962" s="5" t="s">
        <v>1664</v>
      </c>
      <c r="D962" s="5" t="s">
        <v>1655</v>
      </c>
      <c r="E962" s="5" t="s">
        <v>643</v>
      </c>
      <c r="F962" s="5" t="s">
        <v>1656</v>
      </c>
      <c r="G962" s="5" t="s">
        <v>1657</v>
      </c>
      <c r="H962" s="6">
        <v>6000</v>
      </c>
      <c r="I962" s="6">
        <f t="shared" si="184"/>
        <v>0</v>
      </c>
      <c r="J962" s="6">
        <v>0</v>
      </c>
      <c r="K962" s="6">
        <v>0</v>
      </c>
      <c r="L962" s="6">
        <v>0</v>
      </c>
      <c r="M962" s="6">
        <f t="shared" si="194"/>
        <v>6000</v>
      </c>
      <c r="N962" s="6">
        <f t="shared" si="190"/>
        <v>0</v>
      </c>
      <c r="O962" s="6">
        <f t="shared" si="186"/>
        <v>6000</v>
      </c>
      <c r="P962" s="6">
        <v>6000</v>
      </c>
      <c r="Q962" s="6">
        <v>0</v>
      </c>
      <c r="R962" s="6">
        <f t="shared" si="192"/>
        <v>0</v>
      </c>
      <c r="S962" s="5"/>
      <c r="T962"/>
      <c r="U962" s="5"/>
      <c r="V962" s="5"/>
    </row>
    <row r="963" spans="2:22" s="9" customFormat="1" x14ac:dyDescent="0.3">
      <c r="B963" s="5" t="s">
        <v>16</v>
      </c>
      <c r="C963" s="5" t="s">
        <v>1665</v>
      </c>
      <c r="D963" s="5" t="s">
        <v>1655</v>
      </c>
      <c r="E963" s="5" t="s">
        <v>1666</v>
      </c>
      <c r="F963" s="5" t="s">
        <v>1656</v>
      </c>
      <c r="G963" s="5" t="s">
        <v>1657</v>
      </c>
      <c r="H963" s="6">
        <v>2282.3157894736833</v>
      </c>
      <c r="I963" s="6">
        <f t="shared" si="184"/>
        <v>10673.684210526317</v>
      </c>
      <c r="J963" s="6">
        <v>2028</v>
      </c>
      <c r="K963" s="6">
        <v>0</v>
      </c>
      <c r="L963" s="6">
        <v>0</v>
      </c>
      <c r="M963" s="6">
        <f t="shared" si="194"/>
        <v>12956</v>
      </c>
      <c r="N963" s="6">
        <f t="shared" si="190"/>
        <v>2028</v>
      </c>
      <c r="O963" s="6">
        <f t="shared" si="186"/>
        <v>14984</v>
      </c>
      <c r="P963" s="6">
        <v>14984</v>
      </c>
      <c r="Q963" s="6">
        <v>0</v>
      </c>
      <c r="R963" s="6">
        <f t="shared" si="192"/>
        <v>0</v>
      </c>
      <c r="S963" s="5"/>
      <c r="T963"/>
      <c r="U963" s="5"/>
      <c r="V963" s="5"/>
    </row>
    <row r="964" spans="2:22" s="9" customFormat="1" x14ac:dyDescent="0.3">
      <c r="B964" s="5" t="s">
        <v>16</v>
      </c>
      <c r="C964" s="5" t="s">
        <v>1667</v>
      </c>
      <c r="D964" s="5" t="s">
        <v>1655</v>
      </c>
      <c r="E964" s="5" t="s">
        <v>1094</v>
      </c>
      <c r="F964" s="5" t="s">
        <v>1656</v>
      </c>
      <c r="G964" s="5" t="s">
        <v>1657</v>
      </c>
      <c r="H964" s="6">
        <v>6839</v>
      </c>
      <c r="I964" s="6">
        <f t="shared" si="184"/>
        <v>39100</v>
      </c>
      <c r="J964" s="6">
        <v>7429</v>
      </c>
      <c r="K964" s="6">
        <v>0</v>
      </c>
      <c r="L964" s="6">
        <v>0</v>
      </c>
      <c r="M964" s="6">
        <f t="shared" si="194"/>
        <v>45939</v>
      </c>
      <c r="N964" s="6">
        <f t="shared" si="190"/>
        <v>7429</v>
      </c>
      <c r="O964" s="6">
        <f t="shared" si="186"/>
        <v>53368</v>
      </c>
      <c r="P964" s="6">
        <v>53368</v>
      </c>
      <c r="Q964" s="6">
        <v>0</v>
      </c>
      <c r="R964" s="6">
        <f t="shared" si="192"/>
        <v>0</v>
      </c>
      <c r="S964" s="5"/>
      <c r="T964"/>
      <c r="U964" s="5"/>
      <c r="V964" s="5"/>
    </row>
    <row r="965" spans="2:22" s="9" customFormat="1" x14ac:dyDescent="0.3">
      <c r="B965" s="5" t="s">
        <v>16</v>
      </c>
      <c r="C965" s="5" t="s">
        <v>1668</v>
      </c>
      <c r="D965" s="5" t="s">
        <v>1655</v>
      </c>
      <c r="E965" s="5" t="s">
        <v>803</v>
      </c>
      <c r="F965" s="5" t="s">
        <v>1656</v>
      </c>
      <c r="G965" s="5" t="s">
        <v>1657</v>
      </c>
      <c r="H965" s="6">
        <v>15600.368421052641</v>
      </c>
      <c r="I965" s="6">
        <f t="shared" si="184"/>
        <v>90352.631578947359</v>
      </c>
      <c r="J965" s="6">
        <v>17167</v>
      </c>
      <c r="K965" s="6">
        <v>0</v>
      </c>
      <c r="L965" s="6">
        <v>0</v>
      </c>
      <c r="M965" s="6">
        <f t="shared" si="194"/>
        <v>105953</v>
      </c>
      <c r="N965" s="6">
        <f t="shared" si="190"/>
        <v>17167</v>
      </c>
      <c r="O965" s="6">
        <f t="shared" si="186"/>
        <v>123120</v>
      </c>
      <c r="P965" s="6">
        <v>123120</v>
      </c>
      <c r="Q965" s="6">
        <v>0</v>
      </c>
      <c r="R965" s="6">
        <f t="shared" si="192"/>
        <v>0</v>
      </c>
      <c r="S965" s="5"/>
      <c r="T965"/>
      <c r="U965" s="5"/>
      <c r="V965" s="5"/>
    </row>
    <row r="966" spans="2:22" s="9" customFormat="1" x14ac:dyDescent="0.3">
      <c r="B966" s="5" t="s">
        <v>16</v>
      </c>
      <c r="C966" s="5" t="s">
        <v>1669</v>
      </c>
      <c r="D966" s="5" t="s">
        <v>1655</v>
      </c>
      <c r="E966" s="5" t="s">
        <v>652</v>
      </c>
      <c r="F966" s="5" t="s">
        <v>1656</v>
      </c>
      <c r="G966" s="5" t="s">
        <v>1657</v>
      </c>
      <c r="H966" s="6">
        <v>975.63157894736833</v>
      </c>
      <c r="I966" s="6">
        <f t="shared" si="184"/>
        <v>7247.3684210526317</v>
      </c>
      <c r="J966" s="6">
        <v>1377</v>
      </c>
      <c r="K966" s="6"/>
      <c r="L966" s="6"/>
      <c r="M966" s="6">
        <f t="shared" ref="M966:M973" si="196">+H966+I966</f>
        <v>8223</v>
      </c>
      <c r="N966" s="6">
        <f t="shared" ref="N966:N973" si="197">+J966</f>
        <v>1377</v>
      </c>
      <c r="O966" s="6">
        <f t="shared" si="186"/>
        <v>9600</v>
      </c>
      <c r="P966" s="6">
        <v>9600</v>
      </c>
      <c r="Q966" s="6"/>
      <c r="R966" s="6">
        <f t="shared" si="192"/>
        <v>0</v>
      </c>
      <c r="S966" s="5"/>
      <c r="T966"/>
      <c r="U966" s="5"/>
      <c r="V966" s="5"/>
    </row>
    <row r="967" spans="2:22" s="9" customFormat="1" x14ac:dyDescent="0.3">
      <c r="B967" s="5" t="s">
        <v>16</v>
      </c>
      <c r="C967" s="5" t="s">
        <v>1670</v>
      </c>
      <c r="D967" s="5" t="s">
        <v>1655</v>
      </c>
      <c r="E967" s="5" t="s">
        <v>807</v>
      </c>
      <c r="F967" s="5" t="s">
        <v>1656</v>
      </c>
      <c r="G967" s="5" t="s">
        <v>1657</v>
      </c>
      <c r="H967" s="6">
        <v>6841.3684210526299</v>
      </c>
      <c r="I967" s="6">
        <f t="shared" si="184"/>
        <v>25652.63157894737</v>
      </c>
      <c r="J967" s="6">
        <v>4874</v>
      </c>
      <c r="K967" s="6"/>
      <c r="L967" s="6"/>
      <c r="M967" s="6">
        <f t="shared" si="196"/>
        <v>32494</v>
      </c>
      <c r="N967" s="6">
        <f t="shared" si="197"/>
        <v>4874</v>
      </c>
      <c r="O967" s="6">
        <f t="shared" si="186"/>
        <v>37368</v>
      </c>
      <c r="P967" s="6">
        <v>37368</v>
      </c>
      <c r="Q967" s="6"/>
      <c r="R967" s="6">
        <f t="shared" si="192"/>
        <v>0</v>
      </c>
      <c r="S967" s="5"/>
      <c r="T967"/>
      <c r="U967" s="5"/>
      <c r="V967" s="5"/>
    </row>
    <row r="968" spans="2:22" s="9" customFormat="1" x14ac:dyDescent="0.3">
      <c r="B968" s="5" t="s">
        <v>16</v>
      </c>
      <c r="C968" s="5" t="s">
        <v>1671</v>
      </c>
      <c r="D968" s="5" t="s">
        <v>1655</v>
      </c>
      <c r="E968" s="5" t="s">
        <v>1267</v>
      </c>
      <c r="F968" s="5" t="s">
        <v>1656</v>
      </c>
      <c r="G968" s="5" t="s">
        <v>1657</v>
      </c>
      <c r="H968" s="6">
        <v>0.31578947368325316</v>
      </c>
      <c r="I968" s="6">
        <f t="shared" si="184"/>
        <v>16873.684210526317</v>
      </c>
      <c r="J968" s="6">
        <v>3206</v>
      </c>
      <c r="K968" s="6"/>
      <c r="L968" s="6"/>
      <c r="M968" s="6">
        <f t="shared" si="196"/>
        <v>16874</v>
      </c>
      <c r="N968" s="6">
        <f t="shared" si="197"/>
        <v>3206</v>
      </c>
      <c r="O968" s="6">
        <f t="shared" si="186"/>
        <v>20080</v>
      </c>
      <c r="P968" s="6">
        <v>20080</v>
      </c>
      <c r="Q968" s="6"/>
      <c r="R968" s="6">
        <f t="shared" si="192"/>
        <v>0</v>
      </c>
      <c r="S968" s="5"/>
      <c r="T968"/>
      <c r="U968" s="5"/>
      <c r="V968" s="5"/>
    </row>
    <row r="969" spans="2:22" s="9" customFormat="1" x14ac:dyDescent="0.3">
      <c r="B969" s="5" t="s">
        <v>16</v>
      </c>
      <c r="C969" s="5" t="s">
        <v>1672</v>
      </c>
      <c r="D969" s="5" t="s">
        <v>1655</v>
      </c>
      <c r="E969" s="5" t="s">
        <v>1271</v>
      </c>
      <c r="F969" s="5" t="s">
        <v>1656</v>
      </c>
      <c r="G969" s="5" t="s">
        <v>1657</v>
      </c>
      <c r="H969" s="6">
        <v>-2.6315789473683253</v>
      </c>
      <c r="I969" s="6">
        <f t="shared" si="184"/>
        <v>6052.6315789473683</v>
      </c>
      <c r="J969" s="6">
        <v>1150</v>
      </c>
      <c r="K969" s="6"/>
      <c r="L969" s="6"/>
      <c r="M969" s="6">
        <f t="shared" si="196"/>
        <v>6050</v>
      </c>
      <c r="N969" s="6">
        <f t="shared" si="197"/>
        <v>1150</v>
      </c>
      <c r="O969" s="6">
        <f t="shared" si="186"/>
        <v>7200</v>
      </c>
      <c r="P969" s="6">
        <v>7200</v>
      </c>
      <c r="Q969" s="6"/>
      <c r="R969" s="6">
        <f t="shared" si="192"/>
        <v>0</v>
      </c>
      <c r="S969" s="5"/>
      <c r="T969"/>
      <c r="U969" s="5"/>
      <c r="V969" s="5"/>
    </row>
    <row r="970" spans="2:22" s="9" customFormat="1" x14ac:dyDescent="0.3">
      <c r="B970" s="5" t="s">
        <v>16</v>
      </c>
      <c r="C970" s="5" t="s">
        <v>1673</v>
      </c>
      <c r="D970" s="5" t="s">
        <v>1655</v>
      </c>
      <c r="E970" s="5" t="s">
        <v>1271</v>
      </c>
      <c r="F970" s="5" t="s">
        <v>1656</v>
      </c>
      <c r="G970" s="5" t="s">
        <v>1657</v>
      </c>
      <c r="H970" s="6">
        <v>-1.3684210526334937</v>
      </c>
      <c r="I970" s="6">
        <f t="shared" si="184"/>
        <v>13447.368421052633</v>
      </c>
      <c r="J970" s="6">
        <v>2555</v>
      </c>
      <c r="K970" s="6"/>
      <c r="L970" s="6"/>
      <c r="M970" s="6">
        <f t="shared" si="196"/>
        <v>13446</v>
      </c>
      <c r="N970" s="6">
        <f t="shared" si="197"/>
        <v>2555</v>
      </c>
      <c r="O970" s="6">
        <f t="shared" si="186"/>
        <v>16001</v>
      </c>
      <c r="P970" s="6">
        <v>16001</v>
      </c>
      <c r="Q970" s="6"/>
      <c r="R970" s="6">
        <f t="shared" si="192"/>
        <v>0</v>
      </c>
      <c r="S970" s="5"/>
      <c r="T970"/>
      <c r="U970" s="5"/>
      <c r="V970" s="5"/>
    </row>
    <row r="971" spans="2:22" s="9" customFormat="1" x14ac:dyDescent="0.3">
      <c r="B971" s="5" t="s">
        <v>16</v>
      </c>
      <c r="C971" s="5" t="s">
        <v>1674</v>
      </c>
      <c r="D971" s="5" t="s">
        <v>1655</v>
      </c>
      <c r="E971" s="5" t="s">
        <v>1550</v>
      </c>
      <c r="F971" s="5" t="s">
        <v>1656</v>
      </c>
      <c r="G971" s="5" t="s">
        <v>1657</v>
      </c>
      <c r="H971" s="6">
        <v>6000</v>
      </c>
      <c r="I971" s="6">
        <f t="shared" si="184"/>
        <v>0</v>
      </c>
      <c r="J971" s="6">
        <v>0</v>
      </c>
      <c r="K971" s="6"/>
      <c r="L971" s="6"/>
      <c r="M971" s="6">
        <f t="shared" si="196"/>
        <v>6000</v>
      </c>
      <c r="N971" s="6">
        <f t="shared" si="197"/>
        <v>0</v>
      </c>
      <c r="O971" s="6">
        <f t="shared" si="186"/>
        <v>6000</v>
      </c>
      <c r="P971" s="6">
        <v>6000</v>
      </c>
      <c r="Q971" s="6"/>
      <c r="R971" s="6">
        <f t="shared" si="192"/>
        <v>0</v>
      </c>
      <c r="S971" s="5"/>
      <c r="T971"/>
      <c r="U971" s="5"/>
      <c r="V971" s="5"/>
    </row>
    <row r="972" spans="2:22" s="9" customFormat="1" x14ac:dyDescent="0.3">
      <c r="B972" s="5" t="s">
        <v>16</v>
      </c>
      <c r="C972" s="5" t="s">
        <v>1675</v>
      </c>
      <c r="D972" s="5" t="s">
        <v>1655</v>
      </c>
      <c r="E972" s="5" t="s">
        <v>692</v>
      </c>
      <c r="F972" s="5" t="s">
        <v>1656</v>
      </c>
      <c r="G972" s="5" t="s">
        <v>1657</v>
      </c>
      <c r="H972" s="6">
        <v>1141.2631578947367</v>
      </c>
      <c r="I972" s="6">
        <f t="shared" si="184"/>
        <v>8494.7368421052633</v>
      </c>
      <c r="J972" s="6">
        <v>1614</v>
      </c>
      <c r="K972" s="6"/>
      <c r="L972" s="6"/>
      <c r="M972" s="6">
        <f t="shared" si="196"/>
        <v>9636</v>
      </c>
      <c r="N972" s="6">
        <f t="shared" si="197"/>
        <v>1614</v>
      </c>
      <c r="O972" s="6">
        <f t="shared" si="186"/>
        <v>11250</v>
      </c>
      <c r="P972" s="6">
        <v>11250</v>
      </c>
      <c r="Q972" s="6"/>
      <c r="R972" s="6">
        <f t="shared" si="192"/>
        <v>0</v>
      </c>
      <c r="S972" s="5"/>
      <c r="T972"/>
      <c r="U972" s="5"/>
      <c r="V972" s="5"/>
    </row>
    <row r="973" spans="2:22" s="5" customFormat="1" x14ac:dyDescent="0.3">
      <c r="B973" s="5" t="s">
        <v>16</v>
      </c>
      <c r="C973" s="5" t="s">
        <v>1676</v>
      </c>
      <c r="D973" s="5" t="s">
        <v>1655</v>
      </c>
      <c r="E973" s="5" t="s">
        <v>918</v>
      </c>
      <c r="F973" s="5" t="s">
        <v>1656</v>
      </c>
      <c r="G973" s="5" t="s">
        <v>1657</v>
      </c>
      <c r="H973" s="6">
        <v>6841.3684210526299</v>
      </c>
      <c r="I973" s="6">
        <f t="shared" si="184"/>
        <v>25652.63157894737</v>
      </c>
      <c r="J973" s="6">
        <v>4874</v>
      </c>
      <c r="K973" s="6"/>
      <c r="L973" s="6"/>
      <c r="M973" s="6">
        <f t="shared" si="196"/>
        <v>32494</v>
      </c>
      <c r="N973" s="6">
        <f t="shared" si="197"/>
        <v>4874</v>
      </c>
      <c r="O973" s="6">
        <f t="shared" si="186"/>
        <v>37368</v>
      </c>
      <c r="P973" s="6">
        <v>37368</v>
      </c>
      <c r="Q973" s="6"/>
      <c r="R973" s="6">
        <f t="shared" si="192"/>
        <v>0</v>
      </c>
      <c r="T973"/>
      <c r="U973"/>
      <c r="V973"/>
    </row>
    <row r="974" spans="2:22" s="5" customFormat="1" x14ac:dyDescent="0.3">
      <c r="B974" s="7" t="s">
        <v>16</v>
      </c>
      <c r="C974" s="7" t="s">
        <v>1677</v>
      </c>
      <c r="D974" s="7" t="s">
        <v>1655</v>
      </c>
      <c r="E974" s="7" t="s">
        <v>696</v>
      </c>
      <c r="F974" s="7" t="s">
        <v>1656</v>
      </c>
      <c r="G974" s="7" t="s">
        <v>1657</v>
      </c>
      <c r="H974" s="8">
        <f t="shared" ref="H974:H1027" si="198">+P974-I974-J974</f>
        <v>2</v>
      </c>
      <c r="I974" s="8">
        <f t="shared" si="184"/>
        <v>4200</v>
      </c>
      <c r="J974" s="8">
        <v>798</v>
      </c>
      <c r="K974" s="8">
        <v>0</v>
      </c>
      <c r="L974" s="8">
        <v>0</v>
      </c>
      <c r="M974" s="8">
        <f t="shared" ref="M974:M979" si="199">+I974+H974</f>
        <v>4202</v>
      </c>
      <c r="N974" s="8">
        <f t="shared" ref="N974:N989" si="200">+J974+L974</f>
        <v>798</v>
      </c>
      <c r="O974" s="8">
        <f t="shared" si="186"/>
        <v>5000</v>
      </c>
      <c r="P974" s="8">
        <v>5000</v>
      </c>
      <c r="Q974" s="8">
        <v>0</v>
      </c>
      <c r="R974" s="8">
        <f t="shared" si="192"/>
        <v>0</v>
      </c>
      <c r="T974"/>
    </row>
    <row r="975" spans="2:22" s="5" customFormat="1" x14ac:dyDescent="0.3">
      <c r="B975" s="7" t="s">
        <v>16</v>
      </c>
      <c r="C975" s="7" t="s">
        <v>1678</v>
      </c>
      <c r="D975" s="7" t="s">
        <v>1655</v>
      </c>
      <c r="E975" s="7" t="s">
        <v>1237</v>
      </c>
      <c r="F975" s="7" t="s">
        <v>1656</v>
      </c>
      <c r="G975" s="7" t="s">
        <v>1657</v>
      </c>
      <c r="H975" s="8">
        <f t="shared" si="198"/>
        <v>11550</v>
      </c>
      <c r="I975" s="8">
        <f t="shared" si="184"/>
        <v>0</v>
      </c>
      <c r="J975" s="8">
        <v>0</v>
      </c>
      <c r="K975" s="8">
        <v>0</v>
      </c>
      <c r="L975" s="8">
        <v>0</v>
      </c>
      <c r="M975" s="8">
        <f t="shared" si="199"/>
        <v>11550</v>
      </c>
      <c r="N975" s="8">
        <f t="shared" si="200"/>
        <v>0</v>
      </c>
      <c r="O975" s="8">
        <f t="shared" si="186"/>
        <v>11550</v>
      </c>
      <c r="P975" s="8">
        <v>11550</v>
      </c>
      <c r="Q975" s="8">
        <v>0</v>
      </c>
      <c r="R975" s="8">
        <f t="shared" si="192"/>
        <v>0</v>
      </c>
      <c r="S975"/>
      <c r="T975"/>
    </row>
    <row r="976" spans="2:22" s="5" customFormat="1" x14ac:dyDescent="0.3">
      <c r="B976" s="7" t="s">
        <v>16</v>
      </c>
      <c r="C976" s="7" t="s">
        <v>1679</v>
      </c>
      <c r="D976" s="7" t="s">
        <v>1655</v>
      </c>
      <c r="E976" s="7" t="s">
        <v>464</v>
      </c>
      <c r="F976" s="7" t="s">
        <v>1656</v>
      </c>
      <c r="G976" s="7" t="s">
        <v>1657</v>
      </c>
      <c r="H976" s="8">
        <f t="shared" si="198"/>
        <v>-2.6315789473683253</v>
      </c>
      <c r="I976" s="8">
        <f t="shared" si="184"/>
        <v>6052.6315789473683</v>
      </c>
      <c r="J976" s="8">
        <v>1150</v>
      </c>
      <c r="K976" s="8">
        <v>0</v>
      </c>
      <c r="L976" s="8">
        <v>0</v>
      </c>
      <c r="M976" s="8">
        <f t="shared" si="199"/>
        <v>6050</v>
      </c>
      <c r="N976" s="8">
        <f t="shared" si="200"/>
        <v>1150</v>
      </c>
      <c r="O976" s="8">
        <f t="shared" si="186"/>
        <v>7200</v>
      </c>
      <c r="P976" s="8">
        <v>7200</v>
      </c>
      <c r="Q976" s="8">
        <v>0</v>
      </c>
      <c r="R976" s="8">
        <f t="shared" si="192"/>
        <v>0</v>
      </c>
      <c r="S976"/>
      <c r="T976"/>
    </row>
    <row r="977" spans="2:22" s="5" customFormat="1" x14ac:dyDescent="0.3">
      <c r="B977" s="7" t="s">
        <v>16</v>
      </c>
      <c r="C977" s="7" t="s">
        <v>1680</v>
      </c>
      <c r="D977" s="7" t="s">
        <v>1655</v>
      </c>
      <c r="E977" s="7" t="s">
        <v>1579</v>
      </c>
      <c r="F977" s="7" t="s">
        <v>1656</v>
      </c>
      <c r="G977" s="7" t="s">
        <v>1657</v>
      </c>
      <c r="H977" s="8">
        <f t="shared" si="198"/>
        <v>490.94736842105294</v>
      </c>
      <c r="I977" s="8">
        <f t="shared" si="184"/>
        <v>3621.0526315789471</v>
      </c>
      <c r="J977" s="8">
        <v>688</v>
      </c>
      <c r="K977" s="8">
        <v>0</v>
      </c>
      <c r="L977" s="8">
        <v>0</v>
      </c>
      <c r="M977" s="8">
        <f t="shared" si="199"/>
        <v>4112</v>
      </c>
      <c r="N977" s="8">
        <f t="shared" si="200"/>
        <v>688</v>
      </c>
      <c r="O977" s="8">
        <f t="shared" si="186"/>
        <v>4800</v>
      </c>
      <c r="P977" s="8">
        <v>4800</v>
      </c>
      <c r="Q977" s="8">
        <v>0</v>
      </c>
      <c r="R977" s="8">
        <f t="shared" si="192"/>
        <v>0</v>
      </c>
      <c r="S977"/>
      <c r="T977"/>
    </row>
    <row r="978" spans="2:22" s="5" customFormat="1" x14ac:dyDescent="0.3">
      <c r="B978" s="7" t="s">
        <v>16</v>
      </c>
      <c r="C978" s="7" t="s">
        <v>1681</v>
      </c>
      <c r="D978" s="7" t="s">
        <v>1655</v>
      </c>
      <c r="E978" s="7" t="s">
        <v>1579</v>
      </c>
      <c r="F978" s="7" t="s">
        <v>1656</v>
      </c>
      <c r="G978" s="7" t="s">
        <v>1657</v>
      </c>
      <c r="H978" s="8">
        <f t="shared" si="198"/>
        <v>283.73684210526335</v>
      </c>
      <c r="I978" s="8">
        <f t="shared" si="184"/>
        <v>9005.2631578947367</v>
      </c>
      <c r="J978" s="8">
        <v>1711</v>
      </c>
      <c r="K978" s="8">
        <v>0</v>
      </c>
      <c r="L978" s="8">
        <v>0</v>
      </c>
      <c r="M978" s="8">
        <f t="shared" si="199"/>
        <v>9289</v>
      </c>
      <c r="N978" s="8">
        <f t="shared" si="200"/>
        <v>1711</v>
      </c>
      <c r="O978" s="8">
        <f t="shared" si="186"/>
        <v>11000</v>
      </c>
      <c r="P978" s="8">
        <v>11000</v>
      </c>
      <c r="Q978" s="8">
        <v>0</v>
      </c>
      <c r="R978" s="8">
        <f t="shared" si="192"/>
        <v>0</v>
      </c>
      <c r="T978"/>
    </row>
    <row r="979" spans="2:22" s="5" customFormat="1" x14ac:dyDescent="0.3">
      <c r="B979" s="7" t="s">
        <v>16</v>
      </c>
      <c r="C979" s="7" t="s">
        <v>1682</v>
      </c>
      <c r="D979" s="7" t="s">
        <v>1655</v>
      </c>
      <c r="E979" s="7" t="s">
        <v>1683</v>
      </c>
      <c r="F979" s="7" t="s">
        <v>1656</v>
      </c>
      <c r="G979" s="7" t="s">
        <v>1657</v>
      </c>
      <c r="H979" s="8">
        <f t="shared" si="198"/>
        <v>-1664.8947368421032</v>
      </c>
      <c r="I979" s="8">
        <f t="shared" si="184"/>
        <v>23457.894736842103</v>
      </c>
      <c r="J979" s="8">
        <v>4457</v>
      </c>
      <c r="K979" s="8">
        <v>0</v>
      </c>
      <c r="L979" s="8">
        <v>0</v>
      </c>
      <c r="M979" s="8">
        <f t="shared" si="199"/>
        <v>21793</v>
      </c>
      <c r="N979" s="8">
        <f t="shared" si="200"/>
        <v>4457</v>
      </c>
      <c r="O979" s="8">
        <f t="shared" si="186"/>
        <v>26250</v>
      </c>
      <c r="P979" s="8">
        <v>26250</v>
      </c>
      <c r="Q979" s="8">
        <v>0</v>
      </c>
      <c r="R979" s="8">
        <f t="shared" si="192"/>
        <v>0</v>
      </c>
      <c r="T979"/>
    </row>
    <row r="980" spans="2:22" s="5" customFormat="1" x14ac:dyDescent="0.3">
      <c r="B980" s="5" t="s">
        <v>16</v>
      </c>
      <c r="C980" s="5" t="s">
        <v>1684</v>
      </c>
      <c r="D980" s="5" t="s">
        <v>1655</v>
      </c>
      <c r="E980" s="5" t="s">
        <v>535</v>
      </c>
      <c r="F980" s="5" t="s">
        <v>1656</v>
      </c>
      <c r="G980" s="5" t="s">
        <v>1657</v>
      </c>
      <c r="H980" s="6">
        <f t="shared" si="198"/>
        <v>490.94736842105294</v>
      </c>
      <c r="I980" s="6">
        <f t="shared" si="184"/>
        <v>3621.0526315789471</v>
      </c>
      <c r="J980" s="6">
        <v>688</v>
      </c>
      <c r="K980" s="6">
        <v>0</v>
      </c>
      <c r="L980" s="6">
        <v>0</v>
      </c>
      <c r="M980" s="6">
        <f t="shared" ref="M980:M1043" si="201">+H980+I980+K980</f>
        <v>4112</v>
      </c>
      <c r="N980" s="6">
        <f t="shared" si="200"/>
        <v>688</v>
      </c>
      <c r="O980" s="6">
        <f t="shared" si="186"/>
        <v>4800</v>
      </c>
      <c r="P980" s="6">
        <v>4800</v>
      </c>
      <c r="Q980" s="6"/>
      <c r="R980" s="6">
        <f t="shared" si="192"/>
        <v>0</v>
      </c>
      <c r="T980"/>
      <c r="U980"/>
      <c r="V980"/>
    </row>
    <row r="981" spans="2:22" s="5" customFormat="1" x14ac:dyDescent="0.3">
      <c r="B981" s="5" t="s">
        <v>16</v>
      </c>
      <c r="C981" s="5" t="s">
        <v>1685</v>
      </c>
      <c r="D981" s="5" t="s">
        <v>1655</v>
      </c>
      <c r="E981" s="5" t="s">
        <v>985</v>
      </c>
      <c r="F981" s="5" t="s">
        <v>1656</v>
      </c>
      <c r="G981" s="5" t="s">
        <v>1657</v>
      </c>
      <c r="H981" s="6">
        <f t="shared" si="198"/>
        <v>4561.7894736842063</v>
      </c>
      <c r="I981" s="6">
        <f t="shared" si="184"/>
        <v>28884.210526315794</v>
      </c>
      <c r="J981" s="6">
        <v>5488</v>
      </c>
      <c r="K981" s="6">
        <v>0</v>
      </c>
      <c r="L981" s="6">
        <v>0</v>
      </c>
      <c r="M981" s="6">
        <f t="shared" si="201"/>
        <v>33446</v>
      </c>
      <c r="N981" s="6">
        <f t="shared" si="200"/>
        <v>5488</v>
      </c>
      <c r="O981" s="6">
        <f t="shared" si="186"/>
        <v>38934</v>
      </c>
      <c r="P981" s="6">
        <v>38934</v>
      </c>
      <c r="Q981" s="6"/>
      <c r="R981" s="6">
        <f t="shared" si="192"/>
        <v>0</v>
      </c>
      <c r="T981"/>
    </row>
    <row r="982" spans="2:22" s="5" customFormat="1" x14ac:dyDescent="0.3">
      <c r="B982" s="5" t="s">
        <v>16</v>
      </c>
      <c r="C982" s="5" t="s">
        <v>1686</v>
      </c>
      <c r="D982" s="5" t="s">
        <v>1655</v>
      </c>
      <c r="E982" s="5" t="s">
        <v>536</v>
      </c>
      <c r="F982" s="5" t="s">
        <v>1656</v>
      </c>
      <c r="G982" s="5" t="s">
        <v>1657</v>
      </c>
      <c r="H982" s="6">
        <f t="shared" si="198"/>
        <v>-30000.526315789473</v>
      </c>
      <c r="I982" s="6">
        <f t="shared" si="184"/>
        <v>25210.526315789473</v>
      </c>
      <c r="J982" s="6">
        <v>4790</v>
      </c>
      <c r="K982" s="6">
        <v>0</v>
      </c>
      <c r="L982" s="6">
        <v>0</v>
      </c>
      <c r="M982" s="6">
        <f t="shared" si="201"/>
        <v>-4790</v>
      </c>
      <c r="N982" s="6">
        <f t="shared" si="200"/>
        <v>4790</v>
      </c>
      <c r="O982" s="6">
        <f t="shared" si="186"/>
        <v>0</v>
      </c>
      <c r="P982" s="6">
        <v>0</v>
      </c>
      <c r="Q982" s="6"/>
      <c r="R982" s="6">
        <f t="shared" si="192"/>
        <v>0</v>
      </c>
      <c r="T982"/>
    </row>
    <row r="983" spans="2:22" s="5" customFormat="1" x14ac:dyDescent="0.3">
      <c r="B983" s="5" t="s">
        <v>16</v>
      </c>
      <c r="C983" s="5" t="s">
        <v>1687</v>
      </c>
      <c r="D983" s="5" t="s">
        <v>1655</v>
      </c>
      <c r="E983" s="5" t="s">
        <v>1284</v>
      </c>
      <c r="F983" s="5" t="s">
        <v>1656</v>
      </c>
      <c r="G983" s="5" t="s">
        <v>1657</v>
      </c>
      <c r="H983" s="6">
        <f t="shared" si="198"/>
        <v>2</v>
      </c>
      <c r="I983" s="6">
        <f t="shared" si="184"/>
        <v>4200</v>
      </c>
      <c r="J983" s="6">
        <v>798</v>
      </c>
      <c r="K983" s="6">
        <v>0</v>
      </c>
      <c r="L983" s="6">
        <v>0</v>
      </c>
      <c r="M983" s="6">
        <f t="shared" si="201"/>
        <v>4202</v>
      </c>
      <c r="N983" s="6">
        <f t="shared" si="200"/>
        <v>798</v>
      </c>
      <c r="O983" s="6">
        <f t="shared" si="186"/>
        <v>5000</v>
      </c>
      <c r="P983" s="6">
        <v>5000</v>
      </c>
      <c r="Q983" s="6"/>
      <c r="R983" s="6">
        <f t="shared" si="192"/>
        <v>0</v>
      </c>
      <c r="T983"/>
    </row>
    <row r="984" spans="2:22" s="5" customFormat="1" x14ac:dyDescent="0.3">
      <c r="B984" s="5" t="s">
        <v>16</v>
      </c>
      <c r="C984" s="5" t="s">
        <v>1688</v>
      </c>
      <c r="D984" s="5" t="s">
        <v>1655</v>
      </c>
      <c r="E984" s="5" t="s">
        <v>1287</v>
      </c>
      <c r="F984" s="5" t="s">
        <v>1656</v>
      </c>
      <c r="G984" s="5" t="s">
        <v>1657</v>
      </c>
      <c r="H984" s="6">
        <f t="shared" si="198"/>
        <v>6000</v>
      </c>
      <c r="I984" s="6">
        <f t="shared" si="184"/>
        <v>0</v>
      </c>
      <c r="J984" s="6">
        <v>0</v>
      </c>
      <c r="K984" s="6">
        <v>0</v>
      </c>
      <c r="L984" s="6">
        <v>0</v>
      </c>
      <c r="M984" s="6">
        <f t="shared" si="201"/>
        <v>6000</v>
      </c>
      <c r="N984" s="6">
        <f t="shared" si="200"/>
        <v>0</v>
      </c>
      <c r="O984" s="6">
        <f t="shared" si="186"/>
        <v>6000</v>
      </c>
      <c r="P984" s="6">
        <v>6000</v>
      </c>
      <c r="Q984" s="6"/>
      <c r="R984" s="6">
        <f t="shared" si="192"/>
        <v>0</v>
      </c>
      <c r="T984"/>
      <c r="V984"/>
    </row>
    <row r="985" spans="2:22" s="5" customFormat="1" x14ac:dyDescent="0.3">
      <c r="B985" s="5" t="s">
        <v>16</v>
      </c>
      <c r="C985" s="5" t="s">
        <v>1689</v>
      </c>
      <c r="D985" s="5" t="s">
        <v>1655</v>
      </c>
      <c r="E985" s="5" t="s">
        <v>836</v>
      </c>
      <c r="F985" s="5" t="s">
        <v>1656</v>
      </c>
      <c r="G985" s="5" t="s">
        <v>1657</v>
      </c>
      <c r="H985" s="6">
        <f t="shared" si="198"/>
        <v>286.78947368421041</v>
      </c>
      <c r="I985" s="6">
        <f t="shared" si="184"/>
        <v>2784.2105263157896</v>
      </c>
      <c r="J985" s="6">
        <v>529</v>
      </c>
      <c r="K985" s="6">
        <v>0</v>
      </c>
      <c r="L985" s="6">
        <v>0</v>
      </c>
      <c r="M985" s="6">
        <f t="shared" si="201"/>
        <v>3071</v>
      </c>
      <c r="N985" s="6">
        <f t="shared" si="200"/>
        <v>529</v>
      </c>
      <c r="O985" s="6">
        <f t="shared" si="186"/>
        <v>3600</v>
      </c>
      <c r="P985" s="6">
        <v>3600</v>
      </c>
      <c r="Q985" s="6"/>
      <c r="R985" s="6">
        <f t="shared" si="192"/>
        <v>0</v>
      </c>
      <c r="T985"/>
    </row>
    <row r="986" spans="2:22" s="5" customFormat="1" x14ac:dyDescent="0.3">
      <c r="B986" s="5" t="s">
        <v>16</v>
      </c>
      <c r="C986" s="5" t="s">
        <v>1690</v>
      </c>
      <c r="D986" s="5" t="s">
        <v>1655</v>
      </c>
      <c r="E986" s="5" t="s">
        <v>293</v>
      </c>
      <c r="F986" s="5" t="s">
        <v>1656</v>
      </c>
      <c r="G986" s="5" t="s">
        <v>1657</v>
      </c>
      <c r="H986" s="6">
        <f t="shared" si="198"/>
        <v>3121.5789473684235</v>
      </c>
      <c r="I986" s="6">
        <f t="shared" si="184"/>
        <v>18068.421052631576</v>
      </c>
      <c r="J986" s="6">
        <v>3433</v>
      </c>
      <c r="K986" s="6">
        <v>0</v>
      </c>
      <c r="L986" s="6">
        <v>0</v>
      </c>
      <c r="M986" s="6">
        <f t="shared" si="201"/>
        <v>21190</v>
      </c>
      <c r="N986" s="6">
        <f t="shared" si="200"/>
        <v>3433</v>
      </c>
      <c r="O986" s="6">
        <f t="shared" si="186"/>
        <v>24623</v>
      </c>
      <c r="P986" s="6">
        <v>24623</v>
      </c>
      <c r="Q986" s="6"/>
      <c r="R986" s="6">
        <f t="shared" si="192"/>
        <v>0</v>
      </c>
      <c r="T986"/>
    </row>
    <row r="987" spans="2:22" s="9" customFormat="1" x14ac:dyDescent="0.3">
      <c r="B987" s="5" t="s">
        <v>16</v>
      </c>
      <c r="C987" s="5" t="s">
        <v>1691</v>
      </c>
      <c r="D987" s="5" t="s">
        <v>1655</v>
      </c>
      <c r="E987" s="5" t="s">
        <v>675</v>
      </c>
      <c r="F987" s="5" t="s">
        <v>1656</v>
      </c>
      <c r="G987" s="5" t="s">
        <v>1657</v>
      </c>
      <c r="H987" s="6">
        <f t="shared" si="198"/>
        <v>1707.9473684210516</v>
      </c>
      <c r="I987" s="6">
        <f t="shared" si="184"/>
        <v>12221.052631578948</v>
      </c>
      <c r="J987" s="6">
        <v>2322</v>
      </c>
      <c r="K987" s="6">
        <v>0</v>
      </c>
      <c r="L987" s="6">
        <v>0</v>
      </c>
      <c r="M987" s="6">
        <f t="shared" si="201"/>
        <v>13929</v>
      </c>
      <c r="N987" s="6">
        <f t="shared" si="200"/>
        <v>2322</v>
      </c>
      <c r="O987" s="6">
        <f t="shared" si="186"/>
        <v>16251</v>
      </c>
      <c r="P987" s="6">
        <v>16251</v>
      </c>
      <c r="Q987" s="6">
        <v>0</v>
      </c>
      <c r="R987" s="6">
        <f t="shared" si="192"/>
        <v>0</v>
      </c>
      <c r="S987" s="5"/>
      <c r="T987"/>
      <c r="U987" s="5"/>
      <c r="V987" s="5"/>
    </row>
    <row r="988" spans="2:22" s="9" customFormat="1" x14ac:dyDescent="0.3">
      <c r="B988" s="5" t="s">
        <v>16</v>
      </c>
      <c r="C988" s="5" t="s">
        <v>1692</v>
      </c>
      <c r="D988" s="5" t="s">
        <v>1655</v>
      </c>
      <c r="E988" s="5" t="s">
        <v>675</v>
      </c>
      <c r="F988" s="5" t="s">
        <v>1656</v>
      </c>
      <c r="G988" s="5" t="s">
        <v>1657</v>
      </c>
      <c r="H988" s="6">
        <f t="shared" si="198"/>
        <v>4560.9473684210534</v>
      </c>
      <c r="I988" s="6">
        <f t="shared" si="184"/>
        <v>23021.052631578947</v>
      </c>
      <c r="J988" s="6">
        <v>4374</v>
      </c>
      <c r="K988" s="6">
        <v>0</v>
      </c>
      <c r="L988" s="6">
        <v>0</v>
      </c>
      <c r="M988" s="6">
        <f t="shared" si="201"/>
        <v>27582</v>
      </c>
      <c r="N988" s="6">
        <f t="shared" si="200"/>
        <v>4374</v>
      </c>
      <c r="O988" s="6">
        <f t="shared" si="186"/>
        <v>31956</v>
      </c>
      <c r="P988" s="6">
        <v>31956</v>
      </c>
      <c r="Q988" s="6">
        <v>0</v>
      </c>
      <c r="R988" s="6">
        <f t="shared" si="192"/>
        <v>0</v>
      </c>
      <c r="S988" s="5"/>
      <c r="T988"/>
      <c r="U988" s="5"/>
      <c r="V988" s="5"/>
    </row>
    <row r="989" spans="2:22" s="9" customFormat="1" x14ac:dyDescent="0.3">
      <c r="B989" s="5" t="s">
        <v>16</v>
      </c>
      <c r="C989" s="5" t="s">
        <v>1693</v>
      </c>
      <c r="D989" s="5" t="s">
        <v>1655</v>
      </c>
      <c r="E989" s="5" t="s">
        <v>537</v>
      </c>
      <c r="F989" s="5" t="s">
        <v>1656</v>
      </c>
      <c r="G989" s="5" t="s">
        <v>1657</v>
      </c>
      <c r="H989" s="6">
        <f t="shared" si="198"/>
        <v>779.63157894736833</v>
      </c>
      <c r="I989" s="6">
        <f t="shared" si="184"/>
        <v>5647.3684210526317</v>
      </c>
      <c r="J989" s="6">
        <v>1073</v>
      </c>
      <c r="K989" s="6">
        <v>0</v>
      </c>
      <c r="L989" s="6">
        <v>0</v>
      </c>
      <c r="M989" s="6">
        <f t="shared" si="201"/>
        <v>6427</v>
      </c>
      <c r="N989" s="6">
        <f t="shared" si="200"/>
        <v>1073</v>
      </c>
      <c r="O989" s="6">
        <f t="shared" si="186"/>
        <v>7500</v>
      </c>
      <c r="P989" s="6">
        <v>7500</v>
      </c>
      <c r="Q989" s="6">
        <v>0</v>
      </c>
      <c r="R989" s="6">
        <f t="shared" si="192"/>
        <v>0</v>
      </c>
      <c r="S989" s="5"/>
      <c r="T989"/>
      <c r="U989" s="5"/>
      <c r="V989" s="5"/>
    </row>
    <row r="990" spans="2:22" s="9" customFormat="1" x14ac:dyDescent="0.3">
      <c r="B990" s="5" t="s">
        <v>16</v>
      </c>
      <c r="C990" s="5" t="s">
        <v>1694</v>
      </c>
      <c r="D990" s="5" t="s">
        <v>1655</v>
      </c>
      <c r="E990" s="5" t="s">
        <v>708</v>
      </c>
      <c r="F990" s="5" t="s">
        <v>1656</v>
      </c>
      <c r="G990" s="5" t="s">
        <v>1657</v>
      </c>
      <c r="H990" s="6">
        <f t="shared" si="198"/>
        <v>2</v>
      </c>
      <c r="I990" s="6">
        <f t="shared" ref="I990:I1053" si="202">+J990/19*100</f>
        <v>4200</v>
      </c>
      <c r="J990" s="6">
        <v>798</v>
      </c>
      <c r="K990" s="6">
        <v>0</v>
      </c>
      <c r="L990" s="6">
        <v>0</v>
      </c>
      <c r="M990" s="6">
        <f t="shared" si="201"/>
        <v>4202</v>
      </c>
      <c r="N990" s="6">
        <f>J990+L990</f>
        <v>798</v>
      </c>
      <c r="O990" s="6">
        <f t="shared" ref="O990:O1053" si="203">+M990+N990</f>
        <v>5000</v>
      </c>
      <c r="P990" s="6">
        <v>5000</v>
      </c>
      <c r="Q990" s="6">
        <v>0</v>
      </c>
      <c r="R990" s="6">
        <f t="shared" si="192"/>
        <v>0</v>
      </c>
      <c r="S990" s="5"/>
      <c r="T990"/>
      <c r="U990" s="5"/>
      <c r="V990" s="5"/>
    </row>
    <row r="991" spans="2:22" s="9" customFormat="1" x14ac:dyDescent="0.3">
      <c r="B991" s="5" t="s">
        <v>16</v>
      </c>
      <c r="C991" s="5" t="s">
        <v>1695</v>
      </c>
      <c r="D991" s="5" t="s">
        <v>1655</v>
      </c>
      <c r="E991" s="5" t="s">
        <v>563</v>
      </c>
      <c r="F991" s="5" t="s">
        <v>1656</v>
      </c>
      <c r="G991" s="5" t="s">
        <v>1657</v>
      </c>
      <c r="H991" s="6">
        <f t="shared" si="198"/>
        <v>286.78947368421041</v>
      </c>
      <c r="I991" s="6">
        <f t="shared" si="202"/>
        <v>2784.2105263157896</v>
      </c>
      <c r="J991" s="6">
        <v>529</v>
      </c>
      <c r="K991" s="6">
        <v>0</v>
      </c>
      <c r="L991" s="6">
        <v>0</v>
      </c>
      <c r="M991" s="6">
        <f t="shared" si="201"/>
        <v>3071</v>
      </c>
      <c r="N991" s="6">
        <f>J991+L991</f>
        <v>529</v>
      </c>
      <c r="O991" s="6">
        <f t="shared" si="203"/>
        <v>3600</v>
      </c>
      <c r="P991" s="6">
        <v>3600</v>
      </c>
      <c r="Q991" s="6">
        <v>0</v>
      </c>
      <c r="R991" s="6">
        <f t="shared" si="192"/>
        <v>0</v>
      </c>
      <c r="S991" s="5"/>
      <c r="T991"/>
      <c r="U991" s="5"/>
      <c r="V991" s="5"/>
    </row>
    <row r="992" spans="2:22" s="9" customFormat="1" x14ac:dyDescent="0.3">
      <c r="B992" s="5" t="s">
        <v>16</v>
      </c>
      <c r="C992" s="5" t="s">
        <v>1696</v>
      </c>
      <c r="D992" s="5" t="s">
        <v>1655</v>
      </c>
      <c r="E992" s="5" t="s">
        <v>845</v>
      </c>
      <c r="F992" s="5" t="s">
        <v>1656</v>
      </c>
      <c r="G992" s="5" t="s">
        <v>1657</v>
      </c>
      <c r="H992" s="6">
        <f t="shared" si="198"/>
        <v>-1.9473684210533975</v>
      </c>
      <c r="I992" s="6">
        <f t="shared" si="202"/>
        <v>23578.947368421053</v>
      </c>
      <c r="J992" s="6">
        <v>4480</v>
      </c>
      <c r="K992" s="6">
        <v>0</v>
      </c>
      <c r="L992" s="6">
        <v>0</v>
      </c>
      <c r="M992" s="6">
        <f t="shared" si="201"/>
        <v>23577</v>
      </c>
      <c r="N992" s="6">
        <f>J992+L992</f>
        <v>4480</v>
      </c>
      <c r="O992" s="6">
        <f t="shared" si="203"/>
        <v>28057</v>
      </c>
      <c r="P992" s="6">
        <v>28057</v>
      </c>
      <c r="Q992" s="6">
        <v>0</v>
      </c>
      <c r="R992" s="6">
        <f t="shared" si="192"/>
        <v>0</v>
      </c>
      <c r="S992" s="5"/>
      <c r="T992"/>
      <c r="U992" s="5"/>
      <c r="V992" s="5"/>
    </row>
    <row r="993" spans="2:22" s="9" customFormat="1" x14ac:dyDescent="0.3">
      <c r="B993" s="5" t="s">
        <v>16</v>
      </c>
      <c r="C993" s="5" t="s">
        <v>1697</v>
      </c>
      <c r="D993" s="5" t="s">
        <v>1698</v>
      </c>
      <c r="E993" s="5" t="s">
        <v>1436</v>
      </c>
      <c r="F993" s="5" t="s">
        <v>1656</v>
      </c>
      <c r="G993" s="5" t="s">
        <v>1699</v>
      </c>
      <c r="H993" s="6">
        <f t="shared" si="198"/>
        <v>9120.4210526315874</v>
      </c>
      <c r="I993" s="6">
        <f t="shared" si="202"/>
        <v>55731.578947368413</v>
      </c>
      <c r="J993" s="6">
        <v>10589</v>
      </c>
      <c r="K993" s="6">
        <v>0</v>
      </c>
      <c r="L993" s="6">
        <v>0</v>
      </c>
      <c r="M993" s="6">
        <f t="shared" si="201"/>
        <v>64852</v>
      </c>
      <c r="N993" s="6">
        <f t="shared" ref="N993:N1056" si="204">+J993+L993</f>
        <v>10589</v>
      </c>
      <c r="O993" s="6">
        <f t="shared" si="203"/>
        <v>75441</v>
      </c>
      <c r="P993" s="6">
        <v>75441</v>
      </c>
      <c r="Q993" s="6">
        <v>0</v>
      </c>
      <c r="R993" s="6">
        <f t="shared" si="192"/>
        <v>0</v>
      </c>
      <c r="S993" s="5"/>
      <c r="T993"/>
      <c r="U993" s="5"/>
      <c r="V993" s="5"/>
    </row>
    <row r="994" spans="2:22" s="9" customFormat="1" x14ac:dyDescent="0.3">
      <c r="B994" s="5" t="s">
        <v>16</v>
      </c>
      <c r="C994" s="5" t="s">
        <v>1700</v>
      </c>
      <c r="D994" s="5" t="s">
        <v>1698</v>
      </c>
      <c r="E994" s="5" t="s">
        <v>1701</v>
      </c>
      <c r="F994" s="5" t="s">
        <v>1656</v>
      </c>
      <c r="G994" s="5" t="s">
        <v>1699</v>
      </c>
      <c r="H994" s="6">
        <f t="shared" si="198"/>
        <v>6000</v>
      </c>
      <c r="I994" s="6">
        <f t="shared" si="202"/>
        <v>0</v>
      </c>
      <c r="J994" s="6">
        <v>0</v>
      </c>
      <c r="K994" s="6">
        <v>0</v>
      </c>
      <c r="L994" s="6">
        <v>0</v>
      </c>
      <c r="M994" s="6">
        <f t="shared" si="201"/>
        <v>6000</v>
      </c>
      <c r="N994" s="6">
        <f t="shared" si="204"/>
        <v>0</v>
      </c>
      <c r="O994" s="6">
        <f t="shared" si="203"/>
        <v>6000</v>
      </c>
      <c r="P994" s="6">
        <v>6000</v>
      </c>
      <c r="Q994" s="6">
        <v>0</v>
      </c>
      <c r="R994" s="6">
        <f t="shared" si="192"/>
        <v>0</v>
      </c>
      <c r="S994" s="5"/>
      <c r="T994"/>
      <c r="U994" s="5"/>
      <c r="V994" s="5"/>
    </row>
    <row r="995" spans="2:22" s="9" customFormat="1" x14ac:dyDescent="0.3">
      <c r="B995" s="5" t="s">
        <v>16</v>
      </c>
      <c r="C995" s="5" t="s">
        <v>1702</v>
      </c>
      <c r="D995" s="5" t="s">
        <v>1698</v>
      </c>
      <c r="E995" s="5" t="s">
        <v>677</v>
      </c>
      <c r="F995" s="5" t="s">
        <v>1656</v>
      </c>
      <c r="G995" s="5" t="s">
        <v>1699</v>
      </c>
      <c r="H995" s="6">
        <f t="shared" si="198"/>
        <v>2.1578947368425361</v>
      </c>
      <c r="I995" s="6">
        <f t="shared" si="202"/>
        <v>6636.8421052631575</v>
      </c>
      <c r="J995" s="6">
        <v>1261</v>
      </c>
      <c r="K995" s="6">
        <v>0</v>
      </c>
      <c r="L995" s="6">
        <v>0</v>
      </c>
      <c r="M995" s="6">
        <f t="shared" si="201"/>
        <v>6639</v>
      </c>
      <c r="N995" s="6">
        <f t="shared" si="204"/>
        <v>1261</v>
      </c>
      <c r="O995" s="6">
        <f t="shared" si="203"/>
        <v>7900</v>
      </c>
      <c r="P995" s="6">
        <v>7900</v>
      </c>
      <c r="Q995" s="6">
        <v>0</v>
      </c>
      <c r="R995" s="6">
        <f t="shared" si="192"/>
        <v>0</v>
      </c>
      <c r="S995" s="5"/>
      <c r="T995"/>
      <c r="U995" s="5"/>
      <c r="V995" s="5"/>
    </row>
    <row r="996" spans="2:22" x14ac:dyDescent="0.3">
      <c r="B996" s="5" t="s">
        <v>16</v>
      </c>
      <c r="C996" s="5" t="s">
        <v>1703</v>
      </c>
      <c r="D996" s="5" t="s">
        <v>1698</v>
      </c>
      <c r="E996" s="5" t="s">
        <v>575</v>
      </c>
      <c r="F996" s="5" t="s">
        <v>1656</v>
      </c>
      <c r="G996" s="5" t="s">
        <v>1699</v>
      </c>
      <c r="H996" s="6">
        <f t="shared" si="198"/>
        <v>34198.631578947388</v>
      </c>
      <c r="I996" s="6">
        <f t="shared" si="202"/>
        <v>215047.36842105261</v>
      </c>
      <c r="J996" s="6">
        <v>40859</v>
      </c>
      <c r="K996" s="6">
        <v>0</v>
      </c>
      <c r="L996" s="6">
        <v>0</v>
      </c>
      <c r="M996" s="6">
        <f t="shared" si="201"/>
        <v>249246</v>
      </c>
      <c r="N996" s="6">
        <f t="shared" si="204"/>
        <v>40859</v>
      </c>
      <c r="O996" s="6">
        <f t="shared" si="203"/>
        <v>290105</v>
      </c>
      <c r="P996" s="6">
        <v>290105</v>
      </c>
      <c r="Q996" s="6">
        <v>0</v>
      </c>
      <c r="R996" s="6">
        <f t="shared" si="192"/>
        <v>0</v>
      </c>
      <c r="S996" s="5"/>
      <c r="U996" s="5"/>
      <c r="V996" s="5"/>
    </row>
    <row r="997" spans="2:22" x14ac:dyDescent="0.3">
      <c r="B997" s="5" t="s">
        <v>16</v>
      </c>
      <c r="C997" s="5" t="s">
        <v>1704</v>
      </c>
      <c r="D997" s="5" t="s">
        <v>1698</v>
      </c>
      <c r="E997" s="5" t="s">
        <v>575</v>
      </c>
      <c r="F997" s="5" t="s">
        <v>1656</v>
      </c>
      <c r="G997" s="5" t="s">
        <v>1699</v>
      </c>
      <c r="H997" s="6">
        <f t="shared" si="198"/>
        <v>6842.5789473684199</v>
      </c>
      <c r="I997" s="6">
        <f t="shared" si="202"/>
        <v>40468.42105263158</v>
      </c>
      <c r="J997" s="6">
        <v>7689</v>
      </c>
      <c r="K997" s="6">
        <v>0</v>
      </c>
      <c r="L997" s="6">
        <v>0</v>
      </c>
      <c r="M997" s="6">
        <f t="shared" si="201"/>
        <v>47311</v>
      </c>
      <c r="N997" s="6">
        <f t="shared" si="204"/>
        <v>7689</v>
      </c>
      <c r="O997" s="6">
        <f t="shared" si="203"/>
        <v>55000</v>
      </c>
      <c r="P997" s="6">
        <v>55000</v>
      </c>
      <c r="Q997" s="6">
        <v>0</v>
      </c>
      <c r="R997" s="6">
        <f t="shared" si="192"/>
        <v>0</v>
      </c>
      <c r="S997" s="5"/>
      <c r="U997" s="5"/>
      <c r="V997" s="5"/>
    </row>
    <row r="998" spans="2:22" s="5" customFormat="1" x14ac:dyDescent="0.3">
      <c r="B998" s="5" t="s">
        <v>16</v>
      </c>
      <c r="C998" s="5" t="s">
        <v>1705</v>
      </c>
      <c r="D998" s="5" t="s">
        <v>1698</v>
      </c>
      <c r="E998" s="5" t="s">
        <v>751</v>
      </c>
      <c r="F998" s="5" t="s">
        <v>1656</v>
      </c>
      <c r="G998" s="5" t="s">
        <v>1699</v>
      </c>
      <c r="H998" s="6">
        <f t="shared" si="198"/>
        <v>6000</v>
      </c>
      <c r="I998" s="6">
        <f t="shared" si="202"/>
        <v>0</v>
      </c>
      <c r="J998" s="6">
        <v>0</v>
      </c>
      <c r="K998" s="6">
        <v>0</v>
      </c>
      <c r="L998" s="6">
        <v>0</v>
      </c>
      <c r="M998" s="6">
        <f t="shared" si="201"/>
        <v>6000</v>
      </c>
      <c r="N998" s="6">
        <f t="shared" si="204"/>
        <v>0</v>
      </c>
      <c r="O998" s="6">
        <f t="shared" si="203"/>
        <v>6000</v>
      </c>
      <c r="P998" s="6">
        <v>6000</v>
      </c>
      <c r="Q998" s="6">
        <v>0</v>
      </c>
      <c r="R998" s="6">
        <f t="shared" si="192"/>
        <v>0</v>
      </c>
      <c r="T998"/>
    </row>
    <row r="999" spans="2:22" s="5" customFormat="1" x14ac:dyDescent="0.3">
      <c r="B999" s="5" t="s">
        <v>16</v>
      </c>
      <c r="C999" s="5" t="s">
        <v>1706</v>
      </c>
      <c r="D999" s="5" t="s">
        <v>1698</v>
      </c>
      <c r="E999" s="5" t="s">
        <v>581</v>
      </c>
      <c r="F999" s="5" t="s">
        <v>1656</v>
      </c>
      <c r="G999" s="5" t="s">
        <v>1699</v>
      </c>
      <c r="H999" s="6">
        <f t="shared" si="198"/>
        <v>2</v>
      </c>
      <c r="I999" s="6">
        <f t="shared" si="202"/>
        <v>4200</v>
      </c>
      <c r="J999" s="6">
        <v>798</v>
      </c>
      <c r="K999" s="6">
        <v>0</v>
      </c>
      <c r="L999" s="6">
        <v>0</v>
      </c>
      <c r="M999" s="6">
        <f t="shared" si="201"/>
        <v>4202</v>
      </c>
      <c r="N999" s="6">
        <f t="shared" si="204"/>
        <v>798</v>
      </c>
      <c r="O999" s="6">
        <f t="shared" si="203"/>
        <v>5000</v>
      </c>
      <c r="P999" s="6">
        <v>5000</v>
      </c>
      <c r="Q999" s="6">
        <v>0</v>
      </c>
      <c r="R999" s="6">
        <f t="shared" si="192"/>
        <v>0</v>
      </c>
      <c r="T999"/>
    </row>
    <row r="1000" spans="2:22" s="5" customFormat="1" x14ac:dyDescent="0.3">
      <c r="B1000" s="5" t="s">
        <v>16</v>
      </c>
      <c r="C1000" s="5" t="s">
        <v>1707</v>
      </c>
      <c r="D1000" s="5" t="s">
        <v>1698</v>
      </c>
      <c r="E1000" s="5" t="s">
        <v>84</v>
      </c>
      <c r="F1000" s="5" t="s">
        <v>1656</v>
      </c>
      <c r="G1000" s="5" t="s">
        <v>1699</v>
      </c>
      <c r="H1000" s="6">
        <f t="shared" si="198"/>
        <v>286.78947368421041</v>
      </c>
      <c r="I1000" s="6">
        <f t="shared" si="202"/>
        <v>2784.2105263157896</v>
      </c>
      <c r="J1000" s="6">
        <v>529</v>
      </c>
      <c r="K1000" s="6">
        <v>0</v>
      </c>
      <c r="L1000" s="6">
        <v>0</v>
      </c>
      <c r="M1000" s="6">
        <f t="shared" si="201"/>
        <v>3071</v>
      </c>
      <c r="N1000" s="6">
        <f t="shared" si="204"/>
        <v>529</v>
      </c>
      <c r="O1000" s="6">
        <f t="shared" si="203"/>
        <v>3600</v>
      </c>
      <c r="P1000" s="6">
        <v>3600</v>
      </c>
      <c r="Q1000" s="6">
        <v>0</v>
      </c>
      <c r="R1000" s="6">
        <f t="shared" si="192"/>
        <v>0</v>
      </c>
      <c r="T1000"/>
    </row>
    <row r="1001" spans="2:22" s="5" customFormat="1" x14ac:dyDescent="0.3">
      <c r="B1001" s="5" t="s">
        <v>16</v>
      </c>
      <c r="C1001" s="5" t="s">
        <v>1708</v>
      </c>
      <c r="D1001" s="5" t="s">
        <v>1698</v>
      </c>
      <c r="E1001" s="5" t="s">
        <v>767</v>
      </c>
      <c r="F1001" s="5" t="s">
        <v>1656</v>
      </c>
      <c r="G1001" s="5" t="s">
        <v>1699</v>
      </c>
      <c r="H1001" s="6">
        <f t="shared" si="198"/>
        <v>1521.2105263157882</v>
      </c>
      <c r="I1001" s="6">
        <f t="shared" si="202"/>
        <v>8515.7894736842118</v>
      </c>
      <c r="J1001" s="6">
        <v>1618</v>
      </c>
      <c r="K1001" s="6">
        <v>0</v>
      </c>
      <c r="L1001" s="6">
        <v>0</v>
      </c>
      <c r="M1001" s="6">
        <f t="shared" si="201"/>
        <v>10037</v>
      </c>
      <c r="N1001" s="6">
        <f t="shared" si="204"/>
        <v>1618</v>
      </c>
      <c r="O1001" s="6">
        <f t="shared" si="203"/>
        <v>11655</v>
      </c>
      <c r="P1001" s="6">
        <v>11655</v>
      </c>
      <c r="Q1001" s="6">
        <v>0</v>
      </c>
      <c r="R1001" s="6">
        <f t="shared" si="192"/>
        <v>0</v>
      </c>
      <c r="S1001" s="7"/>
      <c r="T1001"/>
    </row>
    <row r="1002" spans="2:22" s="5" customFormat="1" x14ac:dyDescent="0.3">
      <c r="B1002" s="5" t="s">
        <v>16</v>
      </c>
      <c r="C1002" s="5" t="s">
        <v>1709</v>
      </c>
      <c r="D1002" s="5" t="s">
        <v>1698</v>
      </c>
      <c r="E1002" s="5" t="s">
        <v>636</v>
      </c>
      <c r="F1002" s="5" t="s">
        <v>1656</v>
      </c>
      <c r="G1002" s="5" t="s">
        <v>1699</v>
      </c>
      <c r="H1002" s="6">
        <f t="shared" si="198"/>
        <v>490.94736842105294</v>
      </c>
      <c r="I1002" s="6">
        <f t="shared" si="202"/>
        <v>3621.0526315789471</v>
      </c>
      <c r="J1002" s="6">
        <v>688</v>
      </c>
      <c r="K1002" s="6">
        <v>0</v>
      </c>
      <c r="L1002" s="6">
        <v>0</v>
      </c>
      <c r="M1002" s="6">
        <f t="shared" si="201"/>
        <v>4112</v>
      </c>
      <c r="N1002" s="6">
        <f t="shared" si="204"/>
        <v>688</v>
      </c>
      <c r="O1002" s="6">
        <f t="shared" si="203"/>
        <v>4800</v>
      </c>
      <c r="P1002" s="6">
        <v>4800</v>
      </c>
      <c r="Q1002" s="6">
        <v>0</v>
      </c>
      <c r="R1002" s="6">
        <f t="shared" si="192"/>
        <v>0</v>
      </c>
      <c r="T1002"/>
    </row>
    <row r="1003" spans="2:22" s="5" customFormat="1" x14ac:dyDescent="0.3">
      <c r="B1003" s="5" t="s">
        <v>16</v>
      </c>
      <c r="C1003" s="5" t="s">
        <v>1710</v>
      </c>
      <c r="D1003" s="5" t="s">
        <v>1698</v>
      </c>
      <c r="E1003" s="5" t="s">
        <v>117</v>
      </c>
      <c r="F1003" s="5" t="s">
        <v>1656</v>
      </c>
      <c r="G1003" s="5" t="s">
        <v>1699</v>
      </c>
      <c r="H1003" s="6">
        <f t="shared" si="198"/>
        <v>6.9999999999993179E-2</v>
      </c>
      <c r="I1003" s="6">
        <f t="shared" si="202"/>
        <v>1347</v>
      </c>
      <c r="J1003" s="6">
        <v>255.93</v>
      </c>
      <c r="K1003" s="6">
        <v>0</v>
      </c>
      <c r="L1003" s="6">
        <v>0</v>
      </c>
      <c r="M1003" s="6">
        <f t="shared" si="201"/>
        <v>1347.07</v>
      </c>
      <c r="N1003" s="6">
        <f t="shared" si="204"/>
        <v>255.93</v>
      </c>
      <c r="O1003" s="6">
        <f t="shared" si="203"/>
        <v>1603</v>
      </c>
      <c r="P1003" s="6">
        <v>1603</v>
      </c>
      <c r="Q1003" s="6">
        <v>0</v>
      </c>
      <c r="R1003" s="6">
        <f t="shared" si="192"/>
        <v>0</v>
      </c>
      <c r="T1003"/>
    </row>
    <row r="1004" spans="2:22" s="5" customFormat="1" x14ac:dyDescent="0.3">
      <c r="B1004" s="5" t="s">
        <v>16</v>
      </c>
      <c r="C1004" s="5" t="s">
        <v>1711</v>
      </c>
      <c r="D1004" s="5" t="s">
        <v>1698</v>
      </c>
      <c r="E1004" s="5" t="s">
        <v>152</v>
      </c>
      <c r="F1004" s="5" t="s">
        <v>1656</v>
      </c>
      <c r="G1004" s="5" t="s">
        <v>1699</v>
      </c>
      <c r="H1004" s="6">
        <f t="shared" si="198"/>
        <v>6837.6842105263204</v>
      </c>
      <c r="I1004" s="6">
        <f t="shared" si="202"/>
        <v>36426.31578947368</v>
      </c>
      <c r="J1004" s="6">
        <v>6921</v>
      </c>
      <c r="K1004" s="6">
        <v>0</v>
      </c>
      <c r="L1004" s="6">
        <v>0</v>
      </c>
      <c r="M1004" s="6">
        <f t="shared" si="201"/>
        <v>43264</v>
      </c>
      <c r="N1004" s="6">
        <f t="shared" si="204"/>
        <v>6921</v>
      </c>
      <c r="O1004" s="6">
        <f t="shared" si="203"/>
        <v>50185</v>
      </c>
      <c r="P1004" s="6">
        <v>50185</v>
      </c>
      <c r="Q1004" s="6">
        <v>0</v>
      </c>
      <c r="R1004" s="6">
        <f t="shared" si="192"/>
        <v>0</v>
      </c>
      <c r="T1004"/>
    </row>
    <row r="1005" spans="2:22" s="5" customFormat="1" x14ac:dyDescent="0.3">
      <c r="B1005" s="5" t="s">
        <v>16</v>
      </c>
      <c r="C1005" s="5" t="s">
        <v>1712</v>
      </c>
      <c r="D1005" s="5" t="s">
        <v>1698</v>
      </c>
      <c r="E1005" s="5" t="s">
        <v>1713</v>
      </c>
      <c r="F1005" s="5" t="s">
        <v>1656</v>
      </c>
      <c r="G1005" s="5" t="s">
        <v>1699</v>
      </c>
      <c r="H1005" s="6">
        <f t="shared" si="198"/>
        <v>6839.8947368421032</v>
      </c>
      <c r="I1005" s="6">
        <f t="shared" si="202"/>
        <v>32642.105263157897</v>
      </c>
      <c r="J1005" s="6">
        <v>6202</v>
      </c>
      <c r="K1005" s="6">
        <v>0</v>
      </c>
      <c r="L1005" s="6">
        <v>0</v>
      </c>
      <c r="M1005" s="6">
        <f t="shared" si="201"/>
        <v>39482</v>
      </c>
      <c r="N1005" s="6">
        <f t="shared" si="204"/>
        <v>6202</v>
      </c>
      <c r="O1005" s="6">
        <f t="shared" si="203"/>
        <v>45684</v>
      </c>
      <c r="P1005" s="6">
        <v>45684</v>
      </c>
      <c r="Q1005" s="6">
        <v>0</v>
      </c>
      <c r="R1005" s="6">
        <f t="shared" si="192"/>
        <v>0</v>
      </c>
      <c r="T1005"/>
    </row>
    <row r="1006" spans="2:22" s="5" customFormat="1" x14ac:dyDescent="0.3">
      <c r="B1006" s="5" t="s">
        <v>16</v>
      </c>
      <c r="C1006" s="5" t="s">
        <v>1714</v>
      </c>
      <c r="D1006" s="5" t="s">
        <v>1698</v>
      </c>
      <c r="E1006" s="5" t="s">
        <v>1713</v>
      </c>
      <c r="F1006" s="5" t="s">
        <v>1656</v>
      </c>
      <c r="G1006" s="5" t="s">
        <v>1699</v>
      </c>
      <c r="H1006" s="6">
        <f t="shared" si="198"/>
        <v>1.1052631578941146</v>
      </c>
      <c r="I1006" s="6">
        <f t="shared" si="202"/>
        <v>5857.8947368421059</v>
      </c>
      <c r="J1006" s="6">
        <v>1113</v>
      </c>
      <c r="K1006" s="6">
        <v>0</v>
      </c>
      <c r="L1006" s="6">
        <v>0</v>
      </c>
      <c r="M1006" s="6">
        <f t="shared" si="201"/>
        <v>5859</v>
      </c>
      <c r="N1006" s="6">
        <f t="shared" si="204"/>
        <v>1113</v>
      </c>
      <c r="O1006" s="6">
        <f t="shared" si="203"/>
        <v>6972</v>
      </c>
      <c r="P1006" s="6">
        <v>6972</v>
      </c>
      <c r="Q1006" s="6">
        <v>0</v>
      </c>
      <c r="R1006" s="6">
        <f t="shared" si="192"/>
        <v>0</v>
      </c>
      <c r="T1006"/>
    </row>
    <row r="1007" spans="2:22" s="5" customFormat="1" x14ac:dyDescent="0.3">
      <c r="B1007" s="5" t="s">
        <v>16</v>
      </c>
      <c r="C1007" s="5" t="s">
        <v>1715</v>
      </c>
      <c r="D1007" s="5" t="s">
        <v>1698</v>
      </c>
      <c r="E1007" s="5" t="s">
        <v>859</v>
      </c>
      <c r="F1007" s="5" t="s">
        <v>1656</v>
      </c>
      <c r="G1007" s="5" t="s">
        <v>1699</v>
      </c>
      <c r="H1007" s="6">
        <f t="shared" si="198"/>
        <v>2</v>
      </c>
      <c r="I1007" s="6">
        <f t="shared" si="202"/>
        <v>24200</v>
      </c>
      <c r="J1007" s="6">
        <v>4598</v>
      </c>
      <c r="K1007" s="6">
        <v>0</v>
      </c>
      <c r="L1007" s="6">
        <v>0</v>
      </c>
      <c r="M1007" s="6">
        <f t="shared" si="201"/>
        <v>24202</v>
      </c>
      <c r="N1007" s="6">
        <f t="shared" si="204"/>
        <v>4598</v>
      </c>
      <c r="O1007" s="6">
        <f t="shared" si="203"/>
        <v>28800</v>
      </c>
      <c r="P1007" s="6">
        <v>28800</v>
      </c>
      <c r="Q1007" s="6">
        <v>0</v>
      </c>
      <c r="R1007" s="6">
        <f t="shared" si="192"/>
        <v>0</v>
      </c>
      <c r="S1007" s="7"/>
      <c r="T1007"/>
    </row>
    <row r="1008" spans="2:22" s="5" customFormat="1" x14ac:dyDescent="0.3">
      <c r="B1008" s="5" t="s">
        <v>16</v>
      </c>
      <c r="C1008" s="5" t="s">
        <v>1716</v>
      </c>
      <c r="D1008" s="5" t="s">
        <v>1698</v>
      </c>
      <c r="E1008" s="5" t="s">
        <v>859</v>
      </c>
      <c r="F1008" s="5" t="s">
        <v>1656</v>
      </c>
      <c r="G1008" s="5" t="s">
        <v>1699</v>
      </c>
      <c r="H1008" s="6">
        <f t="shared" si="198"/>
        <v>1.8947368421049759</v>
      </c>
      <c r="I1008" s="6">
        <f t="shared" si="202"/>
        <v>11342.105263157895</v>
      </c>
      <c r="J1008" s="6">
        <v>2155</v>
      </c>
      <c r="K1008" s="6">
        <v>0</v>
      </c>
      <c r="L1008" s="6">
        <v>0</v>
      </c>
      <c r="M1008" s="6">
        <f t="shared" si="201"/>
        <v>11344</v>
      </c>
      <c r="N1008" s="6">
        <f t="shared" si="204"/>
        <v>2155</v>
      </c>
      <c r="O1008" s="6">
        <f t="shared" si="203"/>
        <v>13499</v>
      </c>
      <c r="P1008" s="6">
        <v>13499</v>
      </c>
      <c r="Q1008" s="6">
        <v>0</v>
      </c>
      <c r="R1008" s="6">
        <f t="shared" si="192"/>
        <v>0</v>
      </c>
      <c r="T1008"/>
    </row>
    <row r="1009" spans="2:22" s="5" customFormat="1" x14ac:dyDescent="0.3">
      <c r="B1009" s="5" t="s">
        <v>16</v>
      </c>
      <c r="C1009" s="5" t="s">
        <v>1717</v>
      </c>
      <c r="D1009" s="5" t="s">
        <v>1698</v>
      </c>
      <c r="E1009" s="5" t="s">
        <v>585</v>
      </c>
      <c r="F1009" s="5" t="s">
        <v>1656</v>
      </c>
      <c r="G1009" s="5" t="s">
        <v>1699</v>
      </c>
      <c r="H1009" s="6">
        <f t="shared" si="198"/>
        <v>286.78947368421041</v>
      </c>
      <c r="I1009" s="6">
        <f t="shared" si="202"/>
        <v>2784.2105263157896</v>
      </c>
      <c r="J1009" s="6">
        <v>529</v>
      </c>
      <c r="K1009" s="6">
        <v>0</v>
      </c>
      <c r="L1009" s="6">
        <v>0</v>
      </c>
      <c r="M1009" s="6">
        <f t="shared" si="201"/>
        <v>3071</v>
      </c>
      <c r="N1009" s="6">
        <f t="shared" si="204"/>
        <v>529</v>
      </c>
      <c r="O1009" s="6">
        <f t="shared" si="203"/>
        <v>3600</v>
      </c>
      <c r="P1009" s="6">
        <v>3600</v>
      </c>
      <c r="Q1009" s="6">
        <v>0</v>
      </c>
      <c r="R1009" s="6">
        <f t="shared" si="192"/>
        <v>0</v>
      </c>
      <c r="T1009"/>
    </row>
    <row r="1010" spans="2:22" s="5" customFormat="1" x14ac:dyDescent="0.3">
      <c r="B1010" s="5" t="s">
        <v>16</v>
      </c>
      <c r="C1010" s="5" t="s">
        <v>1718</v>
      </c>
      <c r="D1010" s="5" t="s">
        <v>1698</v>
      </c>
      <c r="E1010" s="5" t="s">
        <v>94</v>
      </c>
      <c r="F1010" s="5" t="s">
        <v>1656</v>
      </c>
      <c r="G1010" s="5" t="s">
        <v>1699</v>
      </c>
      <c r="H1010" s="6">
        <f t="shared" si="198"/>
        <v>8000</v>
      </c>
      <c r="I1010" s="6">
        <f t="shared" si="202"/>
        <v>0</v>
      </c>
      <c r="J1010" s="6">
        <v>0</v>
      </c>
      <c r="K1010" s="6">
        <v>0</v>
      </c>
      <c r="L1010" s="6">
        <v>0</v>
      </c>
      <c r="M1010" s="6">
        <f t="shared" si="201"/>
        <v>8000</v>
      </c>
      <c r="N1010" s="6">
        <f t="shared" si="204"/>
        <v>0</v>
      </c>
      <c r="O1010" s="6">
        <f t="shared" si="203"/>
        <v>8000</v>
      </c>
      <c r="P1010" s="6">
        <v>8000</v>
      </c>
      <c r="Q1010" s="6">
        <v>0</v>
      </c>
      <c r="R1010" s="6">
        <f t="shared" si="192"/>
        <v>0</v>
      </c>
      <c r="T1010"/>
    </row>
    <row r="1011" spans="2:22" s="9" customFormat="1" x14ac:dyDescent="0.3">
      <c r="B1011" s="5" t="s">
        <v>16</v>
      </c>
      <c r="C1011" s="5" t="s">
        <v>1719</v>
      </c>
      <c r="D1011" s="5" t="s">
        <v>1698</v>
      </c>
      <c r="E1011" s="5" t="s">
        <v>64</v>
      </c>
      <c r="F1011" s="5" t="s">
        <v>1656</v>
      </c>
      <c r="G1011" s="5" t="s">
        <v>1699</v>
      </c>
      <c r="H1011" s="6">
        <f t="shared" si="198"/>
        <v>2006.894736842105</v>
      </c>
      <c r="I1011" s="6">
        <f t="shared" si="202"/>
        <v>12142.105263157895</v>
      </c>
      <c r="J1011" s="6">
        <v>2307</v>
      </c>
      <c r="K1011" s="6">
        <v>0</v>
      </c>
      <c r="L1011" s="6">
        <v>0</v>
      </c>
      <c r="M1011" s="6">
        <f t="shared" si="201"/>
        <v>14149</v>
      </c>
      <c r="N1011" s="6">
        <f t="shared" si="204"/>
        <v>2307</v>
      </c>
      <c r="O1011" s="6">
        <f t="shared" si="203"/>
        <v>16456</v>
      </c>
      <c r="P1011" s="6">
        <v>16456</v>
      </c>
      <c r="Q1011" s="6">
        <v>0</v>
      </c>
      <c r="R1011" s="6">
        <f t="shared" si="192"/>
        <v>0</v>
      </c>
      <c r="S1011" s="5"/>
      <c r="T1011"/>
      <c r="U1011" s="5"/>
      <c r="V1011" s="5"/>
    </row>
    <row r="1012" spans="2:22" s="5" customFormat="1" x14ac:dyDescent="0.3">
      <c r="B1012" s="5" t="s">
        <v>16</v>
      </c>
      <c r="C1012" s="5" t="s">
        <v>1720</v>
      </c>
      <c r="D1012" s="5" t="s">
        <v>1698</v>
      </c>
      <c r="E1012" s="5" t="s">
        <v>64</v>
      </c>
      <c r="F1012" s="5" t="s">
        <v>1656</v>
      </c>
      <c r="G1012" s="5" t="s">
        <v>1699</v>
      </c>
      <c r="H1012" s="6">
        <f t="shared" si="198"/>
        <v>-1.8421052631583734</v>
      </c>
      <c r="I1012" s="6">
        <f t="shared" si="202"/>
        <v>16136.842105263158</v>
      </c>
      <c r="J1012" s="6">
        <v>3066</v>
      </c>
      <c r="K1012" s="6">
        <v>0</v>
      </c>
      <c r="L1012" s="6">
        <v>0</v>
      </c>
      <c r="M1012" s="6">
        <f t="shared" si="201"/>
        <v>16135</v>
      </c>
      <c r="N1012" s="6">
        <f t="shared" si="204"/>
        <v>3066</v>
      </c>
      <c r="O1012" s="6">
        <f t="shared" si="203"/>
        <v>19201</v>
      </c>
      <c r="P1012" s="6">
        <v>19201</v>
      </c>
      <c r="Q1012" s="6">
        <v>0</v>
      </c>
      <c r="R1012" s="6">
        <f t="shared" ref="R1012:R1075" si="205">+Q1012*2.5/100</f>
        <v>0</v>
      </c>
      <c r="T1012"/>
    </row>
    <row r="1013" spans="2:22" s="5" customFormat="1" x14ac:dyDescent="0.3">
      <c r="B1013" s="5" t="s">
        <v>16</v>
      </c>
      <c r="C1013" s="5" t="s">
        <v>1721</v>
      </c>
      <c r="D1013" s="5" t="s">
        <v>1698</v>
      </c>
      <c r="E1013" s="5" t="s">
        <v>56</v>
      </c>
      <c r="F1013" s="5" t="s">
        <v>1656</v>
      </c>
      <c r="G1013" s="5" t="s">
        <v>1699</v>
      </c>
      <c r="H1013" s="6">
        <f t="shared" si="198"/>
        <v>6838</v>
      </c>
      <c r="I1013" s="6">
        <f t="shared" si="202"/>
        <v>41100</v>
      </c>
      <c r="J1013" s="6">
        <v>7809</v>
      </c>
      <c r="K1013" s="6">
        <v>0</v>
      </c>
      <c r="L1013" s="6">
        <v>0</v>
      </c>
      <c r="M1013" s="6">
        <f t="shared" si="201"/>
        <v>47938</v>
      </c>
      <c r="N1013" s="6">
        <f t="shared" si="204"/>
        <v>7809</v>
      </c>
      <c r="O1013" s="6">
        <f t="shared" si="203"/>
        <v>55747</v>
      </c>
      <c r="P1013" s="6">
        <v>55747</v>
      </c>
      <c r="Q1013" s="6">
        <v>0</v>
      </c>
      <c r="R1013" s="6">
        <f t="shared" si="205"/>
        <v>0</v>
      </c>
      <c r="T1013"/>
    </row>
    <row r="1014" spans="2:22" s="5" customFormat="1" x14ac:dyDescent="0.3">
      <c r="B1014" s="5" t="s">
        <v>16</v>
      </c>
      <c r="C1014" s="5" t="s">
        <v>1722</v>
      </c>
      <c r="D1014" s="5" t="s">
        <v>1698</v>
      </c>
      <c r="E1014" s="5" t="s">
        <v>98</v>
      </c>
      <c r="F1014" s="5" t="s">
        <v>1656</v>
      </c>
      <c r="G1014" s="5" t="s">
        <v>1699</v>
      </c>
      <c r="H1014" s="6">
        <f t="shared" si="198"/>
        <v>490.94736842105294</v>
      </c>
      <c r="I1014" s="6">
        <f t="shared" si="202"/>
        <v>3621.0526315789471</v>
      </c>
      <c r="J1014" s="6">
        <v>688</v>
      </c>
      <c r="K1014" s="6">
        <v>0</v>
      </c>
      <c r="L1014" s="6">
        <v>0</v>
      </c>
      <c r="M1014" s="6">
        <f t="shared" si="201"/>
        <v>4112</v>
      </c>
      <c r="N1014" s="6">
        <f t="shared" si="204"/>
        <v>688</v>
      </c>
      <c r="O1014" s="6">
        <f t="shared" si="203"/>
        <v>4800</v>
      </c>
      <c r="P1014" s="6">
        <v>4800</v>
      </c>
      <c r="Q1014" s="6">
        <v>0</v>
      </c>
      <c r="R1014" s="6">
        <f t="shared" si="205"/>
        <v>0</v>
      </c>
      <c r="T1014"/>
    </row>
    <row r="1015" spans="2:22" s="5" customFormat="1" x14ac:dyDescent="0.3">
      <c r="B1015" s="5" t="s">
        <v>16</v>
      </c>
      <c r="C1015" s="5" t="s">
        <v>1723</v>
      </c>
      <c r="D1015" s="5" t="s">
        <v>1698</v>
      </c>
      <c r="E1015" s="5" t="s">
        <v>515</v>
      </c>
      <c r="F1015" s="5" t="s">
        <v>1656</v>
      </c>
      <c r="G1015" s="5" t="s">
        <v>1699</v>
      </c>
      <c r="H1015" s="6">
        <f t="shared" si="198"/>
        <v>6000</v>
      </c>
      <c r="I1015" s="6">
        <f t="shared" si="202"/>
        <v>0</v>
      </c>
      <c r="J1015" s="6">
        <v>0</v>
      </c>
      <c r="K1015" s="6">
        <v>0</v>
      </c>
      <c r="L1015" s="6">
        <v>0</v>
      </c>
      <c r="M1015" s="6">
        <f t="shared" si="201"/>
        <v>6000</v>
      </c>
      <c r="N1015" s="6">
        <f t="shared" si="204"/>
        <v>0</v>
      </c>
      <c r="O1015" s="6">
        <f t="shared" si="203"/>
        <v>6000</v>
      </c>
      <c r="P1015" s="6">
        <v>6000</v>
      </c>
      <c r="Q1015" s="6">
        <v>0</v>
      </c>
      <c r="R1015" s="6">
        <f t="shared" si="205"/>
        <v>0</v>
      </c>
      <c r="T1015"/>
    </row>
    <row r="1016" spans="2:22" s="5" customFormat="1" x14ac:dyDescent="0.3">
      <c r="B1016" s="5" t="s">
        <v>16</v>
      </c>
      <c r="C1016" s="5" t="s">
        <v>1724</v>
      </c>
      <c r="D1016" s="5" t="s">
        <v>1698</v>
      </c>
      <c r="E1016" s="5" t="s">
        <v>1521</v>
      </c>
      <c r="F1016" s="5" t="s">
        <v>1656</v>
      </c>
      <c r="G1016" s="5" t="s">
        <v>1699</v>
      </c>
      <c r="H1016" s="6">
        <f t="shared" si="198"/>
        <v>286.78947368421041</v>
      </c>
      <c r="I1016" s="6">
        <f t="shared" si="202"/>
        <v>2784.2105263157896</v>
      </c>
      <c r="J1016" s="6">
        <v>529</v>
      </c>
      <c r="K1016" s="6">
        <v>0</v>
      </c>
      <c r="L1016" s="6">
        <v>0</v>
      </c>
      <c r="M1016" s="6">
        <f t="shared" si="201"/>
        <v>3071</v>
      </c>
      <c r="N1016" s="6">
        <f t="shared" si="204"/>
        <v>529</v>
      </c>
      <c r="O1016" s="6">
        <f t="shared" si="203"/>
        <v>3600</v>
      </c>
      <c r="P1016" s="6">
        <v>3600</v>
      </c>
      <c r="Q1016" s="6">
        <v>0</v>
      </c>
      <c r="R1016" s="6">
        <f t="shared" si="205"/>
        <v>0</v>
      </c>
      <c r="T1016"/>
    </row>
    <row r="1017" spans="2:22" s="5" customFormat="1" x14ac:dyDescent="0.3">
      <c r="B1017" s="5" t="s">
        <v>16</v>
      </c>
      <c r="C1017" s="5" t="s">
        <v>1725</v>
      </c>
      <c r="D1017" s="5" t="s">
        <v>1698</v>
      </c>
      <c r="E1017" s="5" t="s">
        <v>1726</v>
      </c>
      <c r="F1017" s="5" t="s">
        <v>1656</v>
      </c>
      <c r="G1017" s="5" t="s">
        <v>1699</v>
      </c>
      <c r="H1017" s="6">
        <f t="shared" si="198"/>
        <v>6839.736842105267</v>
      </c>
      <c r="I1017" s="6">
        <f t="shared" si="202"/>
        <v>40205.263157894733</v>
      </c>
      <c r="J1017" s="6">
        <v>7639</v>
      </c>
      <c r="K1017" s="6">
        <v>0</v>
      </c>
      <c r="L1017" s="6">
        <v>0</v>
      </c>
      <c r="M1017" s="6">
        <f t="shared" si="201"/>
        <v>47045</v>
      </c>
      <c r="N1017" s="6">
        <f t="shared" si="204"/>
        <v>7639</v>
      </c>
      <c r="O1017" s="6">
        <f t="shared" si="203"/>
        <v>54684</v>
      </c>
      <c r="P1017" s="6">
        <v>54684</v>
      </c>
      <c r="Q1017" s="6">
        <v>0</v>
      </c>
      <c r="R1017" s="6">
        <f t="shared" si="205"/>
        <v>0</v>
      </c>
      <c r="T1017"/>
    </row>
    <row r="1018" spans="2:22" s="5" customFormat="1" x14ac:dyDescent="0.3">
      <c r="B1018" s="5" t="s">
        <v>16</v>
      </c>
      <c r="C1018" s="5" t="s">
        <v>1727</v>
      </c>
      <c r="D1018" s="5" t="s">
        <v>1698</v>
      </c>
      <c r="E1018" s="5" t="s">
        <v>1726</v>
      </c>
      <c r="F1018" s="5" t="s">
        <v>1656</v>
      </c>
      <c r="G1018" s="5" t="s">
        <v>1699</v>
      </c>
      <c r="H1018" s="6">
        <f t="shared" si="198"/>
        <v>2</v>
      </c>
      <c r="I1018" s="6">
        <f t="shared" si="202"/>
        <v>4200</v>
      </c>
      <c r="J1018" s="6">
        <v>798</v>
      </c>
      <c r="K1018" s="6">
        <v>0</v>
      </c>
      <c r="L1018" s="6">
        <v>0</v>
      </c>
      <c r="M1018" s="6">
        <f t="shared" si="201"/>
        <v>4202</v>
      </c>
      <c r="N1018" s="6">
        <f t="shared" si="204"/>
        <v>798</v>
      </c>
      <c r="O1018" s="6">
        <f t="shared" si="203"/>
        <v>5000</v>
      </c>
      <c r="P1018" s="6">
        <v>5000</v>
      </c>
      <c r="Q1018" s="6">
        <v>0</v>
      </c>
      <c r="R1018" s="6">
        <f t="shared" si="205"/>
        <v>0</v>
      </c>
      <c r="T1018"/>
    </row>
    <row r="1019" spans="2:22" s="5" customFormat="1" x14ac:dyDescent="0.3">
      <c r="B1019" s="5" t="s">
        <v>16</v>
      </c>
      <c r="C1019" s="5" t="s">
        <v>1728</v>
      </c>
      <c r="D1019" s="5" t="s">
        <v>1698</v>
      </c>
      <c r="E1019" s="5" t="s">
        <v>1555</v>
      </c>
      <c r="F1019" s="5" t="s">
        <v>1656</v>
      </c>
      <c r="G1019" s="5" t="s">
        <v>1699</v>
      </c>
      <c r="H1019" s="6">
        <f t="shared" si="198"/>
        <v>20519.210526315786</v>
      </c>
      <c r="I1019" s="6">
        <f t="shared" si="202"/>
        <v>120615.78947368421</v>
      </c>
      <c r="J1019" s="6">
        <v>22917</v>
      </c>
      <c r="K1019" s="6">
        <v>0</v>
      </c>
      <c r="L1019" s="6">
        <v>0</v>
      </c>
      <c r="M1019" s="6">
        <f t="shared" si="201"/>
        <v>141135</v>
      </c>
      <c r="N1019" s="6">
        <f t="shared" si="204"/>
        <v>22917</v>
      </c>
      <c r="O1019" s="6">
        <f t="shared" si="203"/>
        <v>164052</v>
      </c>
      <c r="P1019" s="6">
        <v>164052</v>
      </c>
      <c r="Q1019" s="6">
        <v>0</v>
      </c>
      <c r="R1019" s="6">
        <f t="shared" si="205"/>
        <v>0</v>
      </c>
      <c r="T1019"/>
      <c r="U1019"/>
      <c r="V1019"/>
    </row>
    <row r="1020" spans="2:22" s="5" customFormat="1" x14ac:dyDescent="0.3">
      <c r="B1020" s="5" t="s">
        <v>16</v>
      </c>
      <c r="C1020" s="5" t="s">
        <v>1729</v>
      </c>
      <c r="D1020" s="5" t="s">
        <v>1698</v>
      </c>
      <c r="E1020" s="5" t="s">
        <v>413</v>
      </c>
      <c r="F1020" s="5" t="s">
        <v>1656</v>
      </c>
      <c r="G1020" s="5" t="s">
        <v>1699</v>
      </c>
      <c r="H1020" s="6">
        <f t="shared" si="198"/>
        <v>6838</v>
      </c>
      <c r="I1020" s="6">
        <f t="shared" si="202"/>
        <v>41100</v>
      </c>
      <c r="J1020" s="6">
        <v>7809</v>
      </c>
      <c r="K1020" s="6">
        <v>0</v>
      </c>
      <c r="L1020" s="6">
        <v>0</v>
      </c>
      <c r="M1020" s="6">
        <f t="shared" si="201"/>
        <v>47938</v>
      </c>
      <c r="N1020" s="6">
        <f t="shared" si="204"/>
        <v>7809</v>
      </c>
      <c r="O1020" s="6">
        <f t="shared" si="203"/>
        <v>55747</v>
      </c>
      <c r="P1020" s="6">
        <v>55747</v>
      </c>
      <c r="Q1020" s="6">
        <v>0</v>
      </c>
      <c r="R1020" s="6">
        <f t="shared" si="205"/>
        <v>0</v>
      </c>
      <c r="T1020"/>
      <c r="U1020"/>
      <c r="V1020"/>
    </row>
    <row r="1021" spans="2:22" s="5" customFormat="1" x14ac:dyDescent="0.3">
      <c r="B1021" s="5" t="s">
        <v>16</v>
      </c>
      <c r="C1021" s="5" t="s">
        <v>1730</v>
      </c>
      <c r="D1021" s="5" t="s">
        <v>1698</v>
      </c>
      <c r="E1021" s="5" t="s">
        <v>212</v>
      </c>
      <c r="F1021" s="5" t="s">
        <v>1656</v>
      </c>
      <c r="G1021" s="5" t="s">
        <v>1699</v>
      </c>
      <c r="H1021" s="6">
        <f t="shared" si="198"/>
        <v>-2.0526315789466025</v>
      </c>
      <c r="I1021" s="6">
        <f t="shared" si="202"/>
        <v>26221.052631578947</v>
      </c>
      <c r="J1021" s="6">
        <v>4982</v>
      </c>
      <c r="K1021" s="6">
        <v>0</v>
      </c>
      <c r="L1021" s="6">
        <v>0</v>
      </c>
      <c r="M1021" s="6">
        <f t="shared" si="201"/>
        <v>26219</v>
      </c>
      <c r="N1021" s="6">
        <f t="shared" si="204"/>
        <v>4982</v>
      </c>
      <c r="O1021" s="6">
        <f t="shared" si="203"/>
        <v>31201</v>
      </c>
      <c r="P1021" s="6">
        <v>31201</v>
      </c>
      <c r="Q1021" s="6">
        <v>0</v>
      </c>
      <c r="R1021" s="6">
        <f t="shared" si="205"/>
        <v>0</v>
      </c>
      <c r="S1021"/>
      <c r="T1021"/>
    </row>
    <row r="1022" spans="2:22" s="5" customFormat="1" x14ac:dyDescent="0.3">
      <c r="B1022" s="5" t="s">
        <v>16</v>
      </c>
      <c r="C1022" s="5" t="s">
        <v>1731</v>
      </c>
      <c r="D1022" s="5" t="s">
        <v>1698</v>
      </c>
      <c r="E1022" s="5" t="s">
        <v>1314</v>
      </c>
      <c r="F1022" s="5" t="s">
        <v>1656</v>
      </c>
      <c r="G1022" s="5" t="s">
        <v>1699</v>
      </c>
      <c r="H1022" s="6">
        <f t="shared" si="198"/>
        <v>4562.4210526315765</v>
      </c>
      <c r="I1022" s="6">
        <f t="shared" si="202"/>
        <v>23531.578947368424</v>
      </c>
      <c r="J1022" s="6">
        <v>4471</v>
      </c>
      <c r="K1022" s="6">
        <v>0</v>
      </c>
      <c r="L1022" s="6">
        <v>0</v>
      </c>
      <c r="M1022" s="6">
        <f t="shared" si="201"/>
        <v>28094</v>
      </c>
      <c r="N1022" s="6">
        <f t="shared" si="204"/>
        <v>4471</v>
      </c>
      <c r="O1022" s="6">
        <f t="shared" si="203"/>
        <v>32565</v>
      </c>
      <c r="P1022" s="6">
        <v>32565</v>
      </c>
      <c r="Q1022" s="6">
        <v>0</v>
      </c>
      <c r="R1022" s="6">
        <f t="shared" si="205"/>
        <v>0</v>
      </c>
      <c r="T1022"/>
    </row>
    <row r="1023" spans="2:22" s="5" customFormat="1" x14ac:dyDescent="0.3">
      <c r="B1023" s="5" t="s">
        <v>16</v>
      </c>
      <c r="C1023" s="5" t="s">
        <v>1732</v>
      </c>
      <c r="D1023" s="5" t="s">
        <v>1698</v>
      </c>
      <c r="E1023" s="5" t="s">
        <v>1314</v>
      </c>
      <c r="F1023" s="5" t="s">
        <v>1656</v>
      </c>
      <c r="G1023" s="5" t="s">
        <v>1699</v>
      </c>
      <c r="H1023" s="6">
        <f t="shared" si="198"/>
        <v>6000</v>
      </c>
      <c r="I1023" s="6">
        <f t="shared" si="202"/>
        <v>0</v>
      </c>
      <c r="J1023" s="6">
        <v>0</v>
      </c>
      <c r="K1023" s="6">
        <v>0</v>
      </c>
      <c r="L1023" s="6">
        <v>0</v>
      </c>
      <c r="M1023" s="6">
        <f t="shared" si="201"/>
        <v>6000</v>
      </c>
      <c r="N1023" s="6">
        <f t="shared" si="204"/>
        <v>0</v>
      </c>
      <c r="O1023" s="6">
        <f t="shared" si="203"/>
        <v>6000</v>
      </c>
      <c r="P1023" s="6">
        <v>6000</v>
      </c>
      <c r="Q1023" s="6">
        <v>0</v>
      </c>
      <c r="R1023" s="6">
        <f t="shared" si="205"/>
        <v>0</v>
      </c>
      <c r="T1023"/>
    </row>
    <row r="1024" spans="2:22" s="5" customFormat="1" x14ac:dyDescent="0.3">
      <c r="B1024" s="5" t="s">
        <v>16</v>
      </c>
      <c r="C1024" s="5" t="s">
        <v>1733</v>
      </c>
      <c r="D1024" s="5" t="s">
        <v>1698</v>
      </c>
      <c r="E1024" s="5" t="s">
        <v>610</v>
      </c>
      <c r="F1024" s="5" t="s">
        <v>1656</v>
      </c>
      <c r="G1024" s="5" t="s">
        <v>1699</v>
      </c>
      <c r="H1024" s="6">
        <f t="shared" si="198"/>
        <v>3417.4210526315783</v>
      </c>
      <c r="I1024" s="6">
        <f t="shared" si="202"/>
        <v>13631.578947368422</v>
      </c>
      <c r="J1024" s="6">
        <v>2590</v>
      </c>
      <c r="K1024" s="6">
        <v>0</v>
      </c>
      <c r="L1024" s="6">
        <v>0</v>
      </c>
      <c r="M1024" s="6">
        <f t="shared" si="201"/>
        <v>17049</v>
      </c>
      <c r="N1024" s="6">
        <f t="shared" si="204"/>
        <v>2590</v>
      </c>
      <c r="O1024" s="6">
        <f t="shared" si="203"/>
        <v>19639</v>
      </c>
      <c r="P1024" s="6">
        <v>19639</v>
      </c>
      <c r="Q1024" s="6">
        <v>0</v>
      </c>
      <c r="R1024" s="6">
        <f t="shared" si="205"/>
        <v>0</v>
      </c>
      <c r="T1024"/>
    </row>
    <row r="1025" spans="2:22" s="5" customFormat="1" x14ac:dyDescent="0.3">
      <c r="B1025" s="5" t="s">
        <v>16</v>
      </c>
      <c r="C1025" s="5" t="s">
        <v>1734</v>
      </c>
      <c r="D1025" s="5" t="s">
        <v>1698</v>
      </c>
      <c r="E1025" s="5" t="s">
        <v>610</v>
      </c>
      <c r="F1025" s="5" t="s">
        <v>1656</v>
      </c>
      <c r="G1025" s="5" t="s">
        <v>1699</v>
      </c>
      <c r="H1025" s="6">
        <f t="shared" si="198"/>
        <v>2</v>
      </c>
      <c r="I1025" s="6">
        <f t="shared" si="202"/>
        <v>6300</v>
      </c>
      <c r="J1025" s="6">
        <v>1197</v>
      </c>
      <c r="K1025" s="6">
        <v>0</v>
      </c>
      <c r="L1025" s="6">
        <v>0</v>
      </c>
      <c r="M1025" s="6">
        <f t="shared" si="201"/>
        <v>6302</v>
      </c>
      <c r="N1025" s="6">
        <f t="shared" si="204"/>
        <v>1197</v>
      </c>
      <c r="O1025" s="6">
        <f t="shared" si="203"/>
        <v>7499</v>
      </c>
      <c r="P1025" s="6">
        <v>7499</v>
      </c>
      <c r="Q1025" s="6">
        <v>0</v>
      </c>
      <c r="R1025" s="6">
        <f t="shared" si="205"/>
        <v>0</v>
      </c>
      <c r="T1025"/>
      <c r="U1025"/>
      <c r="V1025"/>
    </row>
    <row r="1026" spans="2:22" x14ac:dyDescent="0.3">
      <c r="B1026" s="5" t="s">
        <v>16</v>
      </c>
      <c r="C1026" s="5" t="s">
        <v>1735</v>
      </c>
      <c r="D1026" s="5" t="s">
        <v>1698</v>
      </c>
      <c r="E1026" s="5" t="s">
        <v>36</v>
      </c>
      <c r="F1026" s="5" t="s">
        <v>1656</v>
      </c>
      <c r="G1026" s="5" t="s">
        <v>1699</v>
      </c>
      <c r="H1026" s="6">
        <f t="shared" si="198"/>
        <v>0.73684210526334937</v>
      </c>
      <c r="I1026" s="6">
        <f t="shared" si="202"/>
        <v>23505.263157894737</v>
      </c>
      <c r="J1026" s="6">
        <v>4466</v>
      </c>
      <c r="K1026" s="6">
        <v>0</v>
      </c>
      <c r="L1026" s="6">
        <v>0</v>
      </c>
      <c r="M1026" s="6">
        <f t="shared" si="201"/>
        <v>23506</v>
      </c>
      <c r="N1026" s="6">
        <f t="shared" si="204"/>
        <v>4466</v>
      </c>
      <c r="O1026" s="6">
        <f t="shared" si="203"/>
        <v>27972</v>
      </c>
      <c r="P1026" s="6">
        <v>27972</v>
      </c>
      <c r="Q1026" s="6">
        <v>0</v>
      </c>
      <c r="R1026" s="6">
        <f t="shared" si="205"/>
        <v>0</v>
      </c>
      <c r="S1026" s="5"/>
      <c r="U1026" s="5"/>
      <c r="V1026" s="5"/>
    </row>
    <row r="1027" spans="2:22" x14ac:dyDescent="0.3">
      <c r="B1027" s="5" t="s">
        <v>16</v>
      </c>
      <c r="C1027" s="5" t="s">
        <v>1736</v>
      </c>
      <c r="D1027" s="5" t="s">
        <v>1698</v>
      </c>
      <c r="E1027" s="5" t="s">
        <v>36</v>
      </c>
      <c r="F1027" s="5" t="s">
        <v>1656</v>
      </c>
      <c r="G1027" s="5" t="s">
        <v>1699</v>
      </c>
      <c r="H1027" s="6">
        <f t="shared" si="198"/>
        <v>3118.0526315789466</v>
      </c>
      <c r="I1027" s="6">
        <f t="shared" si="202"/>
        <v>19878.947368421053</v>
      </c>
      <c r="J1027" s="6">
        <v>3777</v>
      </c>
      <c r="K1027" s="6">
        <v>0</v>
      </c>
      <c r="L1027" s="6">
        <v>0</v>
      </c>
      <c r="M1027" s="6">
        <f t="shared" si="201"/>
        <v>22997</v>
      </c>
      <c r="N1027" s="6">
        <f t="shared" si="204"/>
        <v>3777</v>
      </c>
      <c r="O1027" s="6">
        <f t="shared" si="203"/>
        <v>26774</v>
      </c>
      <c r="P1027" s="6">
        <v>26774</v>
      </c>
      <c r="Q1027" s="6">
        <v>0</v>
      </c>
      <c r="R1027" s="6">
        <f t="shared" si="205"/>
        <v>0</v>
      </c>
      <c r="S1027" s="5"/>
      <c r="U1027" s="5"/>
      <c r="V1027" s="5"/>
    </row>
    <row r="1028" spans="2:22" s="5" customFormat="1" x14ac:dyDescent="0.3">
      <c r="B1028" s="5" t="s">
        <v>16</v>
      </c>
      <c r="C1028" s="5" t="s">
        <v>1737</v>
      </c>
      <c r="D1028" s="5" t="s">
        <v>1698</v>
      </c>
      <c r="E1028" s="5" t="s">
        <v>418</v>
      </c>
      <c r="F1028" s="5" t="s">
        <v>1656</v>
      </c>
      <c r="G1028" s="5" t="s">
        <v>1699</v>
      </c>
      <c r="H1028" s="6">
        <f t="shared" ref="H1028:H1036" si="206">+P1028-I1028-J1028-K1028-L1028</f>
        <v>-0.78947368420631392</v>
      </c>
      <c r="I1028" s="6">
        <f t="shared" si="202"/>
        <v>37815.789473684206</v>
      </c>
      <c r="J1028" s="6">
        <v>7185</v>
      </c>
      <c r="K1028" s="6">
        <v>0</v>
      </c>
      <c r="L1028" s="6">
        <v>0</v>
      </c>
      <c r="M1028" s="6">
        <f t="shared" si="201"/>
        <v>37815</v>
      </c>
      <c r="N1028" s="6">
        <f t="shared" si="204"/>
        <v>7185</v>
      </c>
      <c r="O1028" s="6">
        <f t="shared" si="203"/>
        <v>45000</v>
      </c>
      <c r="P1028" s="6">
        <v>45000</v>
      </c>
      <c r="Q1028" s="6">
        <v>0</v>
      </c>
      <c r="R1028" s="6">
        <f t="shared" si="205"/>
        <v>0</v>
      </c>
      <c r="S1028"/>
      <c r="T1028"/>
    </row>
    <row r="1029" spans="2:22" s="5" customFormat="1" x14ac:dyDescent="0.3">
      <c r="B1029" s="5" t="s">
        <v>16</v>
      </c>
      <c r="C1029" s="5" t="s">
        <v>1738</v>
      </c>
      <c r="D1029" s="5" t="s">
        <v>1698</v>
      </c>
      <c r="E1029" s="5" t="s">
        <v>418</v>
      </c>
      <c r="F1029" s="5" t="s">
        <v>1656</v>
      </c>
      <c r="G1029" s="5" t="s">
        <v>1699</v>
      </c>
      <c r="H1029" s="6">
        <f t="shared" si="206"/>
        <v>6839.736842105267</v>
      </c>
      <c r="I1029" s="6">
        <f t="shared" si="202"/>
        <v>40205.263157894733</v>
      </c>
      <c r="J1029" s="6">
        <v>7639</v>
      </c>
      <c r="K1029" s="6">
        <v>0</v>
      </c>
      <c r="L1029" s="6">
        <v>0</v>
      </c>
      <c r="M1029" s="6">
        <f t="shared" si="201"/>
        <v>47045</v>
      </c>
      <c r="N1029" s="6">
        <f t="shared" si="204"/>
        <v>7639</v>
      </c>
      <c r="O1029" s="6">
        <f t="shared" si="203"/>
        <v>54684</v>
      </c>
      <c r="P1029" s="6">
        <v>54684</v>
      </c>
      <c r="Q1029" s="6">
        <v>0</v>
      </c>
      <c r="R1029" s="6">
        <f t="shared" si="205"/>
        <v>0</v>
      </c>
      <c r="T1029"/>
      <c r="U1029" s="7"/>
      <c r="V1029" s="7"/>
    </row>
    <row r="1030" spans="2:22" s="5" customFormat="1" x14ac:dyDescent="0.3">
      <c r="B1030" s="5" t="s">
        <v>16</v>
      </c>
      <c r="C1030" s="5" t="s">
        <v>1739</v>
      </c>
      <c r="D1030" s="5" t="s">
        <v>1698</v>
      </c>
      <c r="E1030" s="5" t="s">
        <v>91</v>
      </c>
      <c r="F1030" s="5" t="s">
        <v>1656</v>
      </c>
      <c r="G1030" s="5" t="s">
        <v>1699</v>
      </c>
      <c r="H1030" s="6">
        <f t="shared" si="206"/>
        <v>490.94736842105294</v>
      </c>
      <c r="I1030" s="6">
        <f t="shared" si="202"/>
        <v>3621.0526315789471</v>
      </c>
      <c r="J1030" s="6">
        <v>688</v>
      </c>
      <c r="K1030" s="6">
        <v>0</v>
      </c>
      <c r="L1030" s="6">
        <v>0</v>
      </c>
      <c r="M1030" s="6">
        <f t="shared" si="201"/>
        <v>4112</v>
      </c>
      <c r="N1030" s="6">
        <f t="shared" si="204"/>
        <v>688</v>
      </c>
      <c r="O1030" s="6">
        <f t="shared" si="203"/>
        <v>4800</v>
      </c>
      <c r="P1030" s="6">
        <v>4800</v>
      </c>
      <c r="Q1030" s="6">
        <v>0</v>
      </c>
      <c r="R1030" s="6">
        <f t="shared" si="205"/>
        <v>0</v>
      </c>
      <c r="T1030"/>
    </row>
    <row r="1031" spans="2:22" s="5" customFormat="1" x14ac:dyDescent="0.3">
      <c r="B1031" s="5" t="s">
        <v>16</v>
      </c>
      <c r="C1031" s="5" t="s">
        <v>1740</v>
      </c>
      <c r="D1031" s="5" t="s">
        <v>1698</v>
      </c>
      <c r="E1031" s="5" t="s">
        <v>882</v>
      </c>
      <c r="F1031" s="5" t="s">
        <v>1656</v>
      </c>
      <c r="G1031" s="5" t="s">
        <v>1699</v>
      </c>
      <c r="H1031" s="6">
        <f t="shared" si="206"/>
        <v>6000</v>
      </c>
      <c r="I1031" s="6">
        <f t="shared" si="202"/>
        <v>0</v>
      </c>
      <c r="J1031" s="6">
        <v>0</v>
      </c>
      <c r="K1031" s="6">
        <v>0</v>
      </c>
      <c r="L1031" s="6">
        <v>0</v>
      </c>
      <c r="M1031" s="6">
        <f t="shared" si="201"/>
        <v>6000</v>
      </c>
      <c r="N1031" s="6">
        <f t="shared" si="204"/>
        <v>0</v>
      </c>
      <c r="O1031" s="6">
        <f t="shared" si="203"/>
        <v>6000</v>
      </c>
      <c r="P1031" s="6">
        <v>6000</v>
      </c>
      <c r="Q1031" s="6">
        <v>0</v>
      </c>
      <c r="R1031" s="6">
        <f t="shared" si="205"/>
        <v>0</v>
      </c>
      <c r="T1031"/>
    </row>
    <row r="1032" spans="2:22" s="5" customFormat="1" x14ac:dyDescent="0.3">
      <c r="B1032" s="5" t="s">
        <v>16</v>
      </c>
      <c r="C1032" s="5" t="s">
        <v>1741</v>
      </c>
      <c r="D1032" s="5" t="s">
        <v>1698</v>
      </c>
      <c r="E1032" s="5" t="s">
        <v>1044</v>
      </c>
      <c r="F1032" s="5" t="s">
        <v>1656</v>
      </c>
      <c r="G1032" s="5" t="s">
        <v>1699</v>
      </c>
      <c r="H1032" s="6">
        <f t="shared" si="206"/>
        <v>20522.578947368413</v>
      </c>
      <c r="I1032" s="6">
        <f t="shared" si="202"/>
        <v>109268.42105263159</v>
      </c>
      <c r="J1032" s="6">
        <v>20761</v>
      </c>
      <c r="K1032" s="6">
        <v>0</v>
      </c>
      <c r="L1032" s="6">
        <v>0</v>
      </c>
      <c r="M1032" s="6">
        <f t="shared" si="201"/>
        <v>129791</v>
      </c>
      <c r="N1032" s="6">
        <f t="shared" si="204"/>
        <v>20761</v>
      </c>
      <c r="O1032" s="6">
        <f t="shared" si="203"/>
        <v>150552</v>
      </c>
      <c r="P1032" s="6">
        <v>150552</v>
      </c>
      <c r="Q1032" s="6">
        <v>0</v>
      </c>
      <c r="R1032" s="6">
        <f t="shared" si="205"/>
        <v>0</v>
      </c>
      <c r="T1032"/>
      <c r="U1032" s="7"/>
      <c r="V1032" s="7"/>
    </row>
    <row r="1033" spans="2:22" s="5" customFormat="1" x14ac:dyDescent="0.3">
      <c r="B1033" s="5" t="s">
        <v>16</v>
      </c>
      <c r="C1033" s="5" t="s">
        <v>1742</v>
      </c>
      <c r="D1033" s="5" t="s">
        <v>1698</v>
      </c>
      <c r="E1033" s="5" t="s">
        <v>1257</v>
      </c>
      <c r="F1033" s="5" t="s">
        <v>1656</v>
      </c>
      <c r="G1033" s="5" t="s">
        <v>1699</v>
      </c>
      <c r="H1033" s="6">
        <f t="shared" si="206"/>
        <v>2.3157894736832532</v>
      </c>
      <c r="I1033" s="6">
        <f t="shared" si="202"/>
        <v>30173.684210526317</v>
      </c>
      <c r="J1033" s="6">
        <v>5733</v>
      </c>
      <c r="K1033" s="6">
        <v>0</v>
      </c>
      <c r="L1033" s="6">
        <v>0</v>
      </c>
      <c r="M1033" s="6">
        <f t="shared" si="201"/>
        <v>30176</v>
      </c>
      <c r="N1033" s="6">
        <f t="shared" si="204"/>
        <v>5733</v>
      </c>
      <c r="O1033" s="6">
        <f t="shared" si="203"/>
        <v>35909</v>
      </c>
      <c r="P1033" s="6">
        <v>35909</v>
      </c>
      <c r="Q1033" s="6">
        <v>0</v>
      </c>
      <c r="R1033" s="6">
        <f t="shared" si="205"/>
        <v>0</v>
      </c>
      <c r="T1033"/>
      <c r="U1033" s="7"/>
      <c r="V1033" s="7"/>
    </row>
    <row r="1034" spans="2:22" s="5" customFormat="1" x14ac:dyDescent="0.3">
      <c r="B1034" s="5" t="s">
        <v>16</v>
      </c>
      <c r="C1034" s="5" t="s">
        <v>1743</v>
      </c>
      <c r="D1034" s="5" t="s">
        <v>1698</v>
      </c>
      <c r="E1034" s="5" t="s">
        <v>337</v>
      </c>
      <c r="F1034" s="5" t="s">
        <v>1656</v>
      </c>
      <c r="G1034" s="5" t="s">
        <v>1699</v>
      </c>
      <c r="H1034" s="6">
        <f t="shared" si="206"/>
        <v>-0.23000000000024556</v>
      </c>
      <c r="I1034" s="6">
        <f t="shared" si="202"/>
        <v>2017.0000000000002</v>
      </c>
      <c r="J1034" s="6">
        <v>383.23</v>
      </c>
      <c r="K1034" s="6">
        <v>0</v>
      </c>
      <c r="L1034" s="6">
        <v>0</v>
      </c>
      <c r="M1034" s="6">
        <f t="shared" si="201"/>
        <v>2016.77</v>
      </c>
      <c r="N1034" s="6">
        <f t="shared" si="204"/>
        <v>383.23</v>
      </c>
      <c r="O1034" s="6">
        <f t="shared" si="203"/>
        <v>2400</v>
      </c>
      <c r="P1034" s="6">
        <v>2400</v>
      </c>
      <c r="Q1034" s="6">
        <v>0</v>
      </c>
      <c r="R1034" s="6">
        <f t="shared" si="205"/>
        <v>0</v>
      </c>
      <c r="T1034"/>
    </row>
    <row r="1035" spans="2:22" s="5" customFormat="1" x14ac:dyDescent="0.3">
      <c r="B1035" s="5" t="s">
        <v>16</v>
      </c>
      <c r="C1035" s="5" t="s">
        <v>1744</v>
      </c>
      <c r="D1035" s="5" t="s">
        <v>1698</v>
      </c>
      <c r="E1035" s="5" t="s">
        <v>761</v>
      </c>
      <c r="F1035" s="5" t="s">
        <v>1656</v>
      </c>
      <c r="G1035" s="5" t="s">
        <v>1699</v>
      </c>
      <c r="H1035" s="6">
        <f t="shared" si="206"/>
        <v>20518.157894736825</v>
      </c>
      <c r="I1035" s="6">
        <f t="shared" si="202"/>
        <v>117936.84210526317</v>
      </c>
      <c r="J1035" s="6">
        <v>22408</v>
      </c>
      <c r="K1035" s="6">
        <v>0</v>
      </c>
      <c r="L1035" s="6">
        <v>0</v>
      </c>
      <c r="M1035" s="6">
        <f t="shared" si="201"/>
        <v>138455</v>
      </c>
      <c r="N1035" s="6">
        <f t="shared" si="204"/>
        <v>22408</v>
      </c>
      <c r="O1035" s="6">
        <f t="shared" si="203"/>
        <v>160863</v>
      </c>
      <c r="P1035" s="6">
        <v>160863</v>
      </c>
      <c r="Q1035" s="6">
        <v>0</v>
      </c>
      <c r="R1035" s="6">
        <f t="shared" si="205"/>
        <v>0</v>
      </c>
      <c r="T1035"/>
    </row>
    <row r="1036" spans="2:22" s="5" customFormat="1" x14ac:dyDescent="0.3">
      <c r="B1036" s="5" t="s">
        <v>16</v>
      </c>
      <c r="C1036" s="5" t="s">
        <v>1745</v>
      </c>
      <c r="D1036" s="5" t="s">
        <v>1698</v>
      </c>
      <c r="E1036" s="5" t="s">
        <v>885</v>
      </c>
      <c r="F1036" s="5" t="s">
        <v>1656</v>
      </c>
      <c r="G1036" s="5" t="s">
        <v>1699</v>
      </c>
      <c r="H1036" s="6">
        <f t="shared" si="206"/>
        <v>13679.473684210534</v>
      </c>
      <c r="I1036" s="6">
        <f t="shared" si="202"/>
        <v>80410.526315789466</v>
      </c>
      <c r="J1036" s="6">
        <v>15278</v>
      </c>
      <c r="K1036" s="6">
        <v>0</v>
      </c>
      <c r="L1036" s="6">
        <v>0</v>
      </c>
      <c r="M1036" s="6">
        <f t="shared" si="201"/>
        <v>94090</v>
      </c>
      <c r="N1036" s="6">
        <f t="shared" si="204"/>
        <v>15278</v>
      </c>
      <c r="O1036" s="6">
        <f t="shared" si="203"/>
        <v>109368</v>
      </c>
      <c r="P1036" s="6">
        <v>109368</v>
      </c>
      <c r="Q1036" s="6">
        <v>0</v>
      </c>
      <c r="R1036" s="6">
        <f t="shared" si="205"/>
        <v>0</v>
      </c>
      <c r="T1036"/>
    </row>
    <row r="1037" spans="2:22" s="5" customFormat="1" x14ac:dyDescent="0.3">
      <c r="B1037" s="5" t="s">
        <v>16</v>
      </c>
      <c r="C1037" s="5" t="s">
        <v>1746</v>
      </c>
      <c r="D1037" s="5" t="s">
        <v>1698</v>
      </c>
      <c r="E1037" s="5" t="s">
        <v>102</v>
      </c>
      <c r="F1037" s="5" t="s">
        <v>1656</v>
      </c>
      <c r="G1037" s="5" t="s">
        <v>1699</v>
      </c>
      <c r="H1037" s="6">
        <v>0</v>
      </c>
      <c r="I1037" s="6">
        <f t="shared" si="202"/>
        <v>23531.578947368424</v>
      </c>
      <c r="J1037" s="6">
        <v>4471</v>
      </c>
      <c r="K1037" s="6">
        <v>0</v>
      </c>
      <c r="L1037" s="6">
        <v>0</v>
      </c>
      <c r="M1037" s="6">
        <f t="shared" si="201"/>
        <v>23531.578947368424</v>
      </c>
      <c r="N1037" s="6">
        <f t="shared" si="204"/>
        <v>4471</v>
      </c>
      <c r="O1037" s="6">
        <f t="shared" si="203"/>
        <v>28002.578947368424</v>
      </c>
      <c r="P1037" s="6">
        <v>32565</v>
      </c>
      <c r="Q1037" s="6">
        <v>0</v>
      </c>
      <c r="R1037" s="6">
        <f t="shared" si="205"/>
        <v>0</v>
      </c>
      <c r="T1037"/>
    </row>
    <row r="1038" spans="2:22" s="5" customFormat="1" x14ac:dyDescent="0.3">
      <c r="B1038" s="5" t="s">
        <v>16</v>
      </c>
      <c r="C1038" s="5" t="s">
        <v>1747</v>
      </c>
      <c r="D1038" s="5" t="s">
        <v>1698</v>
      </c>
      <c r="E1038" s="5" t="s">
        <v>1204</v>
      </c>
      <c r="F1038" s="5" t="s">
        <v>1656</v>
      </c>
      <c r="G1038" s="5" t="s">
        <v>1699</v>
      </c>
      <c r="H1038" s="6">
        <v>0</v>
      </c>
      <c r="I1038" s="6">
        <f t="shared" si="202"/>
        <v>2017.0000000000002</v>
      </c>
      <c r="J1038" s="6">
        <v>383.23</v>
      </c>
      <c r="K1038" s="6">
        <v>0</v>
      </c>
      <c r="L1038" s="6">
        <v>0</v>
      </c>
      <c r="M1038" s="6">
        <f t="shared" si="201"/>
        <v>2017.0000000000002</v>
      </c>
      <c r="N1038" s="6">
        <f t="shared" si="204"/>
        <v>383.23</v>
      </c>
      <c r="O1038" s="6">
        <f t="shared" si="203"/>
        <v>2400.2300000000005</v>
      </c>
      <c r="P1038" s="6">
        <v>2400</v>
      </c>
      <c r="Q1038" s="6">
        <v>0</v>
      </c>
      <c r="R1038" s="6">
        <f t="shared" si="205"/>
        <v>0</v>
      </c>
      <c r="T1038"/>
    </row>
    <row r="1039" spans="2:22" x14ac:dyDescent="0.3">
      <c r="B1039" s="5" t="s">
        <v>16</v>
      </c>
      <c r="C1039" s="5" t="s">
        <v>1748</v>
      </c>
      <c r="D1039" s="5" t="s">
        <v>1698</v>
      </c>
      <c r="E1039" s="5" t="s">
        <v>1531</v>
      </c>
      <c r="F1039" s="5" t="s">
        <v>1656</v>
      </c>
      <c r="G1039" s="5" t="s">
        <v>1699</v>
      </c>
      <c r="H1039" s="6">
        <v>0</v>
      </c>
      <c r="I1039" s="6">
        <f t="shared" si="202"/>
        <v>0</v>
      </c>
      <c r="J1039" s="6">
        <v>0</v>
      </c>
      <c r="K1039" s="6">
        <v>0</v>
      </c>
      <c r="L1039" s="6">
        <v>0</v>
      </c>
      <c r="M1039" s="6">
        <f t="shared" si="201"/>
        <v>0</v>
      </c>
      <c r="N1039" s="6">
        <f t="shared" si="204"/>
        <v>0</v>
      </c>
      <c r="O1039" s="6">
        <f t="shared" si="203"/>
        <v>0</v>
      </c>
      <c r="P1039" s="6">
        <v>6000</v>
      </c>
      <c r="Q1039" s="6">
        <v>0</v>
      </c>
      <c r="R1039" s="6">
        <f t="shared" si="205"/>
        <v>0</v>
      </c>
      <c r="S1039" s="5"/>
      <c r="U1039" s="5"/>
      <c r="V1039" s="5"/>
    </row>
    <row r="1040" spans="2:22" x14ac:dyDescent="0.3">
      <c r="B1040" s="5" t="s">
        <v>16</v>
      </c>
      <c r="C1040" s="5" t="s">
        <v>1749</v>
      </c>
      <c r="D1040" s="5" t="s">
        <v>1698</v>
      </c>
      <c r="E1040" s="5" t="s">
        <v>1053</v>
      </c>
      <c r="F1040" s="5" t="s">
        <v>1656</v>
      </c>
      <c r="G1040" s="5" t="s">
        <v>1699</v>
      </c>
      <c r="H1040" s="6">
        <v>0</v>
      </c>
      <c r="I1040" s="6">
        <f t="shared" si="202"/>
        <v>4200</v>
      </c>
      <c r="J1040" s="6">
        <v>798</v>
      </c>
      <c r="K1040" s="6">
        <v>0</v>
      </c>
      <c r="L1040" s="6">
        <v>0</v>
      </c>
      <c r="M1040" s="6">
        <f t="shared" si="201"/>
        <v>4200</v>
      </c>
      <c r="N1040" s="6">
        <f t="shared" si="204"/>
        <v>798</v>
      </c>
      <c r="O1040" s="6">
        <f t="shared" si="203"/>
        <v>4998</v>
      </c>
      <c r="P1040" s="6">
        <v>5000</v>
      </c>
      <c r="Q1040" s="6">
        <v>0</v>
      </c>
      <c r="R1040" s="6">
        <f t="shared" si="205"/>
        <v>0</v>
      </c>
      <c r="S1040" s="5"/>
      <c r="U1040" s="5"/>
      <c r="V1040" s="5"/>
    </row>
    <row r="1041" spans="2:22" x14ac:dyDescent="0.3">
      <c r="B1041" s="5" t="s">
        <v>16</v>
      </c>
      <c r="C1041" s="5" t="s">
        <v>1750</v>
      </c>
      <c r="D1041" s="5" t="s">
        <v>1698</v>
      </c>
      <c r="E1041" s="5" t="s">
        <v>928</v>
      </c>
      <c r="F1041" s="5" t="s">
        <v>1656</v>
      </c>
      <c r="G1041" s="5" t="s">
        <v>1699</v>
      </c>
      <c r="H1041" s="6">
        <v>0</v>
      </c>
      <c r="I1041" s="6">
        <f t="shared" si="202"/>
        <v>2784.2105263157896</v>
      </c>
      <c r="J1041" s="6">
        <v>529</v>
      </c>
      <c r="K1041" s="6">
        <v>0</v>
      </c>
      <c r="L1041" s="6">
        <v>0</v>
      </c>
      <c r="M1041" s="6">
        <f t="shared" si="201"/>
        <v>2784.2105263157896</v>
      </c>
      <c r="N1041" s="6">
        <f t="shared" si="204"/>
        <v>529</v>
      </c>
      <c r="O1041" s="6">
        <f t="shared" si="203"/>
        <v>3313.2105263157896</v>
      </c>
      <c r="P1041" s="6">
        <v>3600</v>
      </c>
      <c r="Q1041" s="6">
        <v>0</v>
      </c>
      <c r="R1041" s="6">
        <f t="shared" si="205"/>
        <v>0</v>
      </c>
      <c r="S1041" s="5"/>
      <c r="U1041" s="5"/>
    </row>
    <row r="1042" spans="2:22" x14ac:dyDescent="0.3">
      <c r="B1042" s="5" t="s">
        <v>16</v>
      </c>
      <c r="C1042" s="5" t="s">
        <v>1751</v>
      </c>
      <c r="D1042" s="5" t="s">
        <v>1698</v>
      </c>
      <c r="E1042" s="5" t="s">
        <v>890</v>
      </c>
      <c r="F1042" s="5" t="s">
        <v>1656</v>
      </c>
      <c r="G1042" s="5" t="s">
        <v>1699</v>
      </c>
      <c r="H1042" s="6">
        <v>0</v>
      </c>
      <c r="I1042" s="6">
        <f t="shared" si="202"/>
        <v>3621.0526315789471</v>
      </c>
      <c r="J1042" s="6">
        <v>688</v>
      </c>
      <c r="K1042" s="6">
        <v>0</v>
      </c>
      <c r="L1042" s="6">
        <v>0</v>
      </c>
      <c r="M1042" s="6">
        <f t="shared" si="201"/>
        <v>3621.0526315789471</v>
      </c>
      <c r="N1042" s="6">
        <f t="shared" si="204"/>
        <v>688</v>
      </c>
      <c r="O1042" s="6">
        <f t="shared" si="203"/>
        <v>4309.0526315789466</v>
      </c>
      <c r="P1042" s="6">
        <v>4800</v>
      </c>
      <c r="Q1042" s="6">
        <v>0</v>
      </c>
      <c r="R1042" s="6">
        <f t="shared" si="205"/>
        <v>0</v>
      </c>
      <c r="S1042" s="5"/>
      <c r="U1042" s="5"/>
    </row>
    <row r="1043" spans="2:22" s="5" customFormat="1" x14ac:dyDescent="0.3">
      <c r="B1043" s="5" t="s">
        <v>16</v>
      </c>
      <c r="C1043" s="5" t="s">
        <v>1752</v>
      </c>
      <c r="D1043" s="5" t="s">
        <v>1698</v>
      </c>
      <c r="E1043" s="5" t="s">
        <v>1753</v>
      </c>
      <c r="F1043" s="5" t="s">
        <v>1656</v>
      </c>
      <c r="G1043" s="5" t="s">
        <v>1699</v>
      </c>
      <c r="H1043" s="6">
        <v>0</v>
      </c>
      <c r="I1043" s="6">
        <f t="shared" si="202"/>
        <v>6394.7368421052633</v>
      </c>
      <c r="J1043" s="6">
        <v>1215</v>
      </c>
      <c r="K1043" s="6">
        <v>0</v>
      </c>
      <c r="L1043" s="6">
        <v>0</v>
      </c>
      <c r="M1043" s="6">
        <f t="shared" si="201"/>
        <v>6394.7368421052633</v>
      </c>
      <c r="N1043" s="6">
        <f t="shared" si="204"/>
        <v>1215</v>
      </c>
      <c r="O1043" s="6">
        <f t="shared" si="203"/>
        <v>7609.7368421052633</v>
      </c>
      <c r="P1043" s="6">
        <v>8750</v>
      </c>
      <c r="Q1043" s="6">
        <v>0</v>
      </c>
      <c r="R1043" s="6">
        <f t="shared" si="205"/>
        <v>0</v>
      </c>
      <c r="T1043"/>
    </row>
    <row r="1044" spans="2:22" s="5" customFormat="1" x14ac:dyDescent="0.3">
      <c r="B1044" s="5" t="s">
        <v>16</v>
      </c>
      <c r="C1044" s="5" t="s">
        <v>1754</v>
      </c>
      <c r="D1044" s="5" t="s">
        <v>1698</v>
      </c>
      <c r="E1044" s="5" t="s">
        <v>75</v>
      </c>
      <c r="F1044" s="5" t="s">
        <v>1656</v>
      </c>
      <c r="G1044" s="5" t="s">
        <v>1699</v>
      </c>
      <c r="H1044" s="6">
        <f t="shared" ref="H1044:H1051" si="207">+P1044-I1044-J1044</f>
        <v>6000</v>
      </c>
      <c r="I1044" s="6">
        <f t="shared" si="202"/>
        <v>0</v>
      </c>
      <c r="J1044" s="6">
        <v>0</v>
      </c>
      <c r="K1044" s="6">
        <v>0</v>
      </c>
      <c r="L1044" s="6">
        <v>0</v>
      </c>
      <c r="M1044" s="6">
        <f t="shared" ref="M1044:M1058" si="208">+H1044+I1044+K1044</f>
        <v>6000</v>
      </c>
      <c r="N1044" s="6">
        <f t="shared" si="204"/>
        <v>0</v>
      </c>
      <c r="O1044" s="6">
        <f t="shared" si="203"/>
        <v>6000</v>
      </c>
      <c r="P1044" s="6">
        <v>6000</v>
      </c>
      <c r="Q1044" s="6">
        <v>0</v>
      </c>
      <c r="R1044" s="6">
        <f t="shared" si="205"/>
        <v>0</v>
      </c>
      <c r="T1044"/>
    </row>
    <row r="1045" spans="2:22" s="5" customFormat="1" x14ac:dyDescent="0.3">
      <c r="B1045" s="5" t="s">
        <v>16</v>
      </c>
      <c r="C1045" s="5" t="s">
        <v>1755</v>
      </c>
      <c r="D1045" s="5" t="s">
        <v>1698</v>
      </c>
      <c r="E1045" s="5" t="s">
        <v>427</v>
      </c>
      <c r="F1045" s="5" t="s">
        <v>1656</v>
      </c>
      <c r="G1045" s="5" t="s">
        <v>1699</v>
      </c>
      <c r="H1045" s="6">
        <f t="shared" si="207"/>
        <v>-1.6315789473683253</v>
      </c>
      <c r="I1045" s="6">
        <f t="shared" si="202"/>
        <v>3152.6315789473683</v>
      </c>
      <c r="J1045" s="6">
        <v>599</v>
      </c>
      <c r="K1045" s="6">
        <v>0</v>
      </c>
      <c r="L1045" s="6">
        <v>0</v>
      </c>
      <c r="M1045" s="6">
        <f t="shared" si="208"/>
        <v>3151</v>
      </c>
      <c r="N1045" s="6">
        <f t="shared" si="204"/>
        <v>599</v>
      </c>
      <c r="O1045" s="6">
        <f t="shared" si="203"/>
        <v>3750</v>
      </c>
      <c r="P1045" s="6">
        <v>3750</v>
      </c>
      <c r="Q1045" s="6">
        <v>0</v>
      </c>
      <c r="R1045" s="6">
        <f t="shared" si="205"/>
        <v>0</v>
      </c>
      <c r="T1045"/>
      <c r="U1045" s="7"/>
      <c r="V1045" s="7"/>
    </row>
    <row r="1046" spans="2:22" s="5" customFormat="1" x14ac:dyDescent="0.3">
      <c r="B1046" s="5" t="s">
        <v>16</v>
      </c>
      <c r="C1046" s="5" t="s">
        <v>1756</v>
      </c>
      <c r="D1046" s="5" t="s">
        <v>1698</v>
      </c>
      <c r="E1046" s="5" t="s">
        <v>1757</v>
      </c>
      <c r="F1046" s="5" t="s">
        <v>1656</v>
      </c>
      <c r="G1046" s="5" t="s">
        <v>1699</v>
      </c>
      <c r="H1046" s="6">
        <f t="shared" si="207"/>
        <v>286.78947368421041</v>
      </c>
      <c r="I1046" s="6">
        <f t="shared" si="202"/>
        <v>2784.2105263157896</v>
      </c>
      <c r="J1046" s="6">
        <v>529</v>
      </c>
      <c r="K1046" s="6">
        <v>0</v>
      </c>
      <c r="L1046" s="6">
        <v>0</v>
      </c>
      <c r="M1046" s="6">
        <f t="shared" si="208"/>
        <v>3071</v>
      </c>
      <c r="N1046" s="6">
        <f t="shared" si="204"/>
        <v>529</v>
      </c>
      <c r="O1046" s="6">
        <f t="shared" si="203"/>
        <v>3600</v>
      </c>
      <c r="P1046" s="6">
        <v>3600</v>
      </c>
      <c r="Q1046" s="6">
        <v>0</v>
      </c>
      <c r="R1046" s="6">
        <f t="shared" si="205"/>
        <v>0</v>
      </c>
      <c r="T1046"/>
    </row>
    <row r="1047" spans="2:22" s="5" customFormat="1" x14ac:dyDescent="0.3">
      <c r="B1047" s="5" t="s">
        <v>16</v>
      </c>
      <c r="C1047" s="5" t="s">
        <v>1758</v>
      </c>
      <c r="D1047" s="5" t="s">
        <v>1698</v>
      </c>
      <c r="E1047" s="5" t="s">
        <v>1757</v>
      </c>
      <c r="F1047" s="5" t="s">
        <v>1656</v>
      </c>
      <c r="G1047" s="5" t="s">
        <v>1699</v>
      </c>
      <c r="H1047" s="6">
        <f t="shared" si="207"/>
        <v>0.36842105263349367</v>
      </c>
      <c r="I1047" s="6">
        <f t="shared" si="202"/>
        <v>41152.631578947367</v>
      </c>
      <c r="J1047" s="6">
        <v>7819</v>
      </c>
      <c r="K1047" s="6">
        <v>0</v>
      </c>
      <c r="L1047" s="6">
        <v>0</v>
      </c>
      <c r="M1047" s="6">
        <f t="shared" si="208"/>
        <v>41153</v>
      </c>
      <c r="N1047" s="6">
        <f t="shared" si="204"/>
        <v>7819</v>
      </c>
      <c r="O1047" s="6">
        <f t="shared" si="203"/>
        <v>48972</v>
      </c>
      <c r="P1047" s="6">
        <v>48972</v>
      </c>
      <c r="Q1047" s="6">
        <v>0</v>
      </c>
      <c r="R1047" s="6">
        <f t="shared" si="205"/>
        <v>0</v>
      </c>
      <c r="T1047"/>
    </row>
    <row r="1048" spans="2:22" s="5" customFormat="1" x14ac:dyDescent="0.3">
      <c r="B1048" s="5" t="s">
        <v>16</v>
      </c>
      <c r="C1048" s="5" t="s">
        <v>1759</v>
      </c>
      <c r="D1048" s="5" t="s">
        <v>1698</v>
      </c>
      <c r="E1048" s="5" t="s">
        <v>911</v>
      </c>
      <c r="F1048" s="5" t="s">
        <v>1656</v>
      </c>
      <c r="G1048" s="5" t="s">
        <v>1699</v>
      </c>
      <c r="H1048" s="6">
        <f t="shared" si="207"/>
        <v>2.4210526315782772</v>
      </c>
      <c r="I1048" s="6">
        <f t="shared" si="202"/>
        <v>16131.578947368422</v>
      </c>
      <c r="J1048" s="6">
        <v>3065</v>
      </c>
      <c r="K1048" s="6">
        <v>0</v>
      </c>
      <c r="L1048" s="6">
        <v>0</v>
      </c>
      <c r="M1048" s="6">
        <f t="shared" si="208"/>
        <v>16134</v>
      </c>
      <c r="N1048" s="6">
        <f t="shared" si="204"/>
        <v>3065</v>
      </c>
      <c r="O1048" s="6">
        <f t="shared" si="203"/>
        <v>19199</v>
      </c>
      <c r="P1048" s="6">
        <v>19199</v>
      </c>
      <c r="Q1048" s="6">
        <v>0</v>
      </c>
      <c r="R1048" s="6">
        <f t="shared" si="205"/>
        <v>0</v>
      </c>
      <c r="T1048"/>
    </row>
    <row r="1049" spans="2:22" s="5" customFormat="1" x14ac:dyDescent="0.3">
      <c r="B1049" s="5" t="s">
        <v>16</v>
      </c>
      <c r="C1049" s="5" t="s">
        <v>1760</v>
      </c>
      <c r="D1049" s="5" t="s">
        <v>1698</v>
      </c>
      <c r="E1049" s="5" t="s">
        <v>911</v>
      </c>
      <c r="F1049" s="5" t="s">
        <v>1656</v>
      </c>
      <c r="G1049" s="5" t="s">
        <v>1699</v>
      </c>
      <c r="H1049" s="6">
        <f t="shared" si="207"/>
        <v>490.94736842105294</v>
      </c>
      <c r="I1049" s="6">
        <f t="shared" si="202"/>
        <v>3621.0526315789471</v>
      </c>
      <c r="J1049" s="6">
        <v>688</v>
      </c>
      <c r="K1049" s="6">
        <v>0</v>
      </c>
      <c r="L1049" s="6">
        <v>0</v>
      </c>
      <c r="M1049" s="6">
        <f t="shared" si="208"/>
        <v>4112</v>
      </c>
      <c r="N1049" s="6">
        <f t="shared" si="204"/>
        <v>688</v>
      </c>
      <c r="O1049" s="6">
        <f t="shared" si="203"/>
        <v>4800</v>
      </c>
      <c r="P1049" s="6">
        <v>4800</v>
      </c>
      <c r="Q1049" s="6">
        <v>0</v>
      </c>
      <c r="R1049" s="6">
        <f t="shared" si="205"/>
        <v>0</v>
      </c>
      <c r="T1049"/>
    </row>
    <row r="1050" spans="2:22" s="5" customFormat="1" x14ac:dyDescent="0.3">
      <c r="B1050" s="5" t="s">
        <v>16</v>
      </c>
      <c r="C1050" s="5" t="s">
        <v>1761</v>
      </c>
      <c r="D1050" s="5" t="s">
        <v>1698</v>
      </c>
      <c r="E1050" s="5" t="s">
        <v>368</v>
      </c>
      <c r="F1050" s="5" t="s">
        <v>1656</v>
      </c>
      <c r="G1050" s="5" t="s">
        <v>1699</v>
      </c>
      <c r="H1050" s="6">
        <f t="shared" si="207"/>
        <v>1140.2631578947367</v>
      </c>
      <c r="I1050" s="6">
        <f t="shared" si="202"/>
        <v>6394.7368421052633</v>
      </c>
      <c r="J1050" s="6">
        <v>1215</v>
      </c>
      <c r="K1050" s="6">
        <v>0</v>
      </c>
      <c r="L1050" s="6">
        <v>0</v>
      </c>
      <c r="M1050" s="6">
        <f t="shared" si="208"/>
        <v>7535</v>
      </c>
      <c r="N1050" s="6">
        <f t="shared" si="204"/>
        <v>1215</v>
      </c>
      <c r="O1050" s="6">
        <f t="shared" si="203"/>
        <v>8750</v>
      </c>
      <c r="P1050" s="6">
        <v>8750</v>
      </c>
      <c r="Q1050" s="6">
        <v>0</v>
      </c>
      <c r="R1050" s="6">
        <f t="shared" si="205"/>
        <v>0</v>
      </c>
      <c r="T1050"/>
    </row>
    <row r="1051" spans="2:22" s="5" customFormat="1" x14ac:dyDescent="0.3">
      <c r="B1051" s="5" t="s">
        <v>16</v>
      </c>
      <c r="C1051" s="5" t="s">
        <v>1762</v>
      </c>
      <c r="D1051" s="5" t="s">
        <v>1698</v>
      </c>
      <c r="E1051" s="5" t="s">
        <v>353</v>
      </c>
      <c r="F1051" s="5" t="s">
        <v>1656</v>
      </c>
      <c r="G1051" s="5" t="s">
        <v>1699</v>
      </c>
      <c r="H1051" s="6">
        <f t="shared" si="207"/>
        <v>1140.2631578947367</v>
      </c>
      <c r="I1051" s="6">
        <f t="shared" si="202"/>
        <v>6394.7368421052633</v>
      </c>
      <c r="J1051" s="6">
        <v>1215</v>
      </c>
      <c r="K1051" s="6">
        <v>0</v>
      </c>
      <c r="L1051" s="6">
        <v>0</v>
      </c>
      <c r="M1051" s="6">
        <f t="shared" si="208"/>
        <v>7535</v>
      </c>
      <c r="N1051" s="6">
        <f t="shared" si="204"/>
        <v>1215</v>
      </c>
      <c r="O1051" s="6">
        <f t="shared" si="203"/>
        <v>8750</v>
      </c>
      <c r="P1051" s="6">
        <v>8750</v>
      </c>
      <c r="Q1051" s="6">
        <v>0</v>
      </c>
      <c r="R1051" s="6">
        <f t="shared" si="205"/>
        <v>0</v>
      </c>
      <c r="T1051"/>
    </row>
    <row r="1052" spans="2:22" s="5" customFormat="1" x14ac:dyDescent="0.3">
      <c r="B1052" s="5" t="s">
        <v>16</v>
      </c>
      <c r="C1052" s="5" t="s">
        <v>1763</v>
      </c>
      <c r="D1052" s="5" t="s">
        <v>35</v>
      </c>
      <c r="E1052" s="5" t="s">
        <v>1254</v>
      </c>
      <c r="F1052" s="5" t="s">
        <v>394</v>
      </c>
      <c r="G1052" s="5" t="s">
        <v>395</v>
      </c>
      <c r="H1052" s="6">
        <f>+P1052-I1052-J1052-K1052-L1052</f>
        <v>-2.7939677238464355E-9</v>
      </c>
      <c r="I1052" s="6">
        <f t="shared" si="202"/>
        <v>14916405.000000002</v>
      </c>
      <c r="J1052" s="6">
        <v>2834116.95</v>
      </c>
      <c r="K1052" s="6">
        <v>0</v>
      </c>
      <c r="L1052" s="6">
        <v>0</v>
      </c>
      <c r="M1052" s="6">
        <f t="shared" si="208"/>
        <v>14916405</v>
      </c>
      <c r="N1052" s="6">
        <f t="shared" si="204"/>
        <v>2834116.95</v>
      </c>
      <c r="O1052" s="6">
        <f t="shared" si="203"/>
        <v>17750521.949999999</v>
      </c>
      <c r="P1052" s="6">
        <v>17750521.949999999</v>
      </c>
      <c r="Q1052" s="6">
        <f t="shared" ref="Q1052:Q1060" si="209">+M1052</f>
        <v>14916405</v>
      </c>
      <c r="R1052" s="6">
        <f t="shared" si="205"/>
        <v>372910.125</v>
      </c>
      <c r="T1052"/>
    </row>
    <row r="1053" spans="2:22" s="5" customFormat="1" x14ac:dyDescent="0.3">
      <c r="B1053" s="5" t="s">
        <v>16</v>
      </c>
      <c r="C1053" s="5" t="s">
        <v>1764</v>
      </c>
      <c r="D1053" s="5" t="s">
        <v>35</v>
      </c>
      <c r="E1053" s="5" t="s">
        <v>307</v>
      </c>
      <c r="F1053" s="5" t="s">
        <v>394</v>
      </c>
      <c r="G1053" s="5" t="s">
        <v>395</v>
      </c>
      <c r="H1053" s="6">
        <v>0</v>
      </c>
      <c r="I1053" s="6">
        <f t="shared" si="202"/>
        <v>1478908.0000000002</v>
      </c>
      <c r="J1053" s="6">
        <v>280992.52</v>
      </c>
      <c r="K1053" s="6">
        <v>0</v>
      </c>
      <c r="L1053" s="6">
        <v>0</v>
      </c>
      <c r="M1053" s="6">
        <f t="shared" si="208"/>
        <v>1478908.0000000002</v>
      </c>
      <c r="N1053" s="6">
        <f t="shared" si="204"/>
        <v>280992.52</v>
      </c>
      <c r="O1053" s="6">
        <f t="shared" si="203"/>
        <v>1759900.5200000003</v>
      </c>
      <c r="P1053" s="6">
        <v>1759900.52</v>
      </c>
      <c r="Q1053" s="6">
        <f t="shared" si="209"/>
        <v>1478908.0000000002</v>
      </c>
      <c r="R1053" s="6">
        <f t="shared" si="205"/>
        <v>36972.700000000004</v>
      </c>
      <c r="T1053"/>
    </row>
    <row r="1054" spans="2:22" s="5" customFormat="1" x14ac:dyDescent="0.3">
      <c r="B1054" s="5" t="s">
        <v>16</v>
      </c>
      <c r="C1054" s="5" t="s">
        <v>1765</v>
      </c>
      <c r="D1054" s="5" t="s">
        <v>35</v>
      </c>
      <c r="E1054" s="5" t="s">
        <v>1766</v>
      </c>
      <c r="F1054" s="5" t="s">
        <v>394</v>
      </c>
      <c r="G1054" s="5" t="s">
        <v>395</v>
      </c>
      <c r="H1054" s="6">
        <v>0</v>
      </c>
      <c r="I1054" s="6">
        <f t="shared" ref="I1054:I1117" si="210">+J1054/19*100</f>
        <v>2268360</v>
      </c>
      <c r="J1054" s="6">
        <v>430988.4</v>
      </c>
      <c r="K1054" s="6">
        <v>0</v>
      </c>
      <c r="L1054" s="6">
        <v>0</v>
      </c>
      <c r="M1054" s="6">
        <f t="shared" si="208"/>
        <v>2268360</v>
      </c>
      <c r="N1054" s="6">
        <f t="shared" si="204"/>
        <v>430988.4</v>
      </c>
      <c r="O1054" s="6">
        <f t="shared" ref="O1054:O1117" si="211">+M1054+N1054</f>
        <v>2699348.4</v>
      </c>
      <c r="P1054" s="6">
        <v>2699348.4</v>
      </c>
      <c r="Q1054" s="6">
        <f t="shared" si="209"/>
        <v>2268360</v>
      </c>
      <c r="R1054" s="6">
        <f t="shared" si="205"/>
        <v>56709</v>
      </c>
      <c r="T1054"/>
    </row>
    <row r="1055" spans="2:22" s="5" customFormat="1" x14ac:dyDescent="0.3">
      <c r="B1055" s="5" t="s">
        <v>16</v>
      </c>
      <c r="C1055" s="5" t="s">
        <v>1767</v>
      </c>
      <c r="D1055" s="5" t="s">
        <v>1768</v>
      </c>
      <c r="E1055" s="5" t="s">
        <v>456</v>
      </c>
      <c r="F1055" s="5" t="s">
        <v>333</v>
      </c>
      <c r="G1055" s="5" t="s">
        <v>334</v>
      </c>
      <c r="H1055" s="6">
        <f>+P1055-I1055-J1055</f>
        <v>0</v>
      </c>
      <c r="I1055" s="6">
        <f t="shared" si="210"/>
        <v>4289700</v>
      </c>
      <c r="J1055" s="6">
        <v>815043</v>
      </c>
      <c r="K1055" s="6">
        <v>0</v>
      </c>
      <c r="L1055" s="6">
        <v>0</v>
      </c>
      <c r="M1055" s="6">
        <f t="shared" si="208"/>
        <v>4289700</v>
      </c>
      <c r="N1055" s="6">
        <f t="shared" si="204"/>
        <v>815043</v>
      </c>
      <c r="O1055" s="6">
        <f t="shared" si="211"/>
        <v>5104743</v>
      </c>
      <c r="P1055" s="6">
        <v>5104743</v>
      </c>
      <c r="Q1055" s="6">
        <f t="shared" si="209"/>
        <v>4289700</v>
      </c>
      <c r="R1055" s="6">
        <f t="shared" si="205"/>
        <v>107242.5</v>
      </c>
      <c r="T1055"/>
    </row>
    <row r="1056" spans="2:22" s="5" customFormat="1" x14ac:dyDescent="0.3">
      <c r="B1056" s="5" t="s">
        <v>16</v>
      </c>
      <c r="C1056" s="5" t="s">
        <v>1769</v>
      </c>
      <c r="D1056" s="5" t="s">
        <v>1768</v>
      </c>
      <c r="E1056" s="5" t="s">
        <v>200</v>
      </c>
      <c r="F1056" s="5" t="s">
        <v>333</v>
      </c>
      <c r="G1056" s="5" t="s">
        <v>334</v>
      </c>
      <c r="H1056" s="6">
        <f>+P1056-I1056-J1056</f>
        <v>0</v>
      </c>
      <c r="I1056" s="6">
        <f t="shared" si="210"/>
        <v>1757100</v>
      </c>
      <c r="J1056" s="6">
        <v>333849</v>
      </c>
      <c r="K1056" s="6">
        <v>0</v>
      </c>
      <c r="L1056" s="6">
        <v>0</v>
      </c>
      <c r="M1056" s="6">
        <f t="shared" si="208"/>
        <v>1757100</v>
      </c>
      <c r="N1056" s="6">
        <f t="shared" si="204"/>
        <v>333849</v>
      </c>
      <c r="O1056" s="6">
        <f t="shared" si="211"/>
        <v>2090949</v>
      </c>
      <c r="P1056" s="6">
        <v>2090949</v>
      </c>
      <c r="Q1056" s="6">
        <f t="shared" si="209"/>
        <v>1757100</v>
      </c>
      <c r="R1056" s="6">
        <f t="shared" si="205"/>
        <v>43927.5</v>
      </c>
      <c r="T1056"/>
      <c r="U1056"/>
      <c r="V1056"/>
    </row>
    <row r="1057" spans="2:22" s="5" customFormat="1" x14ac:dyDescent="0.3">
      <c r="B1057" s="5" t="s">
        <v>16</v>
      </c>
      <c r="C1057" s="5" t="s">
        <v>1770</v>
      </c>
      <c r="D1057" s="5" t="s">
        <v>1768</v>
      </c>
      <c r="E1057" s="5" t="s">
        <v>1771</v>
      </c>
      <c r="F1057" s="5" t="s">
        <v>333</v>
      </c>
      <c r="G1057" s="5" t="s">
        <v>334</v>
      </c>
      <c r="H1057" s="6">
        <f>+P1057-I1057-J1057</f>
        <v>0</v>
      </c>
      <c r="I1057" s="6">
        <f t="shared" si="210"/>
        <v>2480400</v>
      </c>
      <c r="J1057" s="6">
        <v>471276</v>
      </c>
      <c r="K1057" s="6">
        <v>0</v>
      </c>
      <c r="L1057" s="6">
        <v>0</v>
      </c>
      <c r="M1057" s="6">
        <f t="shared" si="208"/>
        <v>2480400</v>
      </c>
      <c r="N1057" s="6">
        <f t="shared" ref="N1057:N1059" si="212">+J1057+L1057</f>
        <v>471276</v>
      </c>
      <c r="O1057" s="6">
        <f t="shared" si="211"/>
        <v>2951676</v>
      </c>
      <c r="P1057" s="6">
        <v>2951676</v>
      </c>
      <c r="Q1057" s="6">
        <f t="shared" si="209"/>
        <v>2480400</v>
      </c>
      <c r="R1057" s="6">
        <f t="shared" si="205"/>
        <v>62010</v>
      </c>
      <c r="T1057"/>
    </row>
    <row r="1058" spans="2:22" s="5" customFormat="1" x14ac:dyDescent="0.3">
      <c r="B1058" s="5" t="s">
        <v>16</v>
      </c>
      <c r="C1058" s="5" t="s">
        <v>1772</v>
      </c>
      <c r="D1058" s="5" t="s">
        <v>35</v>
      </c>
      <c r="E1058" s="5" t="s">
        <v>548</v>
      </c>
      <c r="F1058" s="5" t="s">
        <v>264</v>
      </c>
      <c r="G1058" s="5" t="s">
        <v>265</v>
      </c>
      <c r="H1058" s="6">
        <v>0</v>
      </c>
      <c r="I1058" s="6">
        <f t="shared" si="210"/>
        <v>11985880</v>
      </c>
      <c r="J1058" s="6">
        <v>2277317.2000000002</v>
      </c>
      <c r="K1058" s="6">
        <v>0</v>
      </c>
      <c r="L1058" s="6">
        <v>0</v>
      </c>
      <c r="M1058" s="6">
        <f t="shared" si="208"/>
        <v>11985880</v>
      </c>
      <c r="N1058" s="6">
        <f t="shared" si="212"/>
        <v>2277317.2000000002</v>
      </c>
      <c r="O1058" s="6">
        <f t="shared" si="211"/>
        <v>14263197.199999999</v>
      </c>
      <c r="P1058" s="6">
        <v>14263197.199999999</v>
      </c>
      <c r="Q1058" s="6">
        <f t="shared" si="209"/>
        <v>11985880</v>
      </c>
      <c r="R1058" s="6">
        <f t="shared" si="205"/>
        <v>299647</v>
      </c>
      <c r="T1058"/>
    </row>
    <row r="1059" spans="2:22" s="5" customFormat="1" x14ac:dyDescent="0.3">
      <c r="B1059" s="7" t="s">
        <v>16</v>
      </c>
      <c r="C1059" s="7" t="s">
        <v>1773</v>
      </c>
      <c r="D1059" s="7" t="s">
        <v>35</v>
      </c>
      <c r="E1059" s="7" t="s">
        <v>698</v>
      </c>
      <c r="F1059" s="7" t="s">
        <v>264</v>
      </c>
      <c r="G1059" s="7" t="s">
        <v>265</v>
      </c>
      <c r="H1059" s="8">
        <f>+P1059-I1059-J1059</f>
        <v>0</v>
      </c>
      <c r="I1059" s="8">
        <f t="shared" si="210"/>
        <v>15483251.999999998</v>
      </c>
      <c r="J1059" s="8">
        <v>2941817.88</v>
      </c>
      <c r="K1059" s="8">
        <v>0</v>
      </c>
      <c r="L1059" s="8">
        <v>0</v>
      </c>
      <c r="M1059" s="8">
        <f>+I1059+H1059</f>
        <v>15483251.999999998</v>
      </c>
      <c r="N1059" s="8">
        <f t="shared" si="212"/>
        <v>2941817.88</v>
      </c>
      <c r="O1059" s="8">
        <f t="shared" si="211"/>
        <v>18425069.879999999</v>
      </c>
      <c r="P1059" s="8">
        <v>18425069.879999999</v>
      </c>
      <c r="Q1059" s="8">
        <f t="shared" si="209"/>
        <v>15483251.999999998</v>
      </c>
      <c r="R1059" s="8">
        <f t="shared" si="205"/>
        <v>387081.29999999993</v>
      </c>
      <c r="T1059"/>
      <c r="U1059"/>
      <c r="V1059"/>
    </row>
    <row r="1060" spans="2:22" s="5" customFormat="1" x14ac:dyDescent="0.3">
      <c r="B1060" s="5" t="s">
        <v>16</v>
      </c>
      <c r="C1060" s="5" t="s">
        <v>1774</v>
      </c>
      <c r="D1060" s="5" t="s">
        <v>35</v>
      </c>
      <c r="E1060" s="5" t="s">
        <v>559</v>
      </c>
      <c r="F1060" s="5" t="s">
        <v>264</v>
      </c>
      <c r="G1060" s="5" t="s">
        <v>265</v>
      </c>
      <c r="H1060" s="6">
        <f>+P1060-I1060-J1060</f>
        <v>0</v>
      </c>
      <c r="I1060" s="6">
        <f t="shared" si="210"/>
        <v>3338614</v>
      </c>
      <c r="J1060" s="6">
        <v>634336.66</v>
      </c>
      <c r="K1060" s="6">
        <v>0</v>
      </c>
      <c r="L1060" s="6">
        <v>0</v>
      </c>
      <c r="M1060" s="6">
        <f>+H1060+I1060+K1060</f>
        <v>3338614</v>
      </c>
      <c r="N1060" s="6">
        <f>J1060+L1060</f>
        <v>634336.66</v>
      </c>
      <c r="O1060" s="6">
        <f t="shared" si="211"/>
        <v>3972950.66</v>
      </c>
      <c r="P1060" s="6">
        <v>3972950.66</v>
      </c>
      <c r="Q1060" s="6">
        <f t="shared" si="209"/>
        <v>3338614</v>
      </c>
      <c r="R1060" s="6">
        <f t="shared" si="205"/>
        <v>83465.350000000006</v>
      </c>
      <c r="T1060"/>
      <c r="U1060"/>
      <c r="V1060"/>
    </row>
    <row r="1061" spans="2:22" s="5" customFormat="1" x14ac:dyDescent="0.3">
      <c r="B1061" s="5" t="s">
        <v>16</v>
      </c>
      <c r="C1061" s="5" t="s">
        <v>1775</v>
      </c>
      <c r="D1061" s="5" t="s">
        <v>35</v>
      </c>
      <c r="E1061" s="5" t="s">
        <v>64</v>
      </c>
      <c r="F1061" s="5" t="s">
        <v>264</v>
      </c>
      <c r="G1061" s="5" t="s">
        <v>265</v>
      </c>
      <c r="H1061" s="6">
        <f>+P1061-I1061-J1061</f>
        <v>0</v>
      </c>
      <c r="I1061" s="6">
        <f t="shared" si="210"/>
        <v>18424902</v>
      </c>
      <c r="J1061" s="6">
        <v>3500731.38</v>
      </c>
      <c r="K1061" s="6">
        <v>0</v>
      </c>
      <c r="L1061" s="6">
        <v>0</v>
      </c>
      <c r="M1061" s="6">
        <f>+H1061+I1061+K1061</f>
        <v>18424902</v>
      </c>
      <c r="N1061" s="6">
        <f t="shared" ref="N1061:N1068" si="213">+J1061+L1061</f>
        <v>3500731.38</v>
      </c>
      <c r="O1061" s="6">
        <f t="shared" si="211"/>
        <v>21925633.379999999</v>
      </c>
      <c r="P1061" s="6">
        <v>21925633.379999999</v>
      </c>
      <c r="Q1061" s="6">
        <f>+M1061-1193300</f>
        <v>17231602</v>
      </c>
      <c r="R1061" s="6">
        <f t="shared" si="205"/>
        <v>430790.05</v>
      </c>
      <c r="T1061"/>
      <c r="U1061" s="7"/>
      <c r="V1061" s="7"/>
    </row>
    <row r="1062" spans="2:22" s="5" customFormat="1" x14ac:dyDescent="0.3">
      <c r="B1062" s="5" t="s">
        <v>16</v>
      </c>
      <c r="C1062" s="5" t="s">
        <v>1776</v>
      </c>
      <c r="D1062" s="5" t="s">
        <v>35</v>
      </c>
      <c r="E1062" s="5" t="s">
        <v>486</v>
      </c>
      <c r="F1062" s="5" t="s">
        <v>264</v>
      </c>
      <c r="G1062" s="5" t="s">
        <v>265</v>
      </c>
      <c r="H1062" s="6">
        <v>0</v>
      </c>
      <c r="I1062" s="6">
        <f t="shared" si="210"/>
        <v>8602516.4736842103</v>
      </c>
      <c r="J1062" s="6">
        <v>1634478.13</v>
      </c>
      <c r="K1062" s="6">
        <v>0</v>
      </c>
      <c r="L1062" s="6">
        <v>0</v>
      </c>
      <c r="M1062" s="6">
        <f>+H1062+I1062+K1062</f>
        <v>8602516.4736842103</v>
      </c>
      <c r="N1062" s="6">
        <f t="shared" si="213"/>
        <v>1634478.13</v>
      </c>
      <c r="O1062" s="6">
        <f t="shared" si="211"/>
        <v>10236994.603684209</v>
      </c>
      <c r="P1062" s="6">
        <v>10236994.59</v>
      </c>
      <c r="Q1062" s="6">
        <f t="shared" ref="Q1062:Q1068" si="214">+M1062</f>
        <v>8602516.4736842103</v>
      </c>
      <c r="R1062" s="6">
        <f t="shared" si="205"/>
        <v>215062.91184210524</v>
      </c>
      <c r="T1062"/>
      <c r="U1062"/>
      <c r="V1062"/>
    </row>
    <row r="1063" spans="2:22" x14ac:dyDescent="0.3">
      <c r="B1063" s="5" t="s">
        <v>16</v>
      </c>
      <c r="C1063" s="5" t="s">
        <v>1777</v>
      </c>
      <c r="D1063" s="5" t="s">
        <v>35</v>
      </c>
      <c r="E1063" s="5" t="s">
        <v>1053</v>
      </c>
      <c r="F1063" s="5" t="s">
        <v>264</v>
      </c>
      <c r="G1063" s="5" t="s">
        <v>265</v>
      </c>
      <c r="H1063" s="6">
        <v>0</v>
      </c>
      <c r="I1063" s="6">
        <f t="shared" si="210"/>
        <v>33694561.631578945</v>
      </c>
      <c r="J1063" s="6">
        <v>6401966.71</v>
      </c>
      <c r="K1063" s="6">
        <v>0</v>
      </c>
      <c r="L1063" s="6">
        <v>0</v>
      </c>
      <c r="M1063" s="6">
        <f>+H1063+I1063+K1063</f>
        <v>33694561.631578945</v>
      </c>
      <c r="N1063" s="6">
        <f t="shared" si="213"/>
        <v>6401966.71</v>
      </c>
      <c r="O1063" s="6">
        <f t="shared" si="211"/>
        <v>40096528.341578946</v>
      </c>
      <c r="P1063" s="6">
        <v>40096528.350000001</v>
      </c>
      <c r="Q1063" s="6">
        <f t="shared" si="214"/>
        <v>33694561.631578945</v>
      </c>
      <c r="R1063" s="6">
        <f t="shared" si="205"/>
        <v>842364.04078947369</v>
      </c>
      <c r="S1063" s="5"/>
      <c r="U1063" s="5"/>
      <c r="V1063" s="5"/>
    </row>
    <row r="1064" spans="2:22" s="5" customFormat="1" x14ac:dyDescent="0.3">
      <c r="B1064" s="5" t="s">
        <v>16</v>
      </c>
      <c r="C1064" s="5" t="s">
        <v>1778</v>
      </c>
      <c r="D1064" s="5" t="s">
        <v>35</v>
      </c>
      <c r="E1064" s="5" t="s">
        <v>892</v>
      </c>
      <c r="F1064" s="5" t="s">
        <v>264</v>
      </c>
      <c r="G1064" s="5" t="s">
        <v>265</v>
      </c>
      <c r="H1064" s="6">
        <f>+P1064-I1064-J1064</f>
        <v>-2.1052631607744843E-2</v>
      </c>
      <c r="I1064" s="6">
        <f t="shared" si="210"/>
        <v>2230586.4210526315</v>
      </c>
      <c r="J1064" s="6">
        <v>423811.42</v>
      </c>
      <c r="K1064" s="6">
        <v>0</v>
      </c>
      <c r="L1064" s="6">
        <v>0</v>
      </c>
      <c r="M1064" s="6">
        <f>+H1064+I1064+K1064</f>
        <v>2230586.4</v>
      </c>
      <c r="N1064" s="6">
        <f t="shared" si="213"/>
        <v>423811.42</v>
      </c>
      <c r="O1064" s="6">
        <f t="shared" si="211"/>
        <v>2654397.8199999998</v>
      </c>
      <c r="P1064" s="6">
        <v>2654397.8199999998</v>
      </c>
      <c r="Q1064" s="6">
        <f t="shared" si="214"/>
        <v>2230586.4</v>
      </c>
      <c r="R1064" s="6">
        <f t="shared" si="205"/>
        <v>55764.66</v>
      </c>
      <c r="T1064"/>
    </row>
    <row r="1065" spans="2:22" s="5" customFormat="1" x14ac:dyDescent="0.3">
      <c r="B1065" s="7" t="s">
        <v>16</v>
      </c>
      <c r="C1065" s="7" t="s">
        <v>1779</v>
      </c>
      <c r="D1065" s="7" t="s">
        <v>35</v>
      </c>
      <c r="E1065" s="7" t="s">
        <v>1683</v>
      </c>
      <c r="F1065" s="7" t="s">
        <v>242</v>
      </c>
      <c r="G1065" s="7" t="s">
        <v>243</v>
      </c>
      <c r="H1065" s="8">
        <f>+P1065-I1065-J1065</f>
        <v>0</v>
      </c>
      <c r="I1065" s="8">
        <f t="shared" si="210"/>
        <v>13364530.000000002</v>
      </c>
      <c r="J1065" s="8">
        <v>2539260.7000000002</v>
      </c>
      <c r="K1065" s="8">
        <v>0</v>
      </c>
      <c r="L1065" s="8">
        <v>0</v>
      </c>
      <c r="M1065" s="8">
        <f>+I1065+H1065</f>
        <v>13364530.000000002</v>
      </c>
      <c r="N1065" s="8">
        <f t="shared" si="213"/>
        <v>2539260.7000000002</v>
      </c>
      <c r="O1065" s="8">
        <f t="shared" si="211"/>
        <v>15903790.700000003</v>
      </c>
      <c r="P1065" s="8">
        <v>15903790.699999999</v>
      </c>
      <c r="Q1065" s="8">
        <f t="shared" si="214"/>
        <v>13364530.000000002</v>
      </c>
      <c r="R1065" s="8">
        <f t="shared" si="205"/>
        <v>334113.25000000006</v>
      </c>
      <c r="T1065"/>
    </row>
    <row r="1066" spans="2:22" s="5" customFormat="1" x14ac:dyDescent="0.3">
      <c r="B1066" s="5" t="s">
        <v>16</v>
      </c>
      <c r="C1066" s="5" t="s">
        <v>1780</v>
      </c>
      <c r="D1066" s="5" t="s">
        <v>35</v>
      </c>
      <c r="E1066" s="5" t="s">
        <v>98</v>
      </c>
      <c r="F1066" s="5" t="s">
        <v>242</v>
      </c>
      <c r="G1066" s="5" t="s">
        <v>243</v>
      </c>
      <c r="H1066" s="6">
        <f>+P1066-I1066-J1066</f>
        <v>0</v>
      </c>
      <c r="I1066" s="6">
        <f t="shared" si="210"/>
        <v>938340</v>
      </c>
      <c r="J1066" s="6">
        <v>178284.6</v>
      </c>
      <c r="K1066" s="6">
        <v>0</v>
      </c>
      <c r="L1066" s="6">
        <v>0</v>
      </c>
      <c r="M1066" s="6">
        <f>+H1066+I1066+K1066</f>
        <v>938340</v>
      </c>
      <c r="N1066" s="6">
        <f t="shared" si="213"/>
        <v>178284.6</v>
      </c>
      <c r="O1066" s="6">
        <f t="shared" si="211"/>
        <v>1116624.6000000001</v>
      </c>
      <c r="P1066" s="6">
        <v>1116624.6000000001</v>
      </c>
      <c r="Q1066" s="6">
        <f t="shared" si="214"/>
        <v>938340</v>
      </c>
      <c r="R1066" s="6">
        <f t="shared" si="205"/>
        <v>23458.5</v>
      </c>
      <c r="T1066"/>
    </row>
    <row r="1067" spans="2:22" x14ac:dyDescent="0.3">
      <c r="B1067" s="5" t="s">
        <v>16</v>
      </c>
      <c r="C1067" s="5" t="s">
        <v>1781</v>
      </c>
      <c r="D1067" s="5" t="s">
        <v>35</v>
      </c>
      <c r="E1067" s="5" t="s">
        <v>98</v>
      </c>
      <c r="F1067" s="5" t="s">
        <v>242</v>
      </c>
      <c r="G1067" s="5" t="s">
        <v>243</v>
      </c>
      <c r="H1067" s="6">
        <f>+P1067-I1067-J1067</f>
        <v>0</v>
      </c>
      <c r="I1067" s="6">
        <f t="shared" si="210"/>
        <v>20028820</v>
      </c>
      <c r="J1067" s="6">
        <v>3805475.8</v>
      </c>
      <c r="K1067" s="6">
        <v>0</v>
      </c>
      <c r="L1067" s="6">
        <v>0</v>
      </c>
      <c r="M1067" s="6">
        <f>+H1067+I1067+K1067</f>
        <v>20028820</v>
      </c>
      <c r="N1067" s="6">
        <f t="shared" si="213"/>
        <v>3805475.8</v>
      </c>
      <c r="O1067" s="6">
        <f t="shared" si="211"/>
        <v>23834295.800000001</v>
      </c>
      <c r="P1067" s="6">
        <v>23834295.800000001</v>
      </c>
      <c r="Q1067" s="6">
        <f t="shared" si="214"/>
        <v>20028820</v>
      </c>
      <c r="R1067" s="6">
        <f t="shared" si="205"/>
        <v>500720.5</v>
      </c>
      <c r="U1067" s="5"/>
      <c r="V1067" s="5"/>
    </row>
    <row r="1068" spans="2:22" x14ac:dyDescent="0.3">
      <c r="B1068" s="5" t="s">
        <v>16</v>
      </c>
      <c r="C1068" s="5" t="s">
        <v>1782</v>
      </c>
      <c r="D1068" s="5" t="s">
        <v>35</v>
      </c>
      <c r="E1068" s="5" t="s">
        <v>61</v>
      </c>
      <c r="F1068" s="5" t="s">
        <v>242</v>
      </c>
      <c r="G1068" s="5" t="s">
        <v>243</v>
      </c>
      <c r="H1068" s="6">
        <f>+P1068-I1068-J1068-K1068-L1068</f>
        <v>0</v>
      </c>
      <c r="I1068" s="6">
        <f t="shared" si="210"/>
        <v>9445200</v>
      </c>
      <c r="J1068" s="6">
        <v>1794588</v>
      </c>
      <c r="K1068" s="6">
        <v>0</v>
      </c>
      <c r="L1068" s="6">
        <v>0</v>
      </c>
      <c r="M1068" s="6">
        <f>+H1068+I1068+K1068</f>
        <v>9445200</v>
      </c>
      <c r="N1068" s="6">
        <f t="shared" si="213"/>
        <v>1794588</v>
      </c>
      <c r="O1068" s="6">
        <f t="shared" si="211"/>
        <v>11239788</v>
      </c>
      <c r="P1068" s="6">
        <v>11239788</v>
      </c>
      <c r="Q1068" s="6">
        <f t="shared" si="214"/>
        <v>9445200</v>
      </c>
      <c r="R1068" s="6">
        <f t="shared" si="205"/>
        <v>236130</v>
      </c>
      <c r="U1068" s="5"/>
      <c r="V1068" s="5"/>
    </row>
    <row r="1069" spans="2:22" s="5" customFormat="1" x14ac:dyDescent="0.3">
      <c r="B1069" s="5" t="s">
        <v>16</v>
      </c>
      <c r="C1069" s="5" t="s">
        <v>1783</v>
      </c>
      <c r="D1069" s="5" t="s">
        <v>35</v>
      </c>
      <c r="E1069" s="5" t="s">
        <v>1174</v>
      </c>
      <c r="F1069" s="5" t="s">
        <v>187</v>
      </c>
      <c r="G1069" s="5" t="s">
        <v>188</v>
      </c>
      <c r="H1069" s="6">
        <v>0</v>
      </c>
      <c r="I1069" s="6">
        <f t="shared" si="210"/>
        <v>692512</v>
      </c>
      <c r="J1069" s="6">
        <v>131577.28</v>
      </c>
      <c r="K1069" s="6"/>
      <c r="L1069" s="6"/>
      <c r="M1069" s="6">
        <f>+H1069+I1069</f>
        <v>692512</v>
      </c>
      <c r="N1069" s="6">
        <f>+J1069</f>
        <v>131577.28</v>
      </c>
      <c r="O1069" s="6">
        <f t="shared" si="211"/>
        <v>824089.28</v>
      </c>
      <c r="P1069" s="6">
        <v>824089.28</v>
      </c>
      <c r="Q1069" s="6"/>
      <c r="R1069" s="6">
        <f t="shared" si="205"/>
        <v>0</v>
      </c>
      <c r="T1069"/>
    </row>
    <row r="1070" spans="2:22" s="5" customFormat="1" x14ac:dyDescent="0.3">
      <c r="B1070" s="5" t="s">
        <v>16</v>
      </c>
      <c r="C1070" s="5" t="s">
        <v>1784</v>
      </c>
      <c r="D1070" s="5" t="s">
        <v>35</v>
      </c>
      <c r="E1070" s="5" t="s">
        <v>938</v>
      </c>
      <c r="F1070" s="5" t="s">
        <v>187</v>
      </c>
      <c r="G1070" s="5" t="s">
        <v>188</v>
      </c>
      <c r="H1070" s="6">
        <v>0</v>
      </c>
      <c r="I1070" s="6">
        <f t="shared" si="210"/>
        <v>2640493</v>
      </c>
      <c r="J1070" s="6">
        <v>501693.67</v>
      </c>
      <c r="K1070" s="6"/>
      <c r="L1070" s="6"/>
      <c r="M1070" s="6">
        <f>+H1070+I1070</f>
        <v>2640493</v>
      </c>
      <c r="N1070" s="6">
        <f>+J1070</f>
        <v>501693.67</v>
      </c>
      <c r="O1070" s="6">
        <f t="shared" si="211"/>
        <v>3142186.67</v>
      </c>
      <c r="P1070" s="6">
        <v>3142186.67</v>
      </c>
      <c r="Q1070" s="6">
        <f t="shared" ref="Q1070:Q1085" si="215">+M1070</f>
        <v>2640493</v>
      </c>
      <c r="R1070" s="6">
        <f t="shared" si="205"/>
        <v>66012.324999999997</v>
      </c>
      <c r="T1070"/>
      <c r="U1070" s="7"/>
      <c r="V1070" s="7"/>
    </row>
    <row r="1071" spans="2:22" s="5" customFormat="1" x14ac:dyDescent="0.3">
      <c r="B1071" s="5" t="s">
        <v>16</v>
      </c>
      <c r="C1071" s="5" t="s">
        <v>1785</v>
      </c>
      <c r="D1071" s="5" t="s">
        <v>35</v>
      </c>
      <c r="E1071" s="5" t="s">
        <v>807</v>
      </c>
      <c r="F1071" s="5" t="s">
        <v>187</v>
      </c>
      <c r="G1071" s="5" t="s">
        <v>188</v>
      </c>
      <c r="H1071" s="6">
        <v>0</v>
      </c>
      <c r="I1071" s="6">
        <f t="shared" si="210"/>
        <v>8766117</v>
      </c>
      <c r="J1071" s="6">
        <v>1665562.23</v>
      </c>
      <c r="K1071" s="6"/>
      <c r="L1071" s="6"/>
      <c r="M1071" s="6">
        <f>+H1071+I1071</f>
        <v>8766117</v>
      </c>
      <c r="N1071" s="6">
        <f>+J1071</f>
        <v>1665562.23</v>
      </c>
      <c r="O1071" s="6">
        <f t="shared" si="211"/>
        <v>10431679.23</v>
      </c>
      <c r="P1071" s="6">
        <v>10431679.23</v>
      </c>
      <c r="Q1071" s="6">
        <f t="shared" si="215"/>
        <v>8766117</v>
      </c>
      <c r="R1071" s="6">
        <f t="shared" si="205"/>
        <v>219152.92499999999</v>
      </c>
      <c r="T1071"/>
      <c r="U1071"/>
      <c r="V1071"/>
    </row>
    <row r="1072" spans="2:22" x14ac:dyDescent="0.3">
      <c r="B1072" s="5" t="s">
        <v>16</v>
      </c>
      <c r="C1072" s="5" t="s">
        <v>1786</v>
      </c>
      <c r="D1072" s="5" t="s">
        <v>35</v>
      </c>
      <c r="E1072" s="5" t="s">
        <v>324</v>
      </c>
      <c r="F1072" s="5" t="s">
        <v>187</v>
      </c>
      <c r="G1072" s="5" t="s">
        <v>188</v>
      </c>
      <c r="H1072" s="6">
        <f t="shared" ref="H1072:H1077" si="216">+P1072-I1072-J1072</f>
        <v>0</v>
      </c>
      <c r="I1072" s="6">
        <f t="shared" si="210"/>
        <v>4302990</v>
      </c>
      <c r="J1072" s="6">
        <v>817568.1</v>
      </c>
      <c r="K1072" s="6">
        <v>0</v>
      </c>
      <c r="L1072" s="6">
        <v>0</v>
      </c>
      <c r="M1072" s="6">
        <f t="shared" ref="M1072:M1085" si="217">+H1072+I1072+K1072</f>
        <v>4302990</v>
      </c>
      <c r="N1072" s="6">
        <f t="shared" ref="N1072:N1093" si="218">+J1072+L1072</f>
        <v>817568.1</v>
      </c>
      <c r="O1072" s="6">
        <f t="shared" si="211"/>
        <v>5120558.0999999996</v>
      </c>
      <c r="P1072" s="6">
        <v>5120558.0999999996</v>
      </c>
      <c r="Q1072" s="6">
        <f t="shared" si="215"/>
        <v>4302990</v>
      </c>
      <c r="R1072" s="6">
        <f t="shared" si="205"/>
        <v>107574.75</v>
      </c>
      <c r="S1072" s="5"/>
      <c r="U1072" s="5"/>
      <c r="V1072" s="5"/>
    </row>
    <row r="1073" spans="2:22" x14ac:dyDescent="0.3">
      <c r="B1073" s="5" t="s">
        <v>16</v>
      </c>
      <c r="C1073" s="5" t="s">
        <v>1787</v>
      </c>
      <c r="D1073" s="5" t="s">
        <v>35</v>
      </c>
      <c r="E1073" s="5" t="s">
        <v>1282</v>
      </c>
      <c r="F1073" s="5" t="s">
        <v>187</v>
      </c>
      <c r="G1073" s="5" t="s">
        <v>188</v>
      </c>
      <c r="H1073" s="6">
        <f t="shared" si="216"/>
        <v>0</v>
      </c>
      <c r="I1073" s="6">
        <f t="shared" si="210"/>
        <v>5800791</v>
      </c>
      <c r="J1073" s="6">
        <v>1102150.29</v>
      </c>
      <c r="K1073" s="6">
        <v>0</v>
      </c>
      <c r="L1073" s="6">
        <v>0</v>
      </c>
      <c r="M1073" s="6">
        <f t="shared" si="217"/>
        <v>5800791</v>
      </c>
      <c r="N1073" s="6">
        <f t="shared" si="218"/>
        <v>1102150.29</v>
      </c>
      <c r="O1073" s="6">
        <f t="shared" si="211"/>
        <v>6902941.29</v>
      </c>
      <c r="P1073" s="6">
        <v>6902941.29</v>
      </c>
      <c r="Q1073" s="6">
        <f t="shared" si="215"/>
        <v>5800791</v>
      </c>
      <c r="R1073" s="6">
        <f t="shared" si="205"/>
        <v>145019.77499999999</v>
      </c>
      <c r="U1073" s="5"/>
      <c r="V1073" s="5"/>
    </row>
    <row r="1074" spans="2:22" s="5" customFormat="1" x14ac:dyDescent="0.3">
      <c r="B1074" s="5" t="s">
        <v>16</v>
      </c>
      <c r="C1074" s="5" t="s">
        <v>1788</v>
      </c>
      <c r="D1074" s="5" t="s">
        <v>35</v>
      </c>
      <c r="E1074" s="5" t="s">
        <v>577</v>
      </c>
      <c r="F1074" s="5" t="s">
        <v>187</v>
      </c>
      <c r="G1074" s="5" t="s">
        <v>188</v>
      </c>
      <c r="H1074" s="6">
        <f t="shared" si="216"/>
        <v>0</v>
      </c>
      <c r="I1074" s="6">
        <f t="shared" si="210"/>
        <v>7734389</v>
      </c>
      <c r="J1074" s="6">
        <v>1469533.91</v>
      </c>
      <c r="K1074" s="6">
        <v>0</v>
      </c>
      <c r="L1074" s="6">
        <v>0</v>
      </c>
      <c r="M1074" s="6">
        <f t="shared" si="217"/>
        <v>7734389</v>
      </c>
      <c r="N1074" s="6">
        <f t="shared" si="218"/>
        <v>1469533.91</v>
      </c>
      <c r="O1074" s="6">
        <f t="shared" si="211"/>
        <v>9203922.9100000001</v>
      </c>
      <c r="P1074" s="6">
        <v>9203922.9100000001</v>
      </c>
      <c r="Q1074" s="6">
        <f t="shared" si="215"/>
        <v>7734389</v>
      </c>
      <c r="R1074" s="6">
        <f t="shared" si="205"/>
        <v>193359.72500000001</v>
      </c>
      <c r="T1074"/>
    </row>
    <row r="1075" spans="2:22" s="5" customFormat="1" x14ac:dyDescent="0.3">
      <c r="B1075" s="5" t="s">
        <v>16</v>
      </c>
      <c r="C1075" s="5" t="s">
        <v>1789</v>
      </c>
      <c r="D1075" s="5" t="s">
        <v>35</v>
      </c>
      <c r="E1075" s="5" t="s">
        <v>1613</v>
      </c>
      <c r="F1075" s="5" t="s">
        <v>187</v>
      </c>
      <c r="G1075" s="5" t="s">
        <v>188</v>
      </c>
      <c r="H1075" s="6">
        <f t="shared" si="216"/>
        <v>0</v>
      </c>
      <c r="I1075" s="6">
        <f t="shared" si="210"/>
        <v>6048731</v>
      </c>
      <c r="J1075" s="6">
        <v>1149258.8899999999</v>
      </c>
      <c r="K1075" s="6">
        <v>0</v>
      </c>
      <c r="L1075" s="6">
        <v>0</v>
      </c>
      <c r="M1075" s="6">
        <f t="shared" si="217"/>
        <v>6048731</v>
      </c>
      <c r="N1075" s="6">
        <f t="shared" si="218"/>
        <v>1149258.8899999999</v>
      </c>
      <c r="O1075" s="6">
        <f t="shared" si="211"/>
        <v>7197989.8899999997</v>
      </c>
      <c r="P1075" s="6">
        <v>7197989.8899999997</v>
      </c>
      <c r="Q1075" s="6">
        <f t="shared" si="215"/>
        <v>6048731</v>
      </c>
      <c r="R1075" s="6">
        <f t="shared" si="205"/>
        <v>151218.27499999999</v>
      </c>
      <c r="T1075"/>
    </row>
    <row r="1076" spans="2:22" s="5" customFormat="1" x14ac:dyDescent="0.3">
      <c r="B1076" s="5" t="s">
        <v>16</v>
      </c>
      <c r="C1076" s="5" t="s">
        <v>1790</v>
      </c>
      <c r="D1076" s="5" t="s">
        <v>35</v>
      </c>
      <c r="E1076" s="5" t="s">
        <v>1555</v>
      </c>
      <c r="F1076" s="5" t="s">
        <v>187</v>
      </c>
      <c r="G1076" s="5" t="s">
        <v>188</v>
      </c>
      <c r="H1076" s="6">
        <f t="shared" si="216"/>
        <v>0</v>
      </c>
      <c r="I1076" s="6">
        <f t="shared" si="210"/>
        <v>768960</v>
      </c>
      <c r="J1076" s="6">
        <v>146102.39999999999</v>
      </c>
      <c r="K1076" s="6">
        <v>0</v>
      </c>
      <c r="L1076" s="6">
        <v>0</v>
      </c>
      <c r="M1076" s="6">
        <f t="shared" si="217"/>
        <v>768960</v>
      </c>
      <c r="N1076" s="6">
        <f t="shared" si="218"/>
        <v>146102.39999999999</v>
      </c>
      <c r="O1076" s="6">
        <f t="shared" si="211"/>
        <v>915062.4</v>
      </c>
      <c r="P1076" s="6">
        <v>915062.4</v>
      </c>
      <c r="Q1076" s="6">
        <f t="shared" si="215"/>
        <v>768960</v>
      </c>
      <c r="R1076" s="6">
        <f t="shared" ref="R1076:R1117" si="219">+Q1076*2.5/100</f>
        <v>19224</v>
      </c>
      <c r="T1076"/>
    </row>
    <row r="1077" spans="2:22" s="5" customFormat="1" x14ac:dyDescent="0.3">
      <c r="B1077" s="5" t="s">
        <v>16</v>
      </c>
      <c r="C1077" s="5" t="s">
        <v>1791</v>
      </c>
      <c r="D1077" s="5" t="s">
        <v>35</v>
      </c>
      <c r="E1077" s="5" t="s">
        <v>216</v>
      </c>
      <c r="F1077" s="5" t="s">
        <v>187</v>
      </c>
      <c r="G1077" s="5" t="s">
        <v>188</v>
      </c>
      <c r="H1077" s="6">
        <f t="shared" si="216"/>
        <v>0</v>
      </c>
      <c r="I1077" s="6">
        <f t="shared" si="210"/>
        <v>8854970</v>
      </c>
      <c r="J1077" s="6">
        <v>1682444.3</v>
      </c>
      <c r="K1077" s="6">
        <v>0</v>
      </c>
      <c r="L1077" s="6">
        <v>0</v>
      </c>
      <c r="M1077" s="6">
        <f t="shared" si="217"/>
        <v>8854970</v>
      </c>
      <c r="N1077" s="6">
        <f t="shared" si="218"/>
        <v>1682444.3</v>
      </c>
      <c r="O1077" s="6">
        <f t="shared" si="211"/>
        <v>10537414.300000001</v>
      </c>
      <c r="P1077" s="6">
        <v>10537414.300000001</v>
      </c>
      <c r="Q1077" s="6">
        <f t="shared" si="215"/>
        <v>8854970</v>
      </c>
      <c r="R1077" s="6">
        <f t="shared" si="219"/>
        <v>221374.25</v>
      </c>
      <c r="S1077" s="7"/>
      <c r="T1077"/>
    </row>
    <row r="1078" spans="2:22" s="5" customFormat="1" x14ac:dyDescent="0.3">
      <c r="B1078" s="5" t="s">
        <v>16</v>
      </c>
      <c r="C1078" s="5" t="s">
        <v>1792</v>
      </c>
      <c r="D1078" s="5" t="s">
        <v>35</v>
      </c>
      <c r="E1078" s="5" t="s">
        <v>1531</v>
      </c>
      <c r="F1078" s="5" t="s">
        <v>187</v>
      </c>
      <c r="G1078" s="5" t="s">
        <v>188</v>
      </c>
      <c r="H1078" s="6">
        <v>0</v>
      </c>
      <c r="I1078" s="6">
        <f t="shared" si="210"/>
        <v>558408</v>
      </c>
      <c r="J1078" s="6">
        <v>106097.52</v>
      </c>
      <c r="K1078" s="6">
        <v>0</v>
      </c>
      <c r="L1078" s="6">
        <v>0</v>
      </c>
      <c r="M1078" s="6">
        <f t="shared" si="217"/>
        <v>558408</v>
      </c>
      <c r="N1078" s="6">
        <f t="shared" si="218"/>
        <v>106097.52</v>
      </c>
      <c r="O1078" s="6">
        <f t="shared" si="211"/>
        <v>664505.52</v>
      </c>
      <c r="P1078" s="6">
        <v>664505.52</v>
      </c>
      <c r="Q1078" s="6">
        <f t="shared" si="215"/>
        <v>558408</v>
      </c>
      <c r="R1078" s="6">
        <f t="shared" si="219"/>
        <v>13960.2</v>
      </c>
      <c r="T1078"/>
    </row>
    <row r="1079" spans="2:22" s="5" customFormat="1" x14ac:dyDescent="0.3">
      <c r="B1079" s="5" t="s">
        <v>16</v>
      </c>
      <c r="C1079" s="5" t="s">
        <v>1793</v>
      </c>
      <c r="D1079" s="5" t="s">
        <v>35</v>
      </c>
      <c r="E1079" s="5" t="s">
        <v>1056</v>
      </c>
      <c r="F1079" s="5" t="s">
        <v>187</v>
      </c>
      <c r="G1079" s="5" t="s">
        <v>188</v>
      </c>
      <c r="H1079" s="6">
        <v>0</v>
      </c>
      <c r="I1079" s="6">
        <f t="shared" si="210"/>
        <v>5864508</v>
      </c>
      <c r="J1079" s="6">
        <v>1114256.52</v>
      </c>
      <c r="K1079" s="6">
        <v>0</v>
      </c>
      <c r="L1079" s="6">
        <v>0</v>
      </c>
      <c r="M1079" s="6">
        <f t="shared" si="217"/>
        <v>5864508</v>
      </c>
      <c r="N1079" s="6">
        <f t="shared" si="218"/>
        <v>1114256.52</v>
      </c>
      <c r="O1079" s="6">
        <f t="shared" si="211"/>
        <v>6978764.5199999996</v>
      </c>
      <c r="P1079" s="6">
        <v>6978764.5199999996</v>
      </c>
      <c r="Q1079" s="6">
        <f t="shared" si="215"/>
        <v>5864508</v>
      </c>
      <c r="R1079" s="6">
        <f t="shared" si="219"/>
        <v>146612.70000000001</v>
      </c>
      <c r="T1079"/>
    </row>
    <row r="1080" spans="2:22" s="5" customFormat="1" x14ac:dyDescent="0.3">
      <c r="B1080" s="5" t="s">
        <v>16</v>
      </c>
      <c r="C1080" s="5" t="s">
        <v>1794</v>
      </c>
      <c r="D1080" s="5" t="s">
        <v>35</v>
      </c>
      <c r="E1080" s="5" t="s">
        <v>1617</v>
      </c>
      <c r="F1080" s="5" t="s">
        <v>187</v>
      </c>
      <c r="G1080" s="5" t="s">
        <v>188</v>
      </c>
      <c r="H1080" s="6">
        <v>0</v>
      </c>
      <c r="I1080" s="6">
        <f t="shared" si="210"/>
        <v>7734390.0000000009</v>
      </c>
      <c r="J1080" s="6">
        <v>1469534.1</v>
      </c>
      <c r="K1080" s="6">
        <v>0</v>
      </c>
      <c r="L1080" s="6">
        <v>0</v>
      </c>
      <c r="M1080" s="6">
        <f t="shared" si="217"/>
        <v>7734390.0000000009</v>
      </c>
      <c r="N1080" s="6">
        <f t="shared" si="218"/>
        <v>1469534.1</v>
      </c>
      <c r="O1080" s="6">
        <f t="shared" si="211"/>
        <v>9203924.1000000015</v>
      </c>
      <c r="P1080" s="6">
        <v>9203924.0999999996</v>
      </c>
      <c r="Q1080" s="6">
        <f t="shared" si="215"/>
        <v>7734390.0000000009</v>
      </c>
      <c r="R1080" s="6">
        <f t="shared" si="219"/>
        <v>193359.75000000003</v>
      </c>
      <c r="S1080" s="7"/>
      <c r="T1080"/>
    </row>
    <row r="1081" spans="2:22" s="5" customFormat="1" x14ac:dyDescent="0.3">
      <c r="B1081" s="5" t="s">
        <v>16</v>
      </c>
      <c r="C1081" s="5" t="s">
        <v>1795</v>
      </c>
      <c r="D1081" s="5" t="s">
        <v>35</v>
      </c>
      <c r="E1081" s="5" t="s">
        <v>81</v>
      </c>
      <c r="F1081" s="5" t="s">
        <v>187</v>
      </c>
      <c r="G1081" s="5" t="s">
        <v>188</v>
      </c>
      <c r="H1081" s="6">
        <f t="shared" ref="H1081:H1086" si="220">+P1081-I1081-J1081</f>
        <v>0</v>
      </c>
      <c r="I1081" s="6">
        <f t="shared" si="210"/>
        <v>576720</v>
      </c>
      <c r="J1081" s="6">
        <v>109576.8</v>
      </c>
      <c r="K1081" s="6">
        <v>0</v>
      </c>
      <c r="L1081" s="6">
        <v>0</v>
      </c>
      <c r="M1081" s="6">
        <f t="shared" si="217"/>
        <v>576720</v>
      </c>
      <c r="N1081" s="6">
        <f t="shared" si="218"/>
        <v>109576.8</v>
      </c>
      <c r="O1081" s="6">
        <f t="shared" si="211"/>
        <v>686296.8</v>
      </c>
      <c r="P1081" s="6">
        <v>686296.8</v>
      </c>
      <c r="Q1081" s="6">
        <f t="shared" si="215"/>
        <v>576720</v>
      </c>
      <c r="R1081" s="6">
        <f t="shared" si="219"/>
        <v>14418</v>
      </c>
      <c r="S1081" s="7"/>
      <c r="T1081"/>
    </row>
    <row r="1082" spans="2:22" s="5" customFormat="1" x14ac:dyDescent="0.3">
      <c r="B1082" s="5" t="s">
        <v>16</v>
      </c>
      <c r="C1082" s="5" t="s">
        <v>1796</v>
      </c>
      <c r="D1082" s="5" t="s">
        <v>35</v>
      </c>
      <c r="E1082" s="5" t="s">
        <v>1138</v>
      </c>
      <c r="F1082" s="5" t="s">
        <v>187</v>
      </c>
      <c r="G1082" s="5" t="s">
        <v>188</v>
      </c>
      <c r="H1082" s="6">
        <f t="shared" si="220"/>
        <v>0</v>
      </c>
      <c r="I1082" s="6">
        <f t="shared" si="210"/>
        <v>2618092</v>
      </c>
      <c r="J1082" s="6">
        <v>497437.48</v>
      </c>
      <c r="K1082" s="6">
        <v>0</v>
      </c>
      <c r="L1082" s="6">
        <v>0</v>
      </c>
      <c r="M1082" s="6">
        <f t="shared" si="217"/>
        <v>2618092</v>
      </c>
      <c r="N1082" s="6">
        <f t="shared" si="218"/>
        <v>497437.48</v>
      </c>
      <c r="O1082" s="6">
        <f t="shared" si="211"/>
        <v>3115529.48</v>
      </c>
      <c r="P1082" s="6">
        <v>3115529.48</v>
      </c>
      <c r="Q1082" s="6">
        <f t="shared" si="215"/>
        <v>2618092</v>
      </c>
      <c r="R1082" s="6">
        <f t="shared" si="219"/>
        <v>65452.3</v>
      </c>
      <c r="T1082"/>
      <c r="U1082" s="7"/>
      <c r="V1082" s="7"/>
    </row>
    <row r="1083" spans="2:22" s="5" customFormat="1" x14ac:dyDescent="0.3">
      <c r="B1083" s="5" t="s">
        <v>16</v>
      </c>
      <c r="C1083" s="5" t="s">
        <v>1797</v>
      </c>
      <c r="D1083" s="5" t="s">
        <v>35</v>
      </c>
      <c r="E1083" s="5" t="s">
        <v>1332</v>
      </c>
      <c r="F1083" s="5" t="s">
        <v>187</v>
      </c>
      <c r="G1083" s="5" t="s">
        <v>188</v>
      </c>
      <c r="H1083" s="6">
        <f t="shared" si="220"/>
        <v>0</v>
      </c>
      <c r="I1083" s="6">
        <f t="shared" si="210"/>
        <v>9023455</v>
      </c>
      <c r="J1083" s="6">
        <v>1714456.45</v>
      </c>
      <c r="K1083" s="6">
        <v>0</v>
      </c>
      <c r="L1083" s="6">
        <v>0</v>
      </c>
      <c r="M1083" s="6">
        <f t="shared" si="217"/>
        <v>9023455</v>
      </c>
      <c r="N1083" s="6">
        <f t="shared" si="218"/>
        <v>1714456.45</v>
      </c>
      <c r="O1083" s="6">
        <f t="shared" si="211"/>
        <v>10737911.449999999</v>
      </c>
      <c r="P1083" s="6">
        <v>10737911.449999999</v>
      </c>
      <c r="Q1083" s="6">
        <f t="shared" si="215"/>
        <v>9023455</v>
      </c>
      <c r="R1083" s="6">
        <f t="shared" si="219"/>
        <v>225586.375</v>
      </c>
      <c r="T1083"/>
    </row>
    <row r="1084" spans="2:22" s="5" customFormat="1" x14ac:dyDescent="0.3">
      <c r="B1084" s="5" t="s">
        <v>16</v>
      </c>
      <c r="C1084" s="5" t="s">
        <v>1798</v>
      </c>
      <c r="D1084" s="5" t="s">
        <v>35</v>
      </c>
      <c r="E1084" s="5" t="s">
        <v>544</v>
      </c>
      <c r="F1084" s="5" t="s">
        <v>346</v>
      </c>
      <c r="G1084" s="5" t="s">
        <v>347</v>
      </c>
      <c r="H1084" s="6">
        <f t="shared" si="220"/>
        <v>5.4210526286624372E-2</v>
      </c>
      <c r="I1084" s="6">
        <f t="shared" si="210"/>
        <v>1008403.3157894737</v>
      </c>
      <c r="J1084" s="6">
        <v>191596.63</v>
      </c>
      <c r="K1084" s="6">
        <v>0</v>
      </c>
      <c r="L1084" s="6">
        <v>0</v>
      </c>
      <c r="M1084" s="6">
        <f t="shared" si="217"/>
        <v>1008403.37</v>
      </c>
      <c r="N1084" s="6">
        <f t="shared" si="218"/>
        <v>191596.63</v>
      </c>
      <c r="O1084" s="6">
        <f t="shared" si="211"/>
        <v>1200000</v>
      </c>
      <c r="P1084" s="6">
        <v>1200000</v>
      </c>
      <c r="Q1084" s="6">
        <f t="shared" si="215"/>
        <v>1008403.37</v>
      </c>
      <c r="R1084" s="6">
        <f t="shared" si="219"/>
        <v>25210.08425</v>
      </c>
      <c r="T1084"/>
    </row>
    <row r="1085" spans="2:22" s="5" customFormat="1" x14ac:dyDescent="0.3">
      <c r="B1085" s="5" t="s">
        <v>16</v>
      </c>
      <c r="C1085" s="5" t="s">
        <v>1799</v>
      </c>
      <c r="D1085" s="5" t="s">
        <v>35</v>
      </c>
      <c r="E1085" s="5" t="s">
        <v>312</v>
      </c>
      <c r="F1085" s="5" t="s">
        <v>346</v>
      </c>
      <c r="G1085" s="5" t="s">
        <v>347</v>
      </c>
      <c r="H1085" s="6">
        <f t="shared" si="220"/>
        <v>1.7368420609273016E-2</v>
      </c>
      <c r="I1085" s="6">
        <f t="shared" si="210"/>
        <v>4420168.0526315793</v>
      </c>
      <c r="J1085" s="6">
        <v>839831.93</v>
      </c>
      <c r="K1085" s="6">
        <v>0</v>
      </c>
      <c r="L1085" s="6">
        <v>0</v>
      </c>
      <c r="M1085" s="6">
        <f t="shared" si="217"/>
        <v>4420168.07</v>
      </c>
      <c r="N1085" s="6">
        <f t="shared" si="218"/>
        <v>839831.93</v>
      </c>
      <c r="O1085" s="6">
        <f t="shared" si="211"/>
        <v>5260000</v>
      </c>
      <c r="P1085" s="6">
        <v>5260000</v>
      </c>
      <c r="Q1085" s="6">
        <f t="shared" si="215"/>
        <v>4420168.07</v>
      </c>
      <c r="R1085" s="6">
        <f t="shared" si="219"/>
        <v>110504.20175000001</v>
      </c>
      <c r="T1085"/>
    </row>
    <row r="1086" spans="2:22" s="5" customFormat="1" x14ac:dyDescent="0.3">
      <c r="B1086" s="7" t="s">
        <v>16</v>
      </c>
      <c r="C1086" s="7" t="s">
        <v>1800</v>
      </c>
      <c r="D1086" s="7" t="s">
        <v>1801</v>
      </c>
      <c r="E1086" s="7" t="s">
        <v>1473</v>
      </c>
      <c r="F1086" s="7" t="s">
        <v>1802</v>
      </c>
      <c r="G1086" s="7" t="s">
        <v>1803</v>
      </c>
      <c r="H1086" s="8">
        <f t="shared" si="220"/>
        <v>215007</v>
      </c>
      <c r="I1086" s="8">
        <f t="shared" si="210"/>
        <v>0</v>
      </c>
      <c r="J1086" s="8">
        <v>0</v>
      </c>
      <c r="K1086" s="8">
        <v>0</v>
      </c>
      <c r="L1086" s="8">
        <v>0</v>
      </c>
      <c r="M1086" s="8">
        <f>+I1086+H1086</f>
        <v>215007</v>
      </c>
      <c r="N1086" s="8">
        <f t="shared" si="218"/>
        <v>0</v>
      </c>
      <c r="O1086" s="8">
        <f t="shared" si="211"/>
        <v>215007</v>
      </c>
      <c r="P1086" s="8">
        <v>215007</v>
      </c>
      <c r="Q1086" s="8">
        <v>0</v>
      </c>
      <c r="R1086" s="8">
        <f t="shared" si="219"/>
        <v>0</v>
      </c>
      <c r="T1086"/>
      <c r="V1086"/>
    </row>
    <row r="1087" spans="2:22" s="5" customFormat="1" x14ac:dyDescent="0.3">
      <c r="B1087" s="5" t="s">
        <v>16</v>
      </c>
      <c r="C1087" s="5" t="s">
        <v>1804</v>
      </c>
      <c r="D1087" s="5" t="s">
        <v>35</v>
      </c>
      <c r="E1087" s="5" t="s">
        <v>230</v>
      </c>
      <c r="F1087" s="5" t="s">
        <v>149</v>
      </c>
      <c r="G1087" s="5" t="s">
        <v>150</v>
      </c>
      <c r="H1087" s="6">
        <v>1.6842105891555548E-2</v>
      </c>
      <c r="I1087" s="6">
        <f t="shared" si="210"/>
        <v>2530376.2631578944</v>
      </c>
      <c r="J1087" s="6">
        <v>480771.49</v>
      </c>
      <c r="K1087" s="6">
        <v>0</v>
      </c>
      <c r="L1087" s="6">
        <v>0</v>
      </c>
      <c r="M1087" s="6">
        <f t="shared" ref="M1087:M1093" si="221">+H1087+I1087+K1087</f>
        <v>2530376.2800000003</v>
      </c>
      <c r="N1087" s="6">
        <f t="shared" si="218"/>
        <v>480771.49</v>
      </c>
      <c r="O1087" s="6">
        <f t="shared" si="211"/>
        <v>3011147.7700000005</v>
      </c>
      <c r="P1087" s="6">
        <v>3011147.77</v>
      </c>
      <c r="Q1087" s="6">
        <f>+M1087</f>
        <v>2530376.2800000003</v>
      </c>
      <c r="R1087" s="6">
        <f t="shared" si="219"/>
        <v>63259.407000000014</v>
      </c>
      <c r="T1087"/>
    </row>
    <row r="1088" spans="2:22" s="5" customFormat="1" x14ac:dyDescent="0.3">
      <c r="B1088" s="5" t="s">
        <v>16</v>
      </c>
      <c r="C1088" s="5" t="s">
        <v>1805</v>
      </c>
      <c r="D1088" s="5" t="s">
        <v>35</v>
      </c>
      <c r="E1088" s="5" t="s">
        <v>548</v>
      </c>
      <c r="F1088" s="5" t="s">
        <v>149</v>
      </c>
      <c r="G1088" s="5" t="s">
        <v>150</v>
      </c>
      <c r="H1088" s="6">
        <v>1.7894736491143703E-2</v>
      </c>
      <c r="I1088" s="6">
        <f t="shared" si="210"/>
        <v>6914607.8421052629</v>
      </c>
      <c r="J1088" s="6">
        <v>1313775.49</v>
      </c>
      <c r="K1088" s="6">
        <v>0</v>
      </c>
      <c r="L1088" s="6">
        <v>0</v>
      </c>
      <c r="M1088" s="6">
        <f t="shared" si="221"/>
        <v>6914607.8599999994</v>
      </c>
      <c r="N1088" s="6">
        <f t="shared" si="218"/>
        <v>1313775.49</v>
      </c>
      <c r="O1088" s="6">
        <f t="shared" si="211"/>
        <v>8228383.3499999996</v>
      </c>
      <c r="P1088" s="6">
        <v>8228383.3499999996</v>
      </c>
      <c r="Q1088" s="6">
        <f>+M1088</f>
        <v>6914607.8599999994</v>
      </c>
      <c r="R1088" s="6">
        <f t="shared" si="219"/>
        <v>172865.19649999999</v>
      </c>
      <c r="T1088"/>
    </row>
    <row r="1089" spans="2:22" x14ac:dyDescent="0.3">
      <c r="B1089" s="5" t="s">
        <v>16</v>
      </c>
      <c r="C1089" s="5" t="s">
        <v>1806</v>
      </c>
      <c r="D1089" s="5" t="s">
        <v>35</v>
      </c>
      <c r="E1089" s="5" t="s">
        <v>537</v>
      </c>
      <c r="F1089" s="5" t="s">
        <v>149</v>
      </c>
      <c r="G1089" s="5" t="s">
        <v>150</v>
      </c>
      <c r="H1089" s="6">
        <f>+P1089-I1089-J1089</f>
        <v>6.3157894182950258E-2</v>
      </c>
      <c r="I1089" s="6">
        <f t="shared" si="210"/>
        <v>4663693.7368421061</v>
      </c>
      <c r="J1089" s="6">
        <v>886101.81</v>
      </c>
      <c r="K1089" s="6">
        <v>0</v>
      </c>
      <c r="L1089" s="6">
        <v>0</v>
      </c>
      <c r="M1089" s="6">
        <f t="shared" si="221"/>
        <v>4663693.8000000007</v>
      </c>
      <c r="N1089" s="6">
        <f t="shared" si="218"/>
        <v>886101.81</v>
      </c>
      <c r="O1089" s="6">
        <f t="shared" si="211"/>
        <v>5549795.6100000013</v>
      </c>
      <c r="P1089" s="6">
        <v>5549795.6100000003</v>
      </c>
      <c r="Q1089" s="6">
        <f>+M1089</f>
        <v>4663693.8000000007</v>
      </c>
      <c r="R1089" s="6">
        <f t="shared" si="219"/>
        <v>116592.34500000002</v>
      </c>
      <c r="S1089" s="5"/>
      <c r="U1089" s="5"/>
      <c r="V1089" s="5"/>
    </row>
    <row r="1090" spans="2:22" x14ac:dyDescent="0.3">
      <c r="B1090" s="5" t="s">
        <v>16</v>
      </c>
      <c r="C1090" s="5" t="s">
        <v>1807</v>
      </c>
      <c r="D1090" s="5" t="s">
        <v>306</v>
      </c>
      <c r="E1090" s="5" t="s">
        <v>687</v>
      </c>
      <c r="F1090" s="5" t="s">
        <v>383</v>
      </c>
      <c r="G1090" s="5" t="s">
        <v>384</v>
      </c>
      <c r="H1090" s="6">
        <f>66120+94294.7457894737</f>
        <v>160414.7457894737</v>
      </c>
      <c r="I1090" s="6">
        <f t="shared" si="210"/>
        <v>33676.684210526313</v>
      </c>
      <c r="J1090" s="6">
        <v>6398.57</v>
      </c>
      <c r="K1090" s="6">
        <v>0</v>
      </c>
      <c r="L1090" s="6">
        <v>0</v>
      </c>
      <c r="M1090" s="6">
        <f t="shared" si="221"/>
        <v>194091.43000000002</v>
      </c>
      <c r="N1090" s="6">
        <f t="shared" si="218"/>
        <v>6398.57</v>
      </c>
      <c r="O1090" s="6">
        <f t="shared" si="211"/>
        <v>200490.00000000003</v>
      </c>
      <c r="P1090" s="6">
        <v>200490</v>
      </c>
      <c r="Q1090" s="6">
        <v>0</v>
      </c>
      <c r="R1090" s="6">
        <f t="shared" si="219"/>
        <v>0</v>
      </c>
      <c r="S1090" s="5"/>
      <c r="U1090" s="5"/>
      <c r="V1090" s="5"/>
    </row>
    <row r="1091" spans="2:22" s="5" customFormat="1" x14ac:dyDescent="0.3">
      <c r="B1091" s="5" t="s">
        <v>16</v>
      </c>
      <c r="C1091" s="5" t="s">
        <v>1808</v>
      </c>
      <c r="D1091" s="5" t="s">
        <v>306</v>
      </c>
      <c r="E1091" s="5" t="s">
        <v>1666</v>
      </c>
      <c r="F1091" s="5" t="s">
        <v>383</v>
      </c>
      <c r="G1091" s="5" t="s">
        <v>384</v>
      </c>
      <c r="H1091" s="6">
        <v>-138700.01157894736</v>
      </c>
      <c r="I1091" s="6">
        <f t="shared" si="210"/>
        <v>116554.63157894737</v>
      </c>
      <c r="J1091" s="6">
        <v>22145.38</v>
      </c>
      <c r="K1091" s="6">
        <v>0</v>
      </c>
      <c r="L1091" s="6">
        <v>0</v>
      </c>
      <c r="M1091" s="6">
        <f t="shared" si="221"/>
        <v>-22145.37999999999</v>
      </c>
      <c r="N1091" s="6">
        <f t="shared" si="218"/>
        <v>22145.38</v>
      </c>
      <c r="O1091" s="6">
        <f t="shared" si="211"/>
        <v>0</v>
      </c>
      <c r="P1091" s="6">
        <v>0</v>
      </c>
      <c r="Q1091" s="6">
        <v>0</v>
      </c>
      <c r="R1091" s="6">
        <f t="shared" si="219"/>
        <v>0</v>
      </c>
      <c r="T1091"/>
    </row>
    <row r="1092" spans="2:22" s="5" customFormat="1" x14ac:dyDescent="0.3">
      <c r="B1092" s="5" t="s">
        <v>16</v>
      </c>
      <c r="C1092" s="5" t="s">
        <v>1809</v>
      </c>
      <c r="D1092" s="5" t="s">
        <v>306</v>
      </c>
      <c r="E1092" s="5" t="s">
        <v>526</v>
      </c>
      <c r="F1092" s="5" t="s">
        <v>383</v>
      </c>
      <c r="G1092" s="5" t="s">
        <v>384</v>
      </c>
      <c r="H1092" s="6">
        <v>5934096</v>
      </c>
      <c r="I1092" s="6">
        <f t="shared" si="210"/>
        <v>0</v>
      </c>
      <c r="J1092" s="6">
        <v>0</v>
      </c>
      <c r="K1092" s="6">
        <v>0</v>
      </c>
      <c r="L1092" s="6">
        <v>0</v>
      </c>
      <c r="M1092" s="6">
        <f t="shared" si="221"/>
        <v>5934096</v>
      </c>
      <c r="N1092" s="6">
        <f t="shared" si="218"/>
        <v>0</v>
      </c>
      <c r="O1092" s="6">
        <f t="shared" si="211"/>
        <v>5934096</v>
      </c>
      <c r="P1092" s="6">
        <v>5934096</v>
      </c>
      <c r="Q1092" s="6">
        <f>+M1092</f>
        <v>5934096</v>
      </c>
      <c r="R1092" s="6">
        <f t="shared" si="219"/>
        <v>148352.4</v>
      </c>
      <c r="T1092"/>
    </row>
    <row r="1093" spans="2:22" s="5" customFormat="1" x14ac:dyDescent="0.3">
      <c r="B1093" s="5" t="s">
        <v>16</v>
      </c>
      <c r="C1093" s="5" t="s">
        <v>1810</v>
      </c>
      <c r="D1093" s="5" t="s">
        <v>306</v>
      </c>
      <c r="E1093" s="5" t="s">
        <v>526</v>
      </c>
      <c r="F1093" s="5" t="s">
        <v>383</v>
      </c>
      <c r="G1093" s="5" t="s">
        <v>384</v>
      </c>
      <c r="H1093" s="6">
        <v>77509277.263157904</v>
      </c>
      <c r="I1093" s="6">
        <f t="shared" si="210"/>
        <v>15140162.736842107</v>
      </c>
      <c r="J1093" s="6">
        <v>2876630.92</v>
      </c>
      <c r="K1093" s="6">
        <v>0</v>
      </c>
      <c r="L1093" s="6">
        <v>0</v>
      </c>
      <c r="M1093" s="6">
        <f t="shared" si="221"/>
        <v>92649440.000000015</v>
      </c>
      <c r="N1093" s="6">
        <f t="shared" si="218"/>
        <v>2876630.92</v>
      </c>
      <c r="O1093" s="6">
        <f t="shared" si="211"/>
        <v>95526070.920000017</v>
      </c>
      <c r="P1093" s="6">
        <v>95526070.920000002</v>
      </c>
      <c r="Q1093" s="6">
        <f>+M1093</f>
        <v>92649440.000000015</v>
      </c>
      <c r="R1093" s="6">
        <f t="shared" si="219"/>
        <v>2316236.0000000005</v>
      </c>
      <c r="S1093" s="7"/>
      <c r="T1093"/>
      <c r="U1093" s="7"/>
      <c r="V1093" s="7"/>
    </row>
    <row r="1094" spans="2:22" s="5" customFormat="1" x14ac:dyDescent="0.3">
      <c r="B1094" s="5" t="s">
        <v>16</v>
      </c>
      <c r="C1094" s="5" t="s">
        <v>1811</v>
      </c>
      <c r="D1094" s="5" t="s">
        <v>306</v>
      </c>
      <c r="E1094" s="5" t="s">
        <v>550</v>
      </c>
      <c r="F1094" s="5" t="s">
        <v>383</v>
      </c>
      <c r="G1094" s="5" t="s">
        <v>384</v>
      </c>
      <c r="H1094" s="6">
        <v>-2.1052631593192928E-2</v>
      </c>
      <c r="I1094" s="6">
        <f t="shared" si="210"/>
        <v>673848.42105263157</v>
      </c>
      <c r="J1094" s="6">
        <v>128031.2</v>
      </c>
      <c r="K1094" s="6"/>
      <c r="L1094" s="6"/>
      <c r="M1094" s="6">
        <f>+H1094+I1094</f>
        <v>673848.4</v>
      </c>
      <c r="N1094" s="6">
        <f>+J1094</f>
        <v>128031.2</v>
      </c>
      <c r="O1094" s="6">
        <f t="shared" si="211"/>
        <v>801879.6</v>
      </c>
      <c r="P1094" s="6">
        <v>801879.6</v>
      </c>
      <c r="Q1094" s="6"/>
      <c r="R1094" s="6">
        <f t="shared" si="219"/>
        <v>0</v>
      </c>
      <c r="T1094"/>
      <c r="U1094" s="7"/>
      <c r="V1094" s="7"/>
    </row>
    <row r="1095" spans="2:22" s="5" customFormat="1" x14ac:dyDescent="0.3">
      <c r="B1095" s="5" t="s">
        <v>16</v>
      </c>
      <c r="C1095" s="5" t="s">
        <v>1812</v>
      </c>
      <c r="D1095" s="5" t="s">
        <v>306</v>
      </c>
      <c r="E1095" s="5" t="s">
        <v>1271</v>
      </c>
      <c r="F1095" s="5" t="s">
        <v>383</v>
      </c>
      <c r="G1095" s="5" t="s">
        <v>384</v>
      </c>
      <c r="H1095" s="6">
        <v>3678447.5036842101</v>
      </c>
      <c r="I1095" s="6">
        <f t="shared" si="210"/>
        <v>2587827.5263157897</v>
      </c>
      <c r="J1095" s="6">
        <v>491687.23</v>
      </c>
      <c r="K1095" s="6"/>
      <c r="L1095" s="6"/>
      <c r="M1095" s="6">
        <f>+H1095+I1095</f>
        <v>6266275.0299999993</v>
      </c>
      <c r="N1095" s="6">
        <f>+J1095</f>
        <v>491687.23</v>
      </c>
      <c r="O1095" s="6">
        <f t="shared" si="211"/>
        <v>6757962.2599999998</v>
      </c>
      <c r="P1095" s="6">
        <v>6757962.2599999998</v>
      </c>
      <c r="Q1095" s="6">
        <f>+M1095</f>
        <v>6266275.0299999993</v>
      </c>
      <c r="R1095" s="6">
        <f t="shared" si="219"/>
        <v>156656.87575000001</v>
      </c>
      <c r="T1095"/>
      <c r="U1095" s="7"/>
      <c r="V1095" s="7"/>
    </row>
    <row r="1096" spans="2:22" s="5" customFormat="1" x14ac:dyDescent="0.3">
      <c r="B1096" s="5" t="s">
        <v>16</v>
      </c>
      <c r="C1096" s="5" t="s">
        <v>1813</v>
      </c>
      <c r="D1096" s="5" t="s">
        <v>306</v>
      </c>
      <c r="E1096" s="5" t="s">
        <v>1701</v>
      </c>
      <c r="F1096" s="5" t="s">
        <v>383</v>
      </c>
      <c r="G1096" s="5" t="s">
        <v>384</v>
      </c>
      <c r="H1096" s="6">
        <f>+P1096-I1096-J1096</f>
        <v>-1.8421052256599069E-2</v>
      </c>
      <c r="I1096" s="6">
        <f t="shared" si="210"/>
        <v>7177294.3684210517</v>
      </c>
      <c r="J1096" s="6">
        <v>1363685.93</v>
      </c>
      <c r="K1096" s="6">
        <v>0</v>
      </c>
      <c r="L1096" s="6">
        <v>0</v>
      </c>
      <c r="M1096" s="6">
        <f t="shared" ref="M1096:M1123" si="222">+H1096+I1096+K1096</f>
        <v>7177294.3499999996</v>
      </c>
      <c r="N1096" s="6">
        <f t="shared" ref="N1096:N1123" si="223">+J1096+L1096</f>
        <v>1363685.93</v>
      </c>
      <c r="O1096" s="6">
        <f t="shared" si="211"/>
        <v>8540980.2799999993</v>
      </c>
      <c r="P1096" s="6">
        <v>8540980.2799999993</v>
      </c>
      <c r="Q1096" s="6">
        <f>+M1096</f>
        <v>7177294.3499999996</v>
      </c>
      <c r="R1096" s="6">
        <f t="shared" si="219"/>
        <v>179432.35875000001</v>
      </c>
      <c r="T1096"/>
      <c r="U1096" s="7"/>
      <c r="V1096" s="7"/>
    </row>
    <row r="1097" spans="2:22" s="5" customFormat="1" x14ac:dyDescent="0.3">
      <c r="B1097" s="5" t="s">
        <v>16</v>
      </c>
      <c r="C1097" s="5" t="s">
        <v>1814</v>
      </c>
      <c r="D1097" s="5" t="s">
        <v>306</v>
      </c>
      <c r="E1097" s="5" t="s">
        <v>1032</v>
      </c>
      <c r="F1097" s="5" t="s">
        <v>383</v>
      </c>
      <c r="G1097" s="5" t="s">
        <v>384</v>
      </c>
      <c r="H1097" s="6">
        <f>+P1097-I1097-J1097</f>
        <v>1454723.7710526313</v>
      </c>
      <c r="I1097" s="6">
        <f t="shared" si="210"/>
        <v>5709010.578947369</v>
      </c>
      <c r="J1097" s="6">
        <v>1084712.01</v>
      </c>
      <c r="K1097" s="6">
        <v>0</v>
      </c>
      <c r="L1097" s="6">
        <v>0</v>
      </c>
      <c r="M1097" s="6">
        <f t="shared" si="222"/>
        <v>7163734.3500000006</v>
      </c>
      <c r="N1097" s="6">
        <f t="shared" si="223"/>
        <v>1084712.01</v>
      </c>
      <c r="O1097" s="6">
        <f t="shared" si="211"/>
        <v>8248446.3600000003</v>
      </c>
      <c r="P1097" s="6">
        <v>8248446.3600000003</v>
      </c>
      <c r="Q1097" s="6">
        <f>+M1097</f>
        <v>7163734.3500000006</v>
      </c>
      <c r="R1097" s="6">
        <f t="shared" si="219"/>
        <v>179093.35875000001</v>
      </c>
      <c r="T1097"/>
    </row>
    <row r="1098" spans="2:22" s="5" customFormat="1" x14ac:dyDescent="0.3">
      <c r="B1098" s="5" t="s">
        <v>16</v>
      </c>
      <c r="C1098" s="5" t="s">
        <v>1815</v>
      </c>
      <c r="D1098" s="5" t="s">
        <v>306</v>
      </c>
      <c r="E1098" s="5" t="s">
        <v>191</v>
      </c>
      <c r="F1098" s="5" t="s">
        <v>383</v>
      </c>
      <c r="G1098" s="5" t="s">
        <v>384</v>
      </c>
      <c r="H1098" s="6">
        <f>+P1098-I1098-J1098</f>
        <v>2632714.7126315776</v>
      </c>
      <c r="I1098" s="6">
        <f t="shared" si="210"/>
        <v>6349522.9473684216</v>
      </c>
      <c r="J1098" s="6">
        <v>1206409.3600000001</v>
      </c>
      <c r="K1098" s="6">
        <v>0</v>
      </c>
      <c r="L1098" s="6">
        <v>0</v>
      </c>
      <c r="M1098" s="6">
        <f t="shared" si="222"/>
        <v>8982237.6600000001</v>
      </c>
      <c r="N1098" s="6">
        <f t="shared" si="223"/>
        <v>1206409.3600000001</v>
      </c>
      <c r="O1098" s="6">
        <f t="shared" si="211"/>
        <v>10188647.02</v>
      </c>
      <c r="P1098" s="6">
        <v>10188647.02</v>
      </c>
      <c r="Q1098" s="6">
        <f>+M1098</f>
        <v>8982237.6600000001</v>
      </c>
      <c r="R1098" s="6">
        <f t="shared" si="219"/>
        <v>224555.94149999999</v>
      </c>
      <c r="T1098"/>
    </row>
    <row r="1099" spans="2:22" s="5" customFormat="1" x14ac:dyDescent="0.3">
      <c r="B1099" s="5" t="s">
        <v>16</v>
      </c>
      <c r="C1099" s="5" t="s">
        <v>1816</v>
      </c>
      <c r="D1099" s="5" t="s">
        <v>306</v>
      </c>
      <c r="E1099" s="5" t="s">
        <v>1817</v>
      </c>
      <c r="F1099" s="5" t="s">
        <v>383</v>
      </c>
      <c r="G1099" s="5" t="s">
        <v>384</v>
      </c>
      <c r="H1099" s="6">
        <f>+P1099-I1099-J1099-K1099-L1099</f>
        <v>0</v>
      </c>
      <c r="I1099" s="6">
        <f t="shared" si="210"/>
        <v>0</v>
      </c>
      <c r="J1099" s="6">
        <v>0</v>
      </c>
      <c r="K1099" s="6">
        <v>0</v>
      </c>
      <c r="L1099" s="6">
        <v>0</v>
      </c>
      <c r="M1099" s="6">
        <f t="shared" si="222"/>
        <v>0</v>
      </c>
      <c r="N1099" s="6">
        <f t="shared" si="223"/>
        <v>0</v>
      </c>
      <c r="O1099" s="6">
        <f t="shared" si="211"/>
        <v>0</v>
      </c>
      <c r="P1099" s="6">
        <v>0</v>
      </c>
      <c r="Q1099" s="6">
        <v>0</v>
      </c>
      <c r="R1099" s="6">
        <f t="shared" si="219"/>
        <v>0</v>
      </c>
      <c r="T1099"/>
    </row>
    <row r="1100" spans="2:22" s="5" customFormat="1" x14ac:dyDescent="0.3">
      <c r="B1100" s="5" t="s">
        <v>16</v>
      </c>
      <c r="C1100" s="5" t="s">
        <v>1818</v>
      </c>
      <c r="D1100" s="5" t="s">
        <v>306</v>
      </c>
      <c r="E1100" s="5" t="s">
        <v>337</v>
      </c>
      <c r="F1100" s="5" t="s">
        <v>383</v>
      </c>
      <c r="G1100" s="5" t="s">
        <v>384</v>
      </c>
      <c r="H1100" s="6">
        <f>+P1100-I1100-J1100-K1100-L1100</f>
        <v>7.3684209492057562E-3</v>
      </c>
      <c r="I1100" s="6">
        <f t="shared" si="210"/>
        <v>3014167.0526315789</v>
      </c>
      <c r="J1100" s="6">
        <v>572691.74</v>
      </c>
      <c r="K1100" s="6">
        <v>0</v>
      </c>
      <c r="L1100" s="6">
        <v>0</v>
      </c>
      <c r="M1100" s="6">
        <f t="shared" si="222"/>
        <v>3014167.0599999996</v>
      </c>
      <c r="N1100" s="6">
        <f t="shared" si="223"/>
        <v>572691.74</v>
      </c>
      <c r="O1100" s="6">
        <f t="shared" si="211"/>
        <v>3586858.8</v>
      </c>
      <c r="P1100" s="6">
        <v>3586858.8</v>
      </c>
      <c r="Q1100" s="6">
        <f t="shared" ref="Q1100:Q1113" si="224">+M1100</f>
        <v>3014167.0599999996</v>
      </c>
      <c r="R1100" s="6">
        <f t="shared" si="219"/>
        <v>75354.176499999987</v>
      </c>
      <c r="T1100"/>
    </row>
    <row r="1101" spans="2:22" s="5" customFormat="1" x14ac:dyDescent="0.3">
      <c r="B1101" s="5" t="s">
        <v>16</v>
      </c>
      <c r="C1101" s="5" t="s">
        <v>1819</v>
      </c>
      <c r="D1101" s="5" t="s">
        <v>306</v>
      </c>
      <c r="E1101" s="5" t="s">
        <v>337</v>
      </c>
      <c r="F1101" s="5" t="s">
        <v>383</v>
      </c>
      <c r="G1101" s="5" t="s">
        <v>384</v>
      </c>
      <c r="H1101" s="6">
        <f>+P1101-I1101-J1101-K1101-L1101</f>
        <v>2769911.2757894737</v>
      </c>
      <c r="I1101" s="6">
        <f t="shared" si="210"/>
        <v>1930423.6842105263</v>
      </c>
      <c r="J1101" s="6">
        <v>366780.5</v>
      </c>
      <c r="K1101" s="6">
        <v>0</v>
      </c>
      <c r="L1101" s="6">
        <v>0</v>
      </c>
      <c r="M1101" s="6">
        <f t="shared" si="222"/>
        <v>4700334.96</v>
      </c>
      <c r="N1101" s="6">
        <f t="shared" si="223"/>
        <v>366780.5</v>
      </c>
      <c r="O1101" s="6">
        <f t="shared" si="211"/>
        <v>5067115.46</v>
      </c>
      <c r="P1101" s="6">
        <v>5067115.46</v>
      </c>
      <c r="Q1101" s="6">
        <f t="shared" si="224"/>
        <v>4700334.96</v>
      </c>
      <c r="R1101" s="6">
        <f t="shared" si="219"/>
        <v>117508.37400000001</v>
      </c>
      <c r="T1101"/>
    </row>
    <row r="1102" spans="2:22" s="5" customFormat="1" x14ac:dyDescent="0.3">
      <c r="B1102" s="5" t="s">
        <v>16</v>
      </c>
      <c r="C1102" s="5" t="s">
        <v>1820</v>
      </c>
      <c r="D1102" s="5" t="s">
        <v>306</v>
      </c>
      <c r="E1102" s="5" t="s">
        <v>481</v>
      </c>
      <c r="F1102" s="5" t="s">
        <v>383</v>
      </c>
      <c r="G1102" s="5" t="s">
        <v>384</v>
      </c>
      <c r="H1102" s="6">
        <v>0</v>
      </c>
      <c r="I1102" s="6">
        <f t="shared" si="210"/>
        <v>0</v>
      </c>
      <c r="J1102" s="6">
        <v>0</v>
      </c>
      <c r="K1102" s="6">
        <v>0</v>
      </c>
      <c r="L1102" s="6">
        <v>0</v>
      </c>
      <c r="M1102" s="6">
        <f t="shared" si="222"/>
        <v>0</v>
      </c>
      <c r="N1102" s="6">
        <f t="shared" si="223"/>
        <v>0</v>
      </c>
      <c r="O1102" s="6">
        <f t="shared" si="211"/>
        <v>0</v>
      </c>
      <c r="P1102" s="6">
        <v>38696707.200000003</v>
      </c>
      <c r="Q1102" s="6">
        <f t="shared" si="224"/>
        <v>0</v>
      </c>
      <c r="R1102" s="6">
        <f t="shared" si="219"/>
        <v>0</v>
      </c>
      <c r="T1102"/>
    </row>
    <row r="1103" spans="2:22" s="5" customFormat="1" x14ac:dyDescent="0.3">
      <c r="B1103" s="5" t="s">
        <v>16</v>
      </c>
      <c r="C1103" s="5" t="s">
        <v>1821</v>
      </c>
      <c r="D1103" s="5" t="s">
        <v>306</v>
      </c>
      <c r="E1103" s="5" t="s">
        <v>481</v>
      </c>
      <c r="F1103" s="5" t="s">
        <v>383</v>
      </c>
      <c r="G1103" s="5" t="s">
        <v>384</v>
      </c>
      <c r="H1103" s="6">
        <v>0</v>
      </c>
      <c r="I1103" s="6">
        <f t="shared" si="210"/>
        <v>0</v>
      </c>
      <c r="J1103" s="6">
        <v>0</v>
      </c>
      <c r="K1103" s="6">
        <v>0</v>
      </c>
      <c r="L1103" s="6">
        <v>0</v>
      </c>
      <c r="M1103" s="6">
        <f t="shared" si="222"/>
        <v>0</v>
      </c>
      <c r="N1103" s="6">
        <f t="shared" si="223"/>
        <v>0</v>
      </c>
      <c r="O1103" s="6">
        <f t="shared" si="211"/>
        <v>0</v>
      </c>
      <c r="P1103" s="6">
        <v>82665506.840000004</v>
      </c>
      <c r="Q1103" s="6">
        <f t="shared" si="224"/>
        <v>0</v>
      </c>
      <c r="R1103" s="6">
        <f t="shared" si="219"/>
        <v>0</v>
      </c>
      <c r="T1103"/>
    </row>
    <row r="1104" spans="2:22" s="5" customFormat="1" x14ac:dyDescent="0.3">
      <c r="B1104" s="5" t="s">
        <v>16</v>
      </c>
      <c r="C1104" s="5" t="s">
        <v>1822</v>
      </c>
      <c r="D1104" s="5" t="s">
        <v>306</v>
      </c>
      <c r="E1104" s="5" t="s">
        <v>1823</v>
      </c>
      <c r="F1104" s="5" t="s">
        <v>383</v>
      </c>
      <c r="G1104" s="5" t="s">
        <v>384</v>
      </c>
      <c r="H1104" s="6">
        <v>0</v>
      </c>
      <c r="I1104" s="6">
        <f t="shared" si="210"/>
        <v>1931209.4210526312</v>
      </c>
      <c r="J1104" s="6">
        <v>366929.79</v>
      </c>
      <c r="K1104" s="6">
        <v>0</v>
      </c>
      <c r="L1104" s="6">
        <v>0</v>
      </c>
      <c r="M1104" s="6">
        <f t="shared" si="222"/>
        <v>1931209.4210526312</v>
      </c>
      <c r="N1104" s="6">
        <f t="shared" si="223"/>
        <v>366929.79</v>
      </c>
      <c r="O1104" s="6">
        <f t="shared" si="211"/>
        <v>2298139.211052631</v>
      </c>
      <c r="P1104" s="6">
        <v>2298139.2000000002</v>
      </c>
      <c r="Q1104" s="6">
        <f t="shared" si="224"/>
        <v>1931209.4210526312</v>
      </c>
      <c r="R1104" s="6">
        <f t="shared" si="219"/>
        <v>48280.235526315781</v>
      </c>
      <c r="S1104"/>
      <c r="T1104"/>
    </row>
    <row r="1105" spans="2:22" s="5" customFormat="1" x14ac:dyDescent="0.3">
      <c r="B1105" s="5" t="s">
        <v>16</v>
      </c>
      <c r="C1105" s="5" t="s">
        <v>1824</v>
      </c>
      <c r="D1105" s="5" t="s">
        <v>306</v>
      </c>
      <c r="E1105" s="5" t="s">
        <v>481</v>
      </c>
      <c r="F1105" s="5" t="s">
        <v>383</v>
      </c>
      <c r="G1105" s="5" t="s">
        <v>384</v>
      </c>
      <c r="H1105" s="6">
        <v>0</v>
      </c>
      <c r="I1105" s="6">
        <f t="shared" si="210"/>
        <v>8255750.5789473699</v>
      </c>
      <c r="J1105" s="6">
        <v>1568592.61</v>
      </c>
      <c r="K1105" s="6">
        <v>0</v>
      </c>
      <c r="L1105" s="6">
        <v>0</v>
      </c>
      <c r="M1105" s="6">
        <f t="shared" si="222"/>
        <v>8255750.5789473699</v>
      </c>
      <c r="N1105" s="6">
        <f t="shared" si="223"/>
        <v>1568592.61</v>
      </c>
      <c r="O1105" s="6">
        <f t="shared" si="211"/>
        <v>9824343.1889473703</v>
      </c>
      <c r="P1105" s="6">
        <v>11078833.359999999</v>
      </c>
      <c r="Q1105" s="6">
        <f t="shared" si="224"/>
        <v>8255750.5789473699</v>
      </c>
      <c r="R1105" s="6">
        <f t="shared" si="219"/>
        <v>206393.76447368425</v>
      </c>
      <c r="T1105"/>
    </row>
    <row r="1106" spans="2:22" x14ac:dyDescent="0.3">
      <c r="B1106" s="5" t="s">
        <v>16</v>
      </c>
      <c r="C1106" s="5" t="s">
        <v>1825</v>
      </c>
      <c r="D1106" s="5" t="s">
        <v>306</v>
      </c>
      <c r="E1106" s="5" t="s">
        <v>1124</v>
      </c>
      <c r="F1106" s="5" t="s">
        <v>383</v>
      </c>
      <c r="G1106" s="5" t="s">
        <v>384</v>
      </c>
      <c r="H1106" s="6">
        <f>+P1106-I1106-J1106</f>
        <v>0</v>
      </c>
      <c r="I1106" s="6">
        <f t="shared" si="210"/>
        <v>0</v>
      </c>
      <c r="J1106" s="6">
        <v>0</v>
      </c>
      <c r="K1106" s="6">
        <v>0</v>
      </c>
      <c r="L1106" s="6">
        <v>0</v>
      </c>
      <c r="M1106" s="6">
        <f t="shared" si="222"/>
        <v>0</v>
      </c>
      <c r="N1106" s="6">
        <f t="shared" si="223"/>
        <v>0</v>
      </c>
      <c r="O1106" s="6">
        <f t="shared" si="211"/>
        <v>0</v>
      </c>
      <c r="P1106" s="6">
        <v>0</v>
      </c>
      <c r="Q1106" s="6">
        <f t="shared" si="224"/>
        <v>0</v>
      </c>
      <c r="R1106" s="6">
        <f t="shared" si="219"/>
        <v>0</v>
      </c>
      <c r="S1106" s="5"/>
      <c r="U1106" s="5"/>
      <c r="V1106" s="5"/>
    </row>
    <row r="1107" spans="2:22" x14ac:dyDescent="0.3">
      <c r="B1107" s="5" t="s">
        <v>16</v>
      </c>
      <c r="C1107" s="5" t="s">
        <v>1826</v>
      </c>
      <c r="D1107" s="5" t="s">
        <v>306</v>
      </c>
      <c r="E1107" s="5" t="s">
        <v>735</v>
      </c>
      <c r="F1107" s="5" t="s">
        <v>383</v>
      </c>
      <c r="G1107" s="5" t="s">
        <v>384</v>
      </c>
      <c r="H1107" s="6">
        <f>+P1107-I1107-J1107-K1107-L1107</f>
        <v>508057.8768421053</v>
      </c>
      <c r="I1107" s="6">
        <f t="shared" si="210"/>
        <v>105699.26315789473</v>
      </c>
      <c r="J1107" s="6">
        <v>20082.86</v>
      </c>
      <c r="K1107" s="6">
        <v>0</v>
      </c>
      <c r="L1107" s="6">
        <v>0</v>
      </c>
      <c r="M1107" s="6">
        <f t="shared" si="222"/>
        <v>613757.14</v>
      </c>
      <c r="N1107" s="6">
        <f t="shared" si="223"/>
        <v>20082.86</v>
      </c>
      <c r="O1107" s="6">
        <f t="shared" si="211"/>
        <v>633840</v>
      </c>
      <c r="P1107" s="6">
        <v>633840</v>
      </c>
      <c r="Q1107" s="6">
        <f t="shared" si="224"/>
        <v>613757.14</v>
      </c>
      <c r="R1107" s="6">
        <f t="shared" si="219"/>
        <v>15343.928500000002</v>
      </c>
      <c r="U1107" s="5"/>
      <c r="V1107" s="5"/>
    </row>
    <row r="1108" spans="2:22" x14ac:dyDescent="0.3">
      <c r="B1108" s="5" t="s">
        <v>16</v>
      </c>
      <c r="C1108" s="5" t="s">
        <v>1827</v>
      </c>
      <c r="D1108" s="5" t="s">
        <v>306</v>
      </c>
      <c r="E1108" s="5" t="s">
        <v>1083</v>
      </c>
      <c r="F1108" s="5" t="s">
        <v>383</v>
      </c>
      <c r="G1108" s="5" t="s">
        <v>384</v>
      </c>
      <c r="H1108" s="6">
        <f>+P1108-I1108-J1108-K1108-L1108</f>
        <v>996645</v>
      </c>
      <c r="I1108" s="6">
        <f t="shared" si="210"/>
        <v>0</v>
      </c>
      <c r="J1108" s="6">
        <v>0</v>
      </c>
      <c r="K1108" s="6">
        <v>0</v>
      </c>
      <c r="L1108" s="6">
        <v>0</v>
      </c>
      <c r="M1108" s="6">
        <f t="shared" si="222"/>
        <v>996645</v>
      </c>
      <c r="N1108" s="6">
        <f t="shared" si="223"/>
        <v>0</v>
      </c>
      <c r="O1108" s="6">
        <f t="shared" si="211"/>
        <v>996645</v>
      </c>
      <c r="P1108" s="6">
        <v>996645</v>
      </c>
      <c r="Q1108" s="6">
        <f t="shared" si="224"/>
        <v>996645</v>
      </c>
      <c r="R1108" s="6">
        <f t="shared" si="219"/>
        <v>24916.125</v>
      </c>
      <c r="U1108" s="5"/>
      <c r="V1108" s="5"/>
    </row>
    <row r="1109" spans="2:22" s="15" customFormat="1" x14ac:dyDescent="0.3">
      <c r="B1109" s="5" t="s">
        <v>16</v>
      </c>
      <c r="C1109" s="5" t="s">
        <v>1828</v>
      </c>
      <c r="D1109" s="5" t="s">
        <v>306</v>
      </c>
      <c r="E1109" s="5" t="s">
        <v>1332</v>
      </c>
      <c r="F1109" s="5" t="s">
        <v>383</v>
      </c>
      <c r="G1109" s="5" t="s">
        <v>384</v>
      </c>
      <c r="H1109" s="6">
        <f t="shared" ref="H1109:H1123" si="225">+P1109-I1109-J1109</f>
        <v>-3.4736842033453286E-2</v>
      </c>
      <c r="I1109" s="6">
        <f t="shared" si="210"/>
        <v>1698463.894736842</v>
      </c>
      <c r="J1109" s="6">
        <v>322708.14</v>
      </c>
      <c r="K1109" s="6">
        <v>0</v>
      </c>
      <c r="L1109" s="6">
        <v>0</v>
      </c>
      <c r="M1109" s="6">
        <f t="shared" si="222"/>
        <v>1698463.8599999999</v>
      </c>
      <c r="N1109" s="6">
        <f t="shared" si="223"/>
        <v>322708.14</v>
      </c>
      <c r="O1109" s="6">
        <f t="shared" si="211"/>
        <v>2021172</v>
      </c>
      <c r="P1109" s="6">
        <v>2021172</v>
      </c>
      <c r="Q1109" s="6">
        <f t="shared" si="224"/>
        <v>1698463.8599999999</v>
      </c>
      <c r="R1109" s="6">
        <f t="shared" si="219"/>
        <v>42461.596499999992</v>
      </c>
      <c r="S1109" s="7"/>
      <c r="T1109"/>
      <c r="U1109" s="5"/>
      <c r="V1109" s="5"/>
    </row>
    <row r="1110" spans="2:22" s="5" customFormat="1" x14ac:dyDescent="0.3">
      <c r="B1110" s="5" t="s">
        <v>16</v>
      </c>
      <c r="C1110" s="5" t="s">
        <v>1829</v>
      </c>
      <c r="D1110" s="5" t="s">
        <v>306</v>
      </c>
      <c r="E1110" s="5" t="s">
        <v>543</v>
      </c>
      <c r="F1110" s="5" t="s">
        <v>383</v>
      </c>
      <c r="G1110" s="5" t="s">
        <v>384</v>
      </c>
      <c r="H1110" s="6">
        <f t="shared" si="225"/>
        <v>2056299.2478947367</v>
      </c>
      <c r="I1110" s="6">
        <f t="shared" si="210"/>
        <v>319247.84210526315</v>
      </c>
      <c r="J1110" s="6">
        <v>60657.09</v>
      </c>
      <c r="K1110" s="6">
        <v>0</v>
      </c>
      <c r="L1110" s="6">
        <v>0</v>
      </c>
      <c r="M1110" s="6">
        <f t="shared" si="222"/>
        <v>2375547.09</v>
      </c>
      <c r="N1110" s="6">
        <f t="shared" si="223"/>
        <v>60657.09</v>
      </c>
      <c r="O1110" s="6">
        <f t="shared" si="211"/>
        <v>2436204.1799999997</v>
      </c>
      <c r="P1110" s="6">
        <v>2436204.1800000002</v>
      </c>
      <c r="Q1110" s="6">
        <f t="shared" si="224"/>
        <v>2375547.09</v>
      </c>
      <c r="R1110" s="6">
        <f t="shared" si="219"/>
        <v>59388.677249999993</v>
      </c>
      <c r="S1110"/>
      <c r="T1110"/>
    </row>
    <row r="1111" spans="2:22" s="5" customFormat="1" x14ac:dyDescent="0.3">
      <c r="B1111" s="5" t="s">
        <v>16</v>
      </c>
      <c r="C1111" s="5" t="s">
        <v>1830</v>
      </c>
      <c r="D1111" s="5" t="s">
        <v>306</v>
      </c>
      <c r="E1111" s="5" t="s">
        <v>1060</v>
      </c>
      <c r="F1111" s="5" t="s">
        <v>383</v>
      </c>
      <c r="G1111" s="5" t="s">
        <v>384</v>
      </c>
      <c r="H1111" s="6">
        <f t="shared" si="225"/>
        <v>2940545.4</v>
      </c>
      <c r="I1111" s="6">
        <f t="shared" si="210"/>
        <v>0</v>
      </c>
      <c r="J1111" s="6">
        <v>0</v>
      </c>
      <c r="K1111" s="6">
        <v>0</v>
      </c>
      <c r="L1111" s="6">
        <v>0</v>
      </c>
      <c r="M1111" s="6">
        <f t="shared" si="222"/>
        <v>2940545.4</v>
      </c>
      <c r="N1111" s="6">
        <f t="shared" si="223"/>
        <v>0</v>
      </c>
      <c r="O1111" s="6">
        <f t="shared" si="211"/>
        <v>2940545.4</v>
      </c>
      <c r="P1111" s="6">
        <v>2940545.4</v>
      </c>
      <c r="Q1111" s="6">
        <f t="shared" si="224"/>
        <v>2940545.4</v>
      </c>
      <c r="R1111" s="6">
        <f t="shared" si="219"/>
        <v>73513.634999999995</v>
      </c>
      <c r="T1111"/>
    </row>
    <row r="1112" spans="2:22" s="5" customFormat="1" x14ac:dyDescent="0.3">
      <c r="B1112" s="5" t="s">
        <v>16</v>
      </c>
      <c r="C1112" s="5" t="s">
        <v>1831</v>
      </c>
      <c r="D1112" s="5" t="s">
        <v>306</v>
      </c>
      <c r="E1112" s="5" t="s">
        <v>1124</v>
      </c>
      <c r="F1112" s="5" t="s">
        <v>383</v>
      </c>
      <c r="G1112" s="5" t="s">
        <v>384</v>
      </c>
      <c r="H1112" s="6">
        <f t="shared" si="225"/>
        <v>227445.60736842093</v>
      </c>
      <c r="I1112" s="6">
        <f t="shared" si="210"/>
        <v>3180660.0526315789</v>
      </c>
      <c r="J1112" s="6">
        <v>604325.41</v>
      </c>
      <c r="K1112" s="6">
        <v>0</v>
      </c>
      <c r="L1112" s="6">
        <v>0</v>
      </c>
      <c r="M1112" s="6">
        <f t="shared" si="222"/>
        <v>3408105.6599999997</v>
      </c>
      <c r="N1112" s="6">
        <f t="shared" si="223"/>
        <v>604325.41</v>
      </c>
      <c r="O1112" s="6">
        <f t="shared" si="211"/>
        <v>4012431.07</v>
      </c>
      <c r="P1112" s="6">
        <v>4012431.07</v>
      </c>
      <c r="Q1112" s="6">
        <f t="shared" si="224"/>
        <v>3408105.6599999997</v>
      </c>
      <c r="R1112" s="6">
        <f t="shared" si="219"/>
        <v>85202.641499999983</v>
      </c>
      <c r="T1112"/>
    </row>
    <row r="1113" spans="2:22" s="5" customFormat="1" x14ac:dyDescent="0.3">
      <c r="B1113" s="5" t="s">
        <v>16</v>
      </c>
      <c r="C1113" s="5" t="s">
        <v>1832</v>
      </c>
      <c r="D1113" s="5" t="s">
        <v>306</v>
      </c>
      <c r="E1113" s="5" t="s">
        <v>1124</v>
      </c>
      <c r="F1113" s="5" t="s">
        <v>383</v>
      </c>
      <c r="G1113" s="5" t="s">
        <v>384</v>
      </c>
      <c r="H1113" s="6">
        <f t="shared" si="225"/>
        <v>-1.5789472963660955E-2</v>
      </c>
      <c r="I1113" s="6">
        <f t="shared" si="210"/>
        <v>7332634.3157894732</v>
      </c>
      <c r="J1113" s="6">
        <v>1393200.52</v>
      </c>
      <c r="K1113" s="6">
        <v>0</v>
      </c>
      <c r="L1113" s="6">
        <v>0</v>
      </c>
      <c r="M1113" s="6">
        <f t="shared" si="222"/>
        <v>7332634.3000000007</v>
      </c>
      <c r="N1113" s="6">
        <f t="shared" si="223"/>
        <v>1393200.52</v>
      </c>
      <c r="O1113" s="6">
        <f t="shared" si="211"/>
        <v>8725834.8200000003</v>
      </c>
      <c r="P1113" s="6">
        <v>8725834.8200000003</v>
      </c>
      <c r="Q1113" s="6">
        <f t="shared" si="224"/>
        <v>7332634.3000000007</v>
      </c>
      <c r="R1113" s="6">
        <f t="shared" si="219"/>
        <v>183315.85750000001</v>
      </c>
      <c r="T1113"/>
    </row>
    <row r="1114" spans="2:22" s="5" customFormat="1" x14ac:dyDescent="0.3">
      <c r="B1114" s="5" t="s">
        <v>16</v>
      </c>
      <c r="C1114" s="5" t="s">
        <v>1833</v>
      </c>
      <c r="D1114" s="5" t="s">
        <v>306</v>
      </c>
      <c r="E1114" s="5" t="s">
        <v>427</v>
      </c>
      <c r="F1114" s="5" t="s">
        <v>383</v>
      </c>
      <c r="G1114" s="5" t="s">
        <v>384</v>
      </c>
      <c r="H1114" s="6">
        <f t="shared" si="225"/>
        <v>7197016.1236842107</v>
      </c>
      <c r="I1114" s="6">
        <f t="shared" si="210"/>
        <v>2817245.5263157897</v>
      </c>
      <c r="J1114" s="6">
        <v>535276.65</v>
      </c>
      <c r="K1114" s="6">
        <v>0</v>
      </c>
      <c r="L1114" s="6">
        <v>0</v>
      </c>
      <c r="M1114" s="6">
        <f t="shared" si="222"/>
        <v>10014261.65</v>
      </c>
      <c r="N1114" s="6">
        <f t="shared" si="223"/>
        <v>535276.65</v>
      </c>
      <c r="O1114" s="6">
        <f t="shared" si="211"/>
        <v>10549538.300000001</v>
      </c>
      <c r="P1114" s="6">
        <v>10549538.300000001</v>
      </c>
      <c r="Q1114" s="6">
        <f>+M1114-18662</f>
        <v>9995599.6500000004</v>
      </c>
      <c r="R1114" s="6">
        <f t="shared" si="219"/>
        <v>249889.99124999999</v>
      </c>
      <c r="T1114"/>
    </row>
    <row r="1115" spans="2:22" s="5" customFormat="1" x14ac:dyDescent="0.3">
      <c r="B1115" s="5" t="s">
        <v>16</v>
      </c>
      <c r="C1115" s="5" t="s">
        <v>1834</v>
      </c>
      <c r="D1115" s="5" t="s">
        <v>306</v>
      </c>
      <c r="E1115" s="5" t="s">
        <v>249</v>
      </c>
      <c r="F1115" s="5" t="s">
        <v>383</v>
      </c>
      <c r="G1115" s="5" t="s">
        <v>384</v>
      </c>
      <c r="H1115" s="6">
        <f t="shared" si="225"/>
        <v>27417980.385263156</v>
      </c>
      <c r="I1115" s="6">
        <f t="shared" si="210"/>
        <v>1631775.894736842</v>
      </c>
      <c r="J1115" s="6">
        <v>310037.42</v>
      </c>
      <c r="K1115" s="6">
        <v>0</v>
      </c>
      <c r="L1115" s="6">
        <v>0</v>
      </c>
      <c r="M1115" s="6">
        <f t="shared" si="222"/>
        <v>29049756.279999997</v>
      </c>
      <c r="N1115" s="6">
        <f t="shared" si="223"/>
        <v>310037.42</v>
      </c>
      <c r="O1115" s="6">
        <f t="shared" si="211"/>
        <v>29359793.699999999</v>
      </c>
      <c r="P1115" s="6">
        <v>29359793.699999999</v>
      </c>
      <c r="Q1115" s="6">
        <f>+M1115-967037</f>
        <v>28082719.279999997</v>
      </c>
      <c r="R1115" s="6">
        <f t="shared" si="219"/>
        <v>702067.98199999984</v>
      </c>
      <c r="T1115"/>
    </row>
    <row r="1116" spans="2:22" s="5" customFormat="1" x14ac:dyDescent="0.3">
      <c r="B1116" s="5" t="s">
        <v>16</v>
      </c>
      <c r="C1116" s="5" t="s">
        <v>1835</v>
      </c>
      <c r="D1116" s="5" t="s">
        <v>306</v>
      </c>
      <c r="E1116" s="5" t="s">
        <v>249</v>
      </c>
      <c r="F1116" s="5" t="s">
        <v>383</v>
      </c>
      <c r="G1116" s="5" t="s">
        <v>384</v>
      </c>
      <c r="H1116" s="6">
        <f t="shared" si="225"/>
        <v>51440568.965789475</v>
      </c>
      <c r="I1116" s="6">
        <f t="shared" si="210"/>
        <v>2011229.6842105265</v>
      </c>
      <c r="J1116" s="6">
        <v>382133.64</v>
      </c>
      <c r="K1116" s="6">
        <v>0</v>
      </c>
      <c r="L1116" s="6">
        <v>0</v>
      </c>
      <c r="M1116" s="6">
        <f t="shared" si="222"/>
        <v>53451798.649999999</v>
      </c>
      <c r="N1116" s="6">
        <f t="shared" si="223"/>
        <v>382133.64</v>
      </c>
      <c r="O1116" s="6">
        <f t="shared" si="211"/>
        <v>53833932.289999999</v>
      </c>
      <c r="P1116" s="6">
        <v>53833932.289999999</v>
      </c>
      <c r="Q1116" s="6">
        <f>+M1116</f>
        <v>53451798.649999999</v>
      </c>
      <c r="R1116" s="6">
        <f t="shared" si="219"/>
        <v>1336294.9662500001</v>
      </c>
      <c r="T1116"/>
    </row>
    <row r="1117" spans="2:22" x14ac:dyDescent="0.3">
      <c r="B1117" s="5" t="s">
        <v>16</v>
      </c>
      <c r="C1117" s="5" t="s">
        <v>1836</v>
      </c>
      <c r="D1117" s="5" t="s">
        <v>35</v>
      </c>
      <c r="E1117" s="5" t="s">
        <v>1314</v>
      </c>
      <c r="F1117" s="5" t="s">
        <v>342</v>
      </c>
      <c r="G1117" s="5" t="s">
        <v>343</v>
      </c>
      <c r="H1117" s="6">
        <f t="shared" si="225"/>
        <v>0</v>
      </c>
      <c r="I1117" s="6">
        <f t="shared" si="210"/>
        <v>972000</v>
      </c>
      <c r="J1117" s="6">
        <v>184680</v>
      </c>
      <c r="K1117" s="6">
        <v>0</v>
      </c>
      <c r="L1117" s="6">
        <v>0</v>
      </c>
      <c r="M1117" s="6">
        <f t="shared" si="222"/>
        <v>972000</v>
      </c>
      <c r="N1117" s="6">
        <f t="shared" si="223"/>
        <v>184680</v>
      </c>
      <c r="O1117" s="6">
        <f t="shared" si="211"/>
        <v>1156680</v>
      </c>
      <c r="P1117" s="6">
        <v>1156680</v>
      </c>
      <c r="Q1117" s="6">
        <f>+M1117</f>
        <v>972000</v>
      </c>
      <c r="R1117" s="6">
        <f t="shared" si="219"/>
        <v>24300</v>
      </c>
      <c r="S1117" s="5"/>
      <c r="U1117" s="5"/>
      <c r="V1117" s="5"/>
    </row>
    <row r="1118" spans="2:22" x14ac:dyDescent="0.3">
      <c r="B1118" s="5" t="s">
        <v>16</v>
      </c>
      <c r="C1118" s="5" t="s">
        <v>1837</v>
      </c>
      <c r="D1118" s="5" t="s">
        <v>1838</v>
      </c>
      <c r="E1118" s="5" t="s">
        <v>864</v>
      </c>
      <c r="F1118" s="5" t="s">
        <v>1839</v>
      </c>
      <c r="G1118" s="5" t="s">
        <v>1840</v>
      </c>
      <c r="H1118" s="6">
        <f t="shared" si="225"/>
        <v>-0.13684210515930317</v>
      </c>
      <c r="I1118" s="6">
        <f t="shared" ref="I1118:I1181" si="226">+J1118/19*100</f>
        <v>486554.73684210517</v>
      </c>
      <c r="J1118" s="6">
        <v>92445.4</v>
      </c>
      <c r="K1118" s="6">
        <v>0</v>
      </c>
      <c r="L1118" s="6">
        <v>0</v>
      </c>
      <c r="M1118" s="6">
        <f t="shared" si="222"/>
        <v>486554.6</v>
      </c>
      <c r="N1118" s="6">
        <f t="shared" si="223"/>
        <v>92445.4</v>
      </c>
      <c r="O1118" s="6">
        <f t="shared" ref="O1118:O1181" si="227">+M1118+N1118</f>
        <v>579000</v>
      </c>
      <c r="P1118" s="6">
        <v>579000</v>
      </c>
      <c r="Q1118" s="13" t="s">
        <v>1841</v>
      </c>
      <c r="R1118" s="6"/>
      <c r="S1118" s="7"/>
      <c r="U1118" s="5"/>
      <c r="V1118" s="5"/>
    </row>
    <row r="1119" spans="2:22" x14ac:dyDescent="0.3">
      <c r="B1119" s="5" t="s">
        <v>16</v>
      </c>
      <c r="C1119" s="5" t="s">
        <v>1842</v>
      </c>
      <c r="D1119" s="5" t="s">
        <v>1838</v>
      </c>
      <c r="E1119" s="5" t="s">
        <v>864</v>
      </c>
      <c r="F1119" s="5" t="s">
        <v>1839</v>
      </c>
      <c r="G1119" s="5" t="s">
        <v>1840</v>
      </c>
      <c r="H1119" s="6">
        <f t="shared" si="225"/>
        <v>-0.13684210515930317</v>
      </c>
      <c r="I1119" s="6">
        <f t="shared" si="226"/>
        <v>486554.73684210517</v>
      </c>
      <c r="J1119" s="6">
        <v>92445.4</v>
      </c>
      <c r="K1119" s="6">
        <v>0</v>
      </c>
      <c r="L1119" s="6">
        <v>0</v>
      </c>
      <c r="M1119" s="6">
        <f t="shared" si="222"/>
        <v>486554.6</v>
      </c>
      <c r="N1119" s="6">
        <f t="shared" si="223"/>
        <v>92445.4</v>
      </c>
      <c r="O1119" s="6">
        <f t="shared" si="227"/>
        <v>579000</v>
      </c>
      <c r="P1119" s="6">
        <v>579000</v>
      </c>
      <c r="Q1119" s="13" t="s">
        <v>1841</v>
      </c>
      <c r="R1119" s="6"/>
      <c r="U1119" s="5"/>
      <c r="V1119" s="5"/>
    </row>
    <row r="1120" spans="2:22" x14ac:dyDescent="0.3">
      <c r="B1120" s="5" t="s">
        <v>16</v>
      </c>
      <c r="C1120" s="5" t="s">
        <v>1843</v>
      </c>
      <c r="D1120" s="5" t="s">
        <v>1838</v>
      </c>
      <c r="E1120" s="5" t="s">
        <v>1032</v>
      </c>
      <c r="F1120" s="5" t="s">
        <v>1839</v>
      </c>
      <c r="G1120" s="5" t="s">
        <v>1840</v>
      </c>
      <c r="H1120" s="6">
        <f t="shared" si="225"/>
        <v>-5.73684210103238E-2</v>
      </c>
      <c r="I1120" s="6">
        <f t="shared" si="226"/>
        <v>619747.94736842101</v>
      </c>
      <c r="J1120" s="6">
        <v>117752.11</v>
      </c>
      <c r="K1120" s="6">
        <v>0</v>
      </c>
      <c r="L1120" s="6">
        <v>0</v>
      </c>
      <c r="M1120" s="6">
        <f t="shared" si="222"/>
        <v>619747.89</v>
      </c>
      <c r="N1120" s="6">
        <f t="shared" si="223"/>
        <v>117752.11</v>
      </c>
      <c r="O1120" s="6">
        <f t="shared" si="227"/>
        <v>737500</v>
      </c>
      <c r="P1120" s="6">
        <v>737500</v>
      </c>
      <c r="Q1120" s="13" t="s">
        <v>1841</v>
      </c>
      <c r="R1120" s="6"/>
      <c r="S1120" s="5"/>
      <c r="U1120" s="5"/>
      <c r="V1120" s="5"/>
    </row>
    <row r="1121" spans="2:22" s="5" customFormat="1" x14ac:dyDescent="0.3">
      <c r="B1121" s="5" t="s">
        <v>16</v>
      </c>
      <c r="C1121" s="5" t="s">
        <v>1844</v>
      </c>
      <c r="D1121" s="5" t="s">
        <v>1838</v>
      </c>
      <c r="E1121" s="5" t="s">
        <v>1032</v>
      </c>
      <c r="F1121" s="5" t="s">
        <v>1839</v>
      </c>
      <c r="G1121" s="5" t="s">
        <v>1840</v>
      </c>
      <c r="H1121" s="6">
        <f t="shared" si="225"/>
        <v>8.7894736730959266E-2</v>
      </c>
      <c r="I1121" s="6">
        <f t="shared" si="226"/>
        <v>574789.84210526326</v>
      </c>
      <c r="J1121" s="6">
        <v>109210.07</v>
      </c>
      <c r="K1121" s="6">
        <v>0</v>
      </c>
      <c r="L1121" s="6">
        <v>0</v>
      </c>
      <c r="M1121" s="6">
        <f t="shared" si="222"/>
        <v>574789.92999999993</v>
      </c>
      <c r="N1121" s="6">
        <f t="shared" si="223"/>
        <v>109210.07</v>
      </c>
      <c r="O1121" s="6">
        <f t="shared" si="227"/>
        <v>684000</v>
      </c>
      <c r="P1121" s="6">
        <v>684000</v>
      </c>
      <c r="Q1121" s="13" t="s">
        <v>1841</v>
      </c>
      <c r="R1121" s="6"/>
      <c r="T1121"/>
    </row>
    <row r="1122" spans="2:22" s="5" customFormat="1" x14ac:dyDescent="0.3">
      <c r="B1122" s="5" t="s">
        <v>16</v>
      </c>
      <c r="C1122" s="5" t="s">
        <v>1845</v>
      </c>
      <c r="D1122" s="5" t="s">
        <v>1838</v>
      </c>
      <c r="E1122" s="5" t="s">
        <v>1032</v>
      </c>
      <c r="F1122" s="5" t="s">
        <v>1839</v>
      </c>
      <c r="G1122" s="5" t="s">
        <v>1840</v>
      </c>
      <c r="H1122" s="6">
        <f t="shared" si="225"/>
        <v>-2.1578947358648293E-2</v>
      </c>
      <c r="I1122" s="6">
        <f t="shared" si="226"/>
        <v>484033.63157894736</v>
      </c>
      <c r="J1122" s="6">
        <v>91966.39</v>
      </c>
      <c r="K1122" s="6">
        <v>0</v>
      </c>
      <c r="L1122" s="6">
        <v>0</v>
      </c>
      <c r="M1122" s="6">
        <f t="shared" si="222"/>
        <v>484033.61</v>
      </c>
      <c r="N1122" s="6">
        <f t="shared" si="223"/>
        <v>91966.39</v>
      </c>
      <c r="O1122" s="6">
        <f t="shared" si="227"/>
        <v>576000</v>
      </c>
      <c r="P1122" s="6">
        <v>576000</v>
      </c>
      <c r="Q1122" s="13" t="s">
        <v>1841</v>
      </c>
      <c r="R1122" s="6"/>
      <c r="T1122"/>
    </row>
    <row r="1123" spans="2:22" s="5" customFormat="1" x14ac:dyDescent="0.3">
      <c r="B1123" s="5" t="s">
        <v>16</v>
      </c>
      <c r="C1123" s="5" t="s">
        <v>1846</v>
      </c>
      <c r="D1123" s="5" t="s">
        <v>1838</v>
      </c>
      <c r="E1123" s="5" t="s">
        <v>1188</v>
      </c>
      <c r="F1123" s="5" t="s">
        <v>1839</v>
      </c>
      <c r="G1123" s="5" t="s">
        <v>1840</v>
      </c>
      <c r="H1123" s="6">
        <f t="shared" si="225"/>
        <v>-0.2542105262982659</v>
      </c>
      <c r="I1123" s="6">
        <f t="shared" si="226"/>
        <v>741176.68421052629</v>
      </c>
      <c r="J1123" s="6">
        <v>140823.57</v>
      </c>
      <c r="K1123" s="6">
        <v>0</v>
      </c>
      <c r="L1123" s="6">
        <v>0</v>
      </c>
      <c r="M1123" s="6">
        <f t="shared" si="222"/>
        <v>741176.42999999993</v>
      </c>
      <c r="N1123" s="6">
        <f t="shared" si="223"/>
        <v>140823.57</v>
      </c>
      <c r="O1123" s="6">
        <f t="shared" si="227"/>
        <v>882000</v>
      </c>
      <c r="P1123" s="6">
        <v>882000</v>
      </c>
      <c r="Q1123" s="13" t="s">
        <v>1841</v>
      </c>
      <c r="R1123" s="6">
        <v>0</v>
      </c>
      <c r="T1123"/>
    </row>
    <row r="1124" spans="2:22" x14ac:dyDescent="0.3">
      <c r="B1124" s="5" t="s">
        <v>16</v>
      </c>
      <c r="C1124" s="5" t="s">
        <v>1847</v>
      </c>
      <c r="D1124" s="5" t="s">
        <v>1848</v>
      </c>
      <c r="E1124" s="5" t="s">
        <v>932</v>
      </c>
      <c r="F1124" s="5" t="s">
        <v>299</v>
      </c>
      <c r="G1124" s="5" t="s">
        <v>300</v>
      </c>
      <c r="H1124" s="6">
        <v>-3.1578947266098112E-2</v>
      </c>
      <c r="I1124" s="6">
        <f t="shared" si="226"/>
        <v>672449.6315789473</v>
      </c>
      <c r="J1124" s="6">
        <v>127765.43</v>
      </c>
      <c r="K1124" s="6"/>
      <c r="L1124" s="6"/>
      <c r="M1124" s="6">
        <f>+H1124+I1124</f>
        <v>672449.60000000009</v>
      </c>
      <c r="N1124" s="6">
        <f>+J1124</f>
        <v>127765.43</v>
      </c>
      <c r="O1124" s="6">
        <f t="shared" si="227"/>
        <v>800215.03</v>
      </c>
      <c r="P1124" s="6">
        <v>800215.03</v>
      </c>
      <c r="Q1124" s="6"/>
      <c r="R1124" s="6">
        <f t="shared" ref="R1124:R1187" si="228">+Q1124*2.5/100</f>
        <v>0</v>
      </c>
      <c r="S1124" s="5"/>
      <c r="U1124" s="5"/>
      <c r="V1124" s="5"/>
    </row>
    <row r="1125" spans="2:22" x14ac:dyDescent="0.3">
      <c r="B1125" s="5" t="s">
        <v>16</v>
      </c>
      <c r="C1125" s="5" t="s">
        <v>1849</v>
      </c>
      <c r="D1125" s="5" t="s">
        <v>1848</v>
      </c>
      <c r="E1125" s="5" t="s">
        <v>1091</v>
      </c>
      <c r="F1125" s="5" t="s">
        <v>299</v>
      </c>
      <c r="G1125" s="5" t="s">
        <v>300</v>
      </c>
      <c r="H1125" s="6">
        <f>+P1125-I1125-J1125</f>
        <v>0</v>
      </c>
      <c r="I1125" s="6">
        <f t="shared" si="226"/>
        <v>3069840</v>
      </c>
      <c r="J1125" s="6">
        <v>583269.6</v>
      </c>
      <c r="K1125" s="6">
        <v>0</v>
      </c>
      <c r="L1125" s="6">
        <v>0</v>
      </c>
      <c r="M1125" s="6">
        <f>+H1125+I1125+K1125</f>
        <v>3069840</v>
      </c>
      <c r="N1125" s="6">
        <f t="shared" ref="N1125:N1130" si="229">+J1125+L1125</f>
        <v>583269.6</v>
      </c>
      <c r="O1125" s="6">
        <f t="shared" si="227"/>
        <v>3653109.6</v>
      </c>
      <c r="P1125" s="6">
        <v>3653109.6</v>
      </c>
      <c r="Q1125" s="6">
        <f>+M1125</f>
        <v>3069840</v>
      </c>
      <c r="R1125" s="6">
        <f t="shared" si="228"/>
        <v>76746</v>
      </c>
      <c r="S1125" s="5"/>
      <c r="U1125" s="5"/>
      <c r="V1125" s="5"/>
    </row>
    <row r="1126" spans="2:22" x14ac:dyDescent="0.3">
      <c r="B1126" s="5" t="s">
        <v>16</v>
      </c>
      <c r="C1126" s="5" t="s">
        <v>1850</v>
      </c>
      <c r="D1126" s="5" t="s">
        <v>1073</v>
      </c>
      <c r="E1126" s="5" t="s">
        <v>533</v>
      </c>
      <c r="F1126" s="5" t="s">
        <v>1851</v>
      </c>
      <c r="G1126" s="5" t="s">
        <v>1852</v>
      </c>
      <c r="H1126" s="6">
        <v>-5.2631578932050616E-2</v>
      </c>
      <c r="I1126" s="6">
        <f t="shared" si="226"/>
        <v>302521.05263157893</v>
      </c>
      <c r="J1126" s="6">
        <v>57479</v>
      </c>
      <c r="K1126" s="6">
        <v>0</v>
      </c>
      <c r="L1126" s="6">
        <v>0</v>
      </c>
      <c r="M1126" s="6">
        <f>+H1126+I1126+K1126</f>
        <v>302521</v>
      </c>
      <c r="N1126" s="6">
        <f t="shared" si="229"/>
        <v>57479</v>
      </c>
      <c r="O1126" s="6">
        <f t="shared" si="227"/>
        <v>360000</v>
      </c>
      <c r="P1126" s="6">
        <v>360000</v>
      </c>
      <c r="Q1126" s="6">
        <v>0</v>
      </c>
      <c r="R1126" s="6">
        <f t="shared" si="228"/>
        <v>0</v>
      </c>
      <c r="S1126" s="5"/>
      <c r="U1126" s="5"/>
      <c r="V1126" s="5"/>
    </row>
    <row r="1127" spans="2:22" x14ac:dyDescent="0.3">
      <c r="B1127" s="5" t="s">
        <v>16</v>
      </c>
      <c r="C1127" s="5" t="s">
        <v>1853</v>
      </c>
      <c r="D1127" s="5" t="s">
        <v>1854</v>
      </c>
      <c r="E1127" s="5" t="s">
        <v>1044</v>
      </c>
      <c r="F1127" s="5" t="s">
        <v>390</v>
      </c>
      <c r="G1127" s="5" t="s">
        <v>391</v>
      </c>
      <c r="H1127" s="6">
        <f>+P1127-I1127-J1127-K1127-L1127</f>
        <v>-1.7894736025482416E-2</v>
      </c>
      <c r="I1127" s="6">
        <f t="shared" si="226"/>
        <v>13782857.157894736</v>
      </c>
      <c r="J1127" s="6">
        <v>2618742.86</v>
      </c>
      <c r="K1127" s="6">
        <v>0</v>
      </c>
      <c r="L1127" s="6">
        <v>0</v>
      </c>
      <c r="M1127" s="6">
        <f>+H1127+I1127+K1127</f>
        <v>13782857.140000001</v>
      </c>
      <c r="N1127" s="6">
        <f t="shared" si="229"/>
        <v>2618742.86</v>
      </c>
      <c r="O1127" s="6">
        <f t="shared" si="227"/>
        <v>16401600</v>
      </c>
      <c r="P1127" s="6">
        <v>16401600</v>
      </c>
      <c r="Q1127" s="6">
        <f>+M1127</f>
        <v>13782857.140000001</v>
      </c>
      <c r="R1127" s="6">
        <f t="shared" si="228"/>
        <v>344571.42850000004</v>
      </c>
      <c r="S1127" s="5"/>
      <c r="U1127" s="5"/>
      <c r="V1127" s="5"/>
    </row>
    <row r="1128" spans="2:22" x14ac:dyDescent="0.3">
      <c r="B1128" s="7" t="s">
        <v>16</v>
      </c>
      <c r="C1128" s="7" t="s">
        <v>1855</v>
      </c>
      <c r="D1128" s="7" t="s">
        <v>1856</v>
      </c>
      <c r="E1128" s="7" t="s">
        <v>464</v>
      </c>
      <c r="F1128" s="7" t="s">
        <v>1857</v>
      </c>
      <c r="G1128" s="7" t="s">
        <v>1858</v>
      </c>
      <c r="H1128" s="8">
        <f>+P1128-I1128-J1128</f>
        <v>0</v>
      </c>
      <c r="I1128" s="8">
        <f t="shared" si="226"/>
        <v>1091646</v>
      </c>
      <c r="J1128" s="8">
        <v>207412.74</v>
      </c>
      <c r="K1128" s="8">
        <v>0</v>
      </c>
      <c r="L1128" s="8">
        <v>0</v>
      </c>
      <c r="M1128" s="8">
        <f>+I1128+H1128</f>
        <v>1091646</v>
      </c>
      <c r="N1128" s="8">
        <f t="shared" si="229"/>
        <v>207412.74</v>
      </c>
      <c r="O1128" s="8">
        <f t="shared" si="227"/>
        <v>1299058.74</v>
      </c>
      <c r="P1128" s="8">
        <v>1299058.74</v>
      </c>
      <c r="Q1128" s="8">
        <v>0</v>
      </c>
      <c r="R1128" s="8">
        <f t="shared" si="228"/>
        <v>0</v>
      </c>
      <c r="S1128" s="5"/>
      <c r="U1128" s="5"/>
      <c r="V1128" s="5"/>
    </row>
    <row r="1129" spans="2:22" s="5" customFormat="1" x14ac:dyDescent="0.3">
      <c r="B1129" s="7" t="s">
        <v>16</v>
      </c>
      <c r="C1129" s="7" t="s">
        <v>1859</v>
      </c>
      <c r="D1129" s="7" t="s">
        <v>1856</v>
      </c>
      <c r="E1129" s="7" t="s">
        <v>825</v>
      </c>
      <c r="F1129" s="7" t="s">
        <v>1857</v>
      </c>
      <c r="G1129" s="7" t="s">
        <v>1858</v>
      </c>
      <c r="H1129" s="8">
        <f>+P1129-I1129-J1129</f>
        <v>0</v>
      </c>
      <c r="I1129" s="8">
        <f t="shared" si="226"/>
        <v>1007629.0000000001</v>
      </c>
      <c r="J1129" s="8">
        <v>191449.51</v>
      </c>
      <c r="K1129" s="8">
        <v>0</v>
      </c>
      <c r="L1129" s="8">
        <v>0</v>
      </c>
      <c r="M1129" s="8">
        <f>+I1129+H1129</f>
        <v>1007629.0000000001</v>
      </c>
      <c r="N1129" s="8">
        <f t="shared" si="229"/>
        <v>191449.51</v>
      </c>
      <c r="O1129" s="8">
        <f t="shared" si="227"/>
        <v>1199078.5100000002</v>
      </c>
      <c r="P1129" s="8">
        <v>1199078.51</v>
      </c>
      <c r="Q1129" s="8">
        <v>0</v>
      </c>
      <c r="R1129" s="8">
        <f t="shared" si="228"/>
        <v>0</v>
      </c>
      <c r="T1129"/>
    </row>
    <row r="1130" spans="2:22" s="5" customFormat="1" x14ac:dyDescent="0.3">
      <c r="B1130" s="5" t="s">
        <v>16</v>
      </c>
      <c r="C1130" s="5" t="s">
        <v>1860</v>
      </c>
      <c r="D1130" s="5" t="s">
        <v>306</v>
      </c>
      <c r="E1130" s="5" t="s">
        <v>763</v>
      </c>
      <c r="F1130" s="5" t="s">
        <v>457</v>
      </c>
      <c r="G1130" s="5" t="s">
        <v>458</v>
      </c>
      <c r="H1130" s="6">
        <f>+P1130-I1130-J1130-K1130-L1130</f>
        <v>-6.9849193096160889E-10</v>
      </c>
      <c r="I1130" s="6">
        <f t="shared" si="226"/>
        <v>2591162.0000000005</v>
      </c>
      <c r="J1130" s="6">
        <v>492320.78</v>
      </c>
      <c r="K1130" s="6">
        <v>0</v>
      </c>
      <c r="L1130" s="6">
        <v>0</v>
      </c>
      <c r="M1130" s="6">
        <f>+H1130+I1130+K1130</f>
        <v>2591162</v>
      </c>
      <c r="N1130" s="6">
        <f t="shared" si="229"/>
        <v>492320.78</v>
      </c>
      <c r="O1130" s="6">
        <f t="shared" si="227"/>
        <v>3083482.7800000003</v>
      </c>
      <c r="P1130" s="6">
        <v>3083482.78</v>
      </c>
      <c r="Q1130" s="6">
        <f>+M1130</f>
        <v>2591162</v>
      </c>
      <c r="R1130" s="6">
        <f t="shared" si="228"/>
        <v>64779.05</v>
      </c>
      <c r="S1130" s="7"/>
      <c r="T1130"/>
    </row>
    <row r="1131" spans="2:22" s="5" customFormat="1" x14ac:dyDescent="0.3">
      <c r="B1131" s="5" t="s">
        <v>16</v>
      </c>
      <c r="C1131" s="5" t="s">
        <v>1861</v>
      </c>
      <c r="D1131" s="5" t="s">
        <v>35</v>
      </c>
      <c r="E1131" s="5" t="s">
        <v>1275</v>
      </c>
      <c r="F1131" s="5" t="s">
        <v>114</v>
      </c>
      <c r="G1131" s="5" t="s">
        <v>115</v>
      </c>
      <c r="H1131" s="6">
        <v>-0.73684210539795458</v>
      </c>
      <c r="I1131" s="6">
        <f t="shared" si="226"/>
        <v>1146394.7368421054</v>
      </c>
      <c r="J1131" s="6">
        <v>217815</v>
      </c>
      <c r="K1131" s="6"/>
      <c r="L1131" s="6"/>
      <c r="M1131" s="6">
        <f>+H1131+I1131</f>
        <v>1146394</v>
      </c>
      <c r="N1131" s="6">
        <f>+J1131</f>
        <v>217815</v>
      </c>
      <c r="O1131" s="6">
        <f t="shared" si="227"/>
        <v>1364209</v>
      </c>
      <c r="P1131" s="6">
        <v>1364209</v>
      </c>
      <c r="Q1131" s="6"/>
      <c r="R1131" s="6">
        <f t="shared" si="228"/>
        <v>0</v>
      </c>
      <c r="T1131"/>
    </row>
    <row r="1132" spans="2:22" s="5" customFormat="1" x14ac:dyDescent="0.3">
      <c r="B1132" s="5" t="s">
        <v>16</v>
      </c>
      <c r="C1132" s="5" t="s">
        <v>1862</v>
      </c>
      <c r="D1132" s="5" t="s">
        <v>35</v>
      </c>
      <c r="E1132" s="5" t="s">
        <v>918</v>
      </c>
      <c r="F1132" s="5" t="s">
        <v>114</v>
      </c>
      <c r="G1132" s="5" t="s">
        <v>115</v>
      </c>
      <c r="H1132" s="6">
        <v>-0.9473684208933264</v>
      </c>
      <c r="I1132" s="6">
        <f t="shared" si="226"/>
        <v>1516778.9473684209</v>
      </c>
      <c r="J1132" s="6">
        <v>288188</v>
      </c>
      <c r="K1132" s="6"/>
      <c r="L1132" s="6"/>
      <c r="M1132" s="6">
        <f>+H1132+I1132</f>
        <v>1516778</v>
      </c>
      <c r="N1132" s="6">
        <f>+J1132</f>
        <v>288188</v>
      </c>
      <c r="O1132" s="6">
        <f t="shared" si="227"/>
        <v>1804966</v>
      </c>
      <c r="P1132" s="6">
        <v>1804966</v>
      </c>
      <c r="Q1132" s="6">
        <f>+M1132</f>
        <v>1516778</v>
      </c>
      <c r="R1132" s="6">
        <f t="shared" si="228"/>
        <v>37919.449999999997</v>
      </c>
      <c r="T1132"/>
    </row>
    <row r="1133" spans="2:22" x14ac:dyDescent="0.3">
      <c r="B1133" s="5" t="s">
        <v>16</v>
      </c>
      <c r="C1133" s="5" t="s">
        <v>1863</v>
      </c>
      <c r="D1133" s="5" t="s">
        <v>35</v>
      </c>
      <c r="E1133" s="5" t="s">
        <v>324</v>
      </c>
      <c r="F1133" s="5" t="s">
        <v>114</v>
      </c>
      <c r="G1133" s="5" t="s">
        <v>115</v>
      </c>
      <c r="H1133" s="6">
        <f>+P1133-I1133-J1133</f>
        <v>-1.368421052582562</v>
      </c>
      <c r="I1133" s="6">
        <f t="shared" si="226"/>
        <v>3914247.3684210526</v>
      </c>
      <c r="J1133" s="6">
        <v>743707</v>
      </c>
      <c r="K1133" s="6">
        <v>0</v>
      </c>
      <c r="L1133" s="6">
        <v>0</v>
      </c>
      <c r="M1133" s="6">
        <f>+H1133+I1133+K1133</f>
        <v>3914246</v>
      </c>
      <c r="N1133" s="6">
        <f>+J1133+L1133</f>
        <v>743707</v>
      </c>
      <c r="O1133" s="6">
        <f t="shared" si="227"/>
        <v>4657953</v>
      </c>
      <c r="P1133" s="6">
        <v>4657953</v>
      </c>
      <c r="Q1133" s="6">
        <f>+M1133</f>
        <v>3914246</v>
      </c>
      <c r="R1133" s="6">
        <f t="shared" si="228"/>
        <v>97856.15</v>
      </c>
      <c r="S1133" s="5"/>
      <c r="U1133" s="5"/>
      <c r="V1133" s="5"/>
    </row>
    <row r="1134" spans="2:22" x14ac:dyDescent="0.3">
      <c r="B1134" s="5" t="s">
        <v>16</v>
      </c>
      <c r="C1134" s="5" t="s">
        <v>1864</v>
      </c>
      <c r="D1134" s="5" t="s">
        <v>35</v>
      </c>
      <c r="E1134" s="5" t="s">
        <v>1865</v>
      </c>
      <c r="F1134" s="5" t="s">
        <v>114</v>
      </c>
      <c r="G1134" s="5" t="s">
        <v>115</v>
      </c>
      <c r="H1134" s="6">
        <f>+P1134-I1134-J1134</f>
        <v>-0.15789473662152886</v>
      </c>
      <c r="I1134" s="6">
        <f t="shared" si="226"/>
        <v>3964963.1578947366</v>
      </c>
      <c r="J1134" s="6">
        <v>753343</v>
      </c>
      <c r="K1134" s="6">
        <v>0</v>
      </c>
      <c r="L1134" s="6">
        <v>0</v>
      </c>
      <c r="M1134" s="6">
        <f>+H1134+I1134+K1134</f>
        <v>3964963</v>
      </c>
      <c r="N1134" s="6">
        <f>+J1134+L1134</f>
        <v>753343</v>
      </c>
      <c r="O1134" s="6">
        <f t="shared" si="227"/>
        <v>4718306</v>
      </c>
      <c r="P1134" s="6">
        <v>4718306</v>
      </c>
      <c r="Q1134" s="6">
        <f>+M1134</f>
        <v>3964963</v>
      </c>
      <c r="R1134" s="6">
        <f t="shared" si="228"/>
        <v>99124.074999999997</v>
      </c>
      <c r="S1134" s="5"/>
      <c r="U1134" s="5"/>
      <c r="V1134" s="5"/>
    </row>
    <row r="1135" spans="2:22" s="5" customFormat="1" x14ac:dyDescent="0.3">
      <c r="B1135" s="5" t="s">
        <v>16</v>
      </c>
      <c r="C1135" s="5" t="s">
        <v>1866</v>
      </c>
      <c r="D1135" s="5" t="s">
        <v>35</v>
      </c>
      <c r="E1135" s="5" t="s">
        <v>423</v>
      </c>
      <c r="F1135" s="5" t="s">
        <v>114</v>
      </c>
      <c r="G1135" s="5" t="s">
        <v>115</v>
      </c>
      <c r="H1135" s="6">
        <f>+P1135-I1135-J1135-K1135-L1135</f>
        <v>-0.78947368357330561</v>
      </c>
      <c r="I1135" s="6">
        <f t="shared" si="226"/>
        <v>5543715.7894736836</v>
      </c>
      <c r="J1135" s="6">
        <v>1053306</v>
      </c>
      <c r="K1135" s="6">
        <v>0</v>
      </c>
      <c r="L1135" s="6">
        <v>0</v>
      </c>
      <c r="M1135" s="6">
        <f>+H1135+I1135+K1135</f>
        <v>5543715</v>
      </c>
      <c r="N1135" s="6">
        <f>+J1135+L1135</f>
        <v>1053306</v>
      </c>
      <c r="O1135" s="6">
        <f t="shared" si="227"/>
        <v>6597021</v>
      </c>
      <c r="P1135" s="6">
        <v>6597021</v>
      </c>
      <c r="Q1135" s="6">
        <f>+M1135</f>
        <v>5543715</v>
      </c>
      <c r="R1135" s="6">
        <f t="shared" si="228"/>
        <v>138592.875</v>
      </c>
      <c r="T1135"/>
    </row>
    <row r="1136" spans="2:22" s="5" customFormat="1" x14ac:dyDescent="0.3">
      <c r="B1136" s="5" t="s">
        <v>16</v>
      </c>
      <c r="C1136" s="5" t="s">
        <v>1867</v>
      </c>
      <c r="D1136" s="5" t="s">
        <v>35</v>
      </c>
      <c r="E1136" s="5" t="s">
        <v>809</v>
      </c>
      <c r="F1136" s="5" t="s">
        <v>153</v>
      </c>
      <c r="G1136" s="5" t="s">
        <v>154</v>
      </c>
      <c r="H1136" s="6">
        <v>0</v>
      </c>
      <c r="I1136" s="6">
        <f t="shared" si="226"/>
        <v>1952128</v>
      </c>
      <c r="J1136" s="6">
        <v>370904.32000000001</v>
      </c>
      <c r="K1136" s="6"/>
      <c r="L1136" s="6"/>
      <c r="M1136" s="6">
        <f>+H1136+I1136</f>
        <v>1952128</v>
      </c>
      <c r="N1136" s="6">
        <f>+J1136</f>
        <v>370904.32000000001</v>
      </c>
      <c r="O1136" s="6">
        <f t="shared" si="227"/>
        <v>2323032.3199999998</v>
      </c>
      <c r="P1136" s="6">
        <v>2323032.3199999998</v>
      </c>
      <c r="Q1136" s="6">
        <f>+M1136</f>
        <v>1952128</v>
      </c>
      <c r="R1136" s="6">
        <f t="shared" si="228"/>
        <v>48803.199999999997</v>
      </c>
      <c r="T1136"/>
    </row>
    <row r="1137" spans="2:22" s="5" customFormat="1" x14ac:dyDescent="0.3">
      <c r="B1137" s="5" t="s">
        <v>16</v>
      </c>
      <c r="C1137" s="5" t="s">
        <v>1868</v>
      </c>
      <c r="D1137" s="5" t="s">
        <v>35</v>
      </c>
      <c r="E1137" s="5" t="s">
        <v>549</v>
      </c>
      <c r="F1137" s="5" t="s">
        <v>118</v>
      </c>
      <c r="G1137" s="5" t="s">
        <v>119</v>
      </c>
      <c r="H1137" s="6">
        <v>0</v>
      </c>
      <c r="I1137" s="6">
        <f t="shared" si="226"/>
        <v>754500</v>
      </c>
      <c r="J1137" s="6">
        <v>143355</v>
      </c>
      <c r="K1137" s="6">
        <v>0</v>
      </c>
      <c r="L1137" s="6">
        <v>0</v>
      </c>
      <c r="M1137" s="6">
        <f>+H1137+I1137+K1137</f>
        <v>754500</v>
      </c>
      <c r="N1137" s="6">
        <f t="shared" ref="N1137:N1151" si="230">+J1137+L1137</f>
        <v>143355</v>
      </c>
      <c r="O1137" s="6">
        <f t="shared" si="227"/>
        <v>897855</v>
      </c>
      <c r="P1137" s="6">
        <v>897855</v>
      </c>
      <c r="Q1137" s="6">
        <f>+P1137-O1137</f>
        <v>0</v>
      </c>
      <c r="R1137" s="6">
        <f t="shared" si="228"/>
        <v>0</v>
      </c>
      <c r="T1137"/>
    </row>
    <row r="1138" spans="2:22" s="5" customFormat="1" x14ac:dyDescent="0.3">
      <c r="B1138" s="5" t="s">
        <v>16</v>
      </c>
      <c r="C1138" s="5" t="s">
        <v>1869</v>
      </c>
      <c r="D1138" s="5" t="s">
        <v>35</v>
      </c>
      <c r="E1138" s="5" t="s">
        <v>549</v>
      </c>
      <c r="F1138" s="5" t="s">
        <v>118</v>
      </c>
      <c r="G1138" s="5" t="s">
        <v>119</v>
      </c>
      <c r="H1138" s="6">
        <v>0</v>
      </c>
      <c r="I1138" s="6">
        <f t="shared" si="226"/>
        <v>900800</v>
      </c>
      <c r="J1138" s="6">
        <v>171152</v>
      </c>
      <c r="K1138" s="6">
        <v>0</v>
      </c>
      <c r="L1138" s="6">
        <v>0</v>
      </c>
      <c r="M1138" s="6">
        <f>+H1138+I1138+K1138</f>
        <v>900800</v>
      </c>
      <c r="N1138" s="6">
        <f t="shared" si="230"/>
        <v>171152</v>
      </c>
      <c r="O1138" s="6">
        <f t="shared" si="227"/>
        <v>1071952</v>
      </c>
      <c r="P1138" s="6">
        <v>1071952</v>
      </c>
      <c r="Q1138" s="6">
        <f>+P1138-O1138</f>
        <v>0</v>
      </c>
      <c r="R1138" s="6">
        <f t="shared" si="228"/>
        <v>0</v>
      </c>
      <c r="T1138"/>
    </row>
    <row r="1139" spans="2:22" s="5" customFormat="1" x14ac:dyDescent="0.3">
      <c r="B1139" s="5" t="s">
        <v>16</v>
      </c>
      <c r="C1139" s="5" t="s">
        <v>1870</v>
      </c>
      <c r="D1139" s="5" t="s">
        <v>35</v>
      </c>
      <c r="E1139" s="5" t="s">
        <v>549</v>
      </c>
      <c r="F1139" s="5" t="s">
        <v>118</v>
      </c>
      <c r="G1139" s="5" t="s">
        <v>119</v>
      </c>
      <c r="H1139" s="6">
        <v>0</v>
      </c>
      <c r="I1139" s="6">
        <f t="shared" si="226"/>
        <v>2190000</v>
      </c>
      <c r="J1139" s="6">
        <v>416100</v>
      </c>
      <c r="K1139" s="6">
        <v>0</v>
      </c>
      <c r="L1139" s="6">
        <v>0</v>
      </c>
      <c r="M1139" s="6">
        <f>+H1139+I1139+K1139</f>
        <v>2190000</v>
      </c>
      <c r="N1139" s="6">
        <f t="shared" si="230"/>
        <v>416100</v>
      </c>
      <c r="O1139" s="6">
        <f t="shared" si="227"/>
        <v>2606100</v>
      </c>
      <c r="P1139" s="6">
        <v>2606100</v>
      </c>
      <c r="Q1139" s="6">
        <f>+M1139</f>
        <v>2190000</v>
      </c>
      <c r="R1139" s="6">
        <f t="shared" si="228"/>
        <v>54750</v>
      </c>
      <c r="T1139"/>
    </row>
    <row r="1140" spans="2:22" s="15" customFormat="1" x14ac:dyDescent="0.3">
      <c r="B1140" s="5" t="s">
        <v>16</v>
      </c>
      <c r="C1140" s="5" t="s">
        <v>1871</v>
      </c>
      <c r="D1140" s="5" t="s">
        <v>35</v>
      </c>
      <c r="E1140" s="5" t="s">
        <v>549</v>
      </c>
      <c r="F1140" s="5" t="s">
        <v>118</v>
      </c>
      <c r="G1140" s="5" t="s">
        <v>119</v>
      </c>
      <c r="H1140" s="6">
        <v>0</v>
      </c>
      <c r="I1140" s="6">
        <f t="shared" si="226"/>
        <v>3972800</v>
      </c>
      <c r="J1140" s="6">
        <v>754832</v>
      </c>
      <c r="K1140" s="6">
        <v>0</v>
      </c>
      <c r="L1140" s="6">
        <v>0</v>
      </c>
      <c r="M1140" s="6">
        <f>+H1140+I1140+K1140</f>
        <v>3972800</v>
      </c>
      <c r="N1140" s="6">
        <f t="shared" si="230"/>
        <v>754832</v>
      </c>
      <c r="O1140" s="6">
        <f t="shared" si="227"/>
        <v>4727632</v>
      </c>
      <c r="P1140" s="6">
        <v>4727632</v>
      </c>
      <c r="Q1140" s="6">
        <f>+M1140</f>
        <v>3972800</v>
      </c>
      <c r="R1140" s="6">
        <f t="shared" si="228"/>
        <v>99320</v>
      </c>
      <c r="S1140" s="5"/>
      <c r="T1140"/>
      <c r="U1140" s="5"/>
      <c r="V1140" s="5"/>
    </row>
    <row r="1141" spans="2:22" s="15" customFormat="1" x14ac:dyDescent="0.3">
      <c r="B1141" s="7" t="s">
        <v>16</v>
      </c>
      <c r="C1141" s="7" t="s">
        <v>1872</v>
      </c>
      <c r="D1141" s="7" t="s">
        <v>35</v>
      </c>
      <c r="E1141" s="7" t="s">
        <v>698</v>
      </c>
      <c r="F1141" s="7" t="s">
        <v>118</v>
      </c>
      <c r="G1141" s="7" t="s">
        <v>119</v>
      </c>
      <c r="H1141" s="8">
        <f t="shared" ref="H1141:H1148" si="231">+P1141-I1141-J1141</f>
        <v>0</v>
      </c>
      <c r="I1141" s="8">
        <f t="shared" si="226"/>
        <v>4467900</v>
      </c>
      <c r="J1141" s="8">
        <v>848901</v>
      </c>
      <c r="K1141" s="8">
        <v>0</v>
      </c>
      <c r="L1141" s="8">
        <v>0</v>
      </c>
      <c r="M1141" s="8">
        <f>+I1141+H1141</f>
        <v>4467900</v>
      </c>
      <c r="N1141" s="8">
        <f t="shared" si="230"/>
        <v>848901</v>
      </c>
      <c r="O1141" s="8">
        <f t="shared" si="227"/>
        <v>5316801</v>
      </c>
      <c r="P1141" s="8">
        <v>5316801</v>
      </c>
      <c r="Q1141" s="8">
        <f>+M1141</f>
        <v>4467900</v>
      </c>
      <c r="R1141" s="8">
        <f t="shared" si="228"/>
        <v>111697.5</v>
      </c>
      <c r="S1141" s="7"/>
      <c r="T1141"/>
      <c r="U1141" s="5"/>
      <c r="V1141" s="5"/>
    </row>
    <row r="1142" spans="2:22" x14ac:dyDescent="0.3">
      <c r="B1142" s="5" t="s">
        <v>16</v>
      </c>
      <c r="C1142" s="5" t="s">
        <v>1873</v>
      </c>
      <c r="D1142" s="5" t="s">
        <v>35</v>
      </c>
      <c r="E1142" s="5" t="s">
        <v>561</v>
      </c>
      <c r="F1142" s="5" t="s">
        <v>118</v>
      </c>
      <c r="G1142" s="5" t="s">
        <v>119</v>
      </c>
      <c r="H1142" s="6">
        <f t="shared" si="231"/>
        <v>0</v>
      </c>
      <c r="I1142" s="6">
        <f t="shared" si="226"/>
        <v>702600</v>
      </c>
      <c r="J1142" s="6">
        <v>133494</v>
      </c>
      <c r="K1142" s="6">
        <v>0</v>
      </c>
      <c r="L1142" s="6">
        <v>0</v>
      </c>
      <c r="M1142" s="6">
        <f t="shared" ref="M1142:M1154" si="232">+H1142+I1142+K1142</f>
        <v>702600</v>
      </c>
      <c r="N1142" s="6">
        <f t="shared" si="230"/>
        <v>133494</v>
      </c>
      <c r="O1142" s="6">
        <f t="shared" si="227"/>
        <v>836094</v>
      </c>
      <c r="P1142" s="6">
        <v>836094</v>
      </c>
      <c r="Q1142" s="6">
        <v>0</v>
      </c>
      <c r="R1142" s="6">
        <f t="shared" si="228"/>
        <v>0</v>
      </c>
      <c r="S1142" s="7"/>
      <c r="U1142" s="5"/>
      <c r="V1142" s="5"/>
    </row>
    <row r="1143" spans="2:22" x14ac:dyDescent="0.3">
      <c r="B1143" s="5" t="s">
        <v>16</v>
      </c>
      <c r="C1143" s="5" t="s">
        <v>1874</v>
      </c>
      <c r="D1143" s="5" t="s">
        <v>35</v>
      </c>
      <c r="E1143" s="5" t="s">
        <v>561</v>
      </c>
      <c r="F1143" s="5" t="s">
        <v>118</v>
      </c>
      <c r="G1143" s="5" t="s">
        <v>119</v>
      </c>
      <c r="H1143" s="6">
        <f t="shared" si="231"/>
        <v>0</v>
      </c>
      <c r="I1143" s="6">
        <f t="shared" si="226"/>
        <v>2944200</v>
      </c>
      <c r="J1143" s="6">
        <v>559398</v>
      </c>
      <c r="K1143" s="6">
        <v>0</v>
      </c>
      <c r="L1143" s="6">
        <v>0</v>
      </c>
      <c r="M1143" s="6">
        <f t="shared" si="232"/>
        <v>2944200</v>
      </c>
      <c r="N1143" s="6">
        <f t="shared" si="230"/>
        <v>559398</v>
      </c>
      <c r="O1143" s="6">
        <f t="shared" si="227"/>
        <v>3503598</v>
      </c>
      <c r="P1143" s="6">
        <v>3503598</v>
      </c>
      <c r="Q1143" s="6">
        <f>+M1143</f>
        <v>2944200</v>
      </c>
      <c r="R1143" s="6">
        <f t="shared" si="228"/>
        <v>73605</v>
      </c>
      <c r="S1143" s="7"/>
      <c r="U1143" s="5"/>
      <c r="V1143" s="5"/>
    </row>
    <row r="1144" spans="2:22" x14ac:dyDescent="0.3">
      <c r="B1144" s="5" t="s">
        <v>16</v>
      </c>
      <c r="C1144" s="5" t="s">
        <v>1875</v>
      </c>
      <c r="D1144" s="5" t="s">
        <v>35</v>
      </c>
      <c r="E1144" s="5" t="s">
        <v>859</v>
      </c>
      <c r="F1144" s="5" t="s">
        <v>118</v>
      </c>
      <c r="G1144" s="5" t="s">
        <v>119</v>
      </c>
      <c r="H1144" s="6">
        <f t="shared" si="231"/>
        <v>0</v>
      </c>
      <c r="I1144" s="6">
        <f t="shared" si="226"/>
        <v>68850</v>
      </c>
      <c r="J1144" s="6">
        <v>13081.5</v>
      </c>
      <c r="K1144" s="6">
        <v>0</v>
      </c>
      <c r="L1144" s="6">
        <v>0</v>
      </c>
      <c r="M1144" s="6">
        <f t="shared" si="232"/>
        <v>68850</v>
      </c>
      <c r="N1144" s="6">
        <f t="shared" si="230"/>
        <v>13081.5</v>
      </c>
      <c r="O1144" s="6">
        <f t="shared" si="227"/>
        <v>81931.5</v>
      </c>
      <c r="P1144" s="6">
        <v>81931.5</v>
      </c>
      <c r="Q1144" s="6">
        <v>0</v>
      </c>
      <c r="R1144" s="6">
        <f t="shared" si="228"/>
        <v>0</v>
      </c>
      <c r="S1144" s="7"/>
      <c r="U1144" s="5"/>
      <c r="V1144" s="5"/>
    </row>
    <row r="1145" spans="2:22" s="5" customFormat="1" x14ac:dyDescent="0.3">
      <c r="B1145" s="5" t="s">
        <v>16</v>
      </c>
      <c r="C1145" s="5" t="s">
        <v>1876</v>
      </c>
      <c r="D1145" s="5" t="s">
        <v>35</v>
      </c>
      <c r="E1145" s="5" t="s">
        <v>901</v>
      </c>
      <c r="F1145" s="5" t="s">
        <v>118</v>
      </c>
      <c r="G1145" s="5" t="s">
        <v>119</v>
      </c>
      <c r="H1145" s="6">
        <f t="shared" si="231"/>
        <v>0</v>
      </c>
      <c r="I1145" s="6">
        <f t="shared" si="226"/>
        <v>6428700</v>
      </c>
      <c r="J1145" s="6">
        <v>1221453</v>
      </c>
      <c r="K1145" s="6">
        <v>0</v>
      </c>
      <c r="L1145" s="6">
        <v>0</v>
      </c>
      <c r="M1145" s="6">
        <f t="shared" si="232"/>
        <v>6428700</v>
      </c>
      <c r="N1145" s="6">
        <f t="shared" si="230"/>
        <v>1221453</v>
      </c>
      <c r="O1145" s="6">
        <f t="shared" si="227"/>
        <v>7650153</v>
      </c>
      <c r="P1145" s="6">
        <v>7650153</v>
      </c>
      <c r="Q1145" s="6">
        <f>+M1145</f>
        <v>6428700</v>
      </c>
      <c r="R1145" s="6">
        <f t="shared" si="228"/>
        <v>160717.5</v>
      </c>
      <c r="T1145"/>
      <c r="U1145" s="6"/>
    </row>
    <row r="1146" spans="2:22" x14ac:dyDescent="0.3">
      <c r="B1146" s="5" t="s">
        <v>16</v>
      </c>
      <c r="C1146" s="5" t="s">
        <v>1877</v>
      </c>
      <c r="D1146" s="5" t="s">
        <v>35</v>
      </c>
      <c r="E1146" s="5" t="s">
        <v>448</v>
      </c>
      <c r="F1146" s="5" t="s">
        <v>118</v>
      </c>
      <c r="G1146" s="5" t="s">
        <v>119</v>
      </c>
      <c r="H1146" s="6">
        <f t="shared" si="231"/>
        <v>0</v>
      </c>
      <c r="I1146" s="6">
        <f t="shared" si="226"/>
        <v>2738100</v>
      </c>
      <c r="J1146" s="6">
        <v>520239</v>
      </c>
      <c r="K1146" s="6">
        <v>0</v>
      </c>
      <c r="L1146" s="6">
        <v>0</v>
      </c>
      <c r="M1146" s="6">
        <f t="shared" si="232"/>
        <v>2738100</v>
      </c>
      <c r="N1146" s="6">
        <f t="shared" si="230"/>
        <v>520239</v>
      </c>
      <c r="O1146" s="6">
        <f t="shared" si="227"/>
        <v>3258339</v>
      </c>
      <c r="P1146" s="6">
        <v>3258339</v>
      </c>
      <c r="Q1146" s="6">
        <f>+M1146</f>
        <v>2738100</v>
      </c>
      <c r="R1146" s="6">
        <f t="shared" si="228"/>
        <v>68452.5</v>
      </c>
      <c r="S1146" s="5"/>
      <c r="U1146" s="5"/>
      <c r="V1146" s="5"/>
    </row>
    <row r="1147" spans="2:22" x14ac:dyDescent="0.3">
      <c r="B1147" s="5" t="s">
        <v>16</v>
      </c>
      <c r="C1147" s="5" t="s">
        <v>1878</v>
      </c>
      <c r="D1147" s="5" t="s">
        <v>35</v>
      </c>
      <c r="E1147" s="5" t="s">
        <v>538</v>
      </c>
      <c r="F1147" s="5" t="s">
        <v>118</v>
      </c>
      <c r="G1147" s="5" t="s">
        <v>119</v>
      </c>
      <c r="H1147" s="6">
        <f t="shared" si="231"/>
        <v>0</v>
      </c>
      <c r="I1147" s="6">
        <f t="shared" si="226"/>
        <v>169800</v>
      </c>
      <c r="J1147" s="6">
        <v>32262</v>
      </c>
      <c r="K1147" s="6">
        <v>0</v>
      </c>
      <c r="L1147" s="6">
        <v>0</v>
      </c>
      <c r="M1147" s="6">
        <f t="shared" si="232"/>
        <v>169800</v>
      </c>
      <c r="N1147" s="6">
        <f t="shared" si="230"/>
        <v>32262</v>
      </c>
      <c r="O1147" s="6">
        <f t="shared" si="227"/>
        <v>202062</v>
      </c>
      <c r="P1147" s="6">
        <v>202062</v>
      </c>
      <c r="Q1147" s="6">
        <v>0</v>
      </c>
      <c r="R1147" s="6">
        <f t="shared" si="228"/>
        <v>0</v>
      </c>
      <c r="S1147" s="5"/>
      <c r="U1147" s="5"/>
      <c r="V1147" s="5"/>
    </row>
    <row r="1148" spans="2:22" x14ac:dyDescent="0.3">
      <c r="B1148" s="5" t="s">
        <v>16</v>
      </c>
      <c r="C1148" s="5" t="s">
        <v>1879</v>
      </c>
      <c r="D1148" s="5" t="s">
        <v>35</v>
      </c>
      <c r="E1148" s="5" t="s">
        <v>538</v>
      </c>
      <c r="F1148" s="5" t="s">
        <v>118</v>
      </c>
      <c r="G1148" s="5" t="s">
        <v>119</v>
      </c>
      <c r="H1148" s="6">
        <f t="shared" si="231"/>
        <v>0</v>
      </c>
      <c r="I1148" s="6">
        <f t="shared" si="226"/>
        <v>1014900</v>
      </c>
      <c r="J1148" s="6">
        <v>192831</v>
      </c>
      <c r="K1148" s="6">
        <v>0</v>
      </c>
      <c r="L1148" s="6">
        <v>0</v>
      </c>
      <c r="M1148" s="6">
        <f t="shared" si="232"/>
        <v>1014900</v>
      </c>
      <c r="N1148" s="6">
        <f t="shared" si="230"/>
        <v>192831</v>
      </c>
      <c r="O1148" s="6">
        <f t="shared" si="227"/>
        <v>1207731</v>
      </c>
      <c r="P1148" s="6">
        <v>1207731</v>
      </c>
      <c r="Q1148" s="6">
        <f>+M1148</f>
        <v>1014900</v>
      </c>
      <c r="R1148" s="6">
        <f t="shared" si="228"/>
        <v>25372.5</v>
      </c>
      <c r="S1148" s="5"/>
      <c r="U1148" s="5"/>
      <c r="V1148" s="5"/>
    </row>
    <row r="1149" spans="2:22" x14ac:dyDescent="0.3">
      <c r="B1149" s="5" t="s">
        <v>16</v>
      </c>
      <c r="C1149" s="5" t="s">
        <v>1880</v>
      </c>
      <c r="D1149" s="5" t="s">
        <v>35</v>
      </c>
      <c r="E1149" s="5" t="s">
        <v>42</v>
      </c>
      <c r="F1149" s="5" t="s">
        <v>118</v>
      </c>
      <c r="G1149" s="5" t="s">
        <v>119</v>
      </c>
      <c r="H1149" s="6">
        <v>0</v>
      </c>
      <c r="I1149" s="6">
        <f t="shared" si="226"/>
        <v>576000</v>
      </c>
      <c r="J1149" s="6">
        <v>109440</v>
      </c>
      <c r="K1149" s="6">
        <v>0</v>
      </c>
      <c r="L1149" s="6">
        <v>0</v>
      </c>
      <c r="M1149" s="6">
        <f t="shared" si="232"/>
        <v>576000</v>
      </c>
      <c r="N1149" s="6">
        <f t="shared" si="230"/>
        <v>109440</v>
      </c>
      <c r="O1149" s="6">
        <f t="shared" si="227"/>
        <v>685440</v>
      </c>
      <c r="P1149" s="6">
        <v>685440</v>
      </c>
      <c r="Q1149" s="6">
        <f>+M1149</f>
        <v>576000</v>
      </c>
      <c r="R1149" s="6">
        <f t="shared" si="228"/>
        <v>14400</v>
      </c>
      <c r="S1149" s="5"/>
      <c r="U1149" s="5"/>
      <c r="V1149" s="5"/>
    </row>
    <row r="1150" spans="2:22" x14ac:dyDescent="0.3">
      <c r="B1150" s="5" t="s">
        <v>16</v>
      </c>
      <c r="C1150" s="5" t="s">
        <v>1881</v>
      </c>
      <c r="D1150" s="5" t="s">
        <v>35</v>
      </c>
      <c r="E1150" s="5" t="s">
        <v>486</v>
      </c>
      <c r="F1150" s="5" t="s">
        <v>118</v>
      </c>
      <c r="G1150" s="5" t="s">
        <v>119</v>
      </c>
      <c r="H1150" s="6">
        <v>0</v>
      </c>
      <c r="I1150" s="6">
        <f t="shared" si="226"/>
        <v>11383800</v>
      </c>
      <c r="J1150" s="6">
        <v>2162922</v>
      </c>
      <c r="K1150" s="6">
        <v>0</v>
      </c>
      <c r="L1150" s="6">
        <v>0</v>
      </c>
      <c r="M1150" s="6">
        <f t="shared" si="232"/>
        <v>11383800</v>
      </c>
      <c r="N1150" s="6">
        <f t="shared" si="230"/>
        <v>2162922</v>
      </c>
      <c r="O1150" s="6">
        <f t="shared" si="227"/>
        <v>13546722</v>
      </c>
      <c r="P1150" s="6">
        <v>13546722</v>
      </c>
      <c r="Q1150" s="6">
        <f>+M1150</f>
        <v>11383800</v>
      </c>
      <c r="R1150" s="6">
        <f t="shared" si="228"/>
        <v>284595</v>
      </c>
      <c r="S1150" s="5"/>
      <c r="U1150" s="5"/>
      <c r="V1150" s="5"/>
    </row>
    <row r="1151" spans="2:22" s="5" customFormat="1" x14ac:dyDescent="0.3">
      <c r="B1151" s="5" t="s">
        <v>16</v>
      </c>
      <c r="C1151" s="5" t="s">
        <v>1882</v>
      </c>
      <c r="E1151" s="5" t="s">
        <v>230</v>
      </c>
      <c r="F1151" s="5" t="s">
        <v>1883</v>
      </c>
      <c r="G1151" s="5" t="s">
        <v>1884</v>
      </c>
      <c r="H1151" s="6">
        <v>1.052631578873843</v>
      </c>
      <c r="I1151" s="6">
        <f t="shared" si="226"/>
        <v>2242678.9473684211</v>
      </c>
      <c r="J1151" s="6">
        <v>426109</v>
      </c>
      <c r="K1151" s="6">
        <v>0</v>
      </c>
      <c r="L1151" s="6">
        <v>0</v>
      </c>
      <c r="M1151" s="6">
        <f t="shared" si="232"/>
        <v>2242680</v>
      </c>
      <c r="N1151" s="6">
        <f t="shared" si="230"/>
        <v>426109</v>
      </c>
      <c r="O1151" s="6">
        <f t="shared" si="227"/>
        <v>2668789</v>
      </c>
      <c r="P1151" s="6">
        <v>2668789</v>
      </c>
      <c r="Q1151" s="6">
        <v>0</v>
      </c>
      <c r="R1151" s="6">
        <f t="shared" si="228"/>
        <v>0</v>
      </c>
      <c r="T1151"/>
    </row>
    <row r="1152" spans="2:22" s="5" customFormat="1" x14ac:dyDescent="0.3">
      <c r="B1152" s="5" t="s">
        <v>16</v>
      </c>
      <c r="C1152" s="5" t="s">
        <v>1885</v>
      </c>
      <c r="E1152" s="5" t="s">
        <v>706</v>
      </c>
      <c r="F1152" s="5" t="s">
        <v>1883</v>
      </c>
      <c r="G1152" s="5" t="s">
        <v>1884</v>
      </c>
      <c r="H1152" s="6">
        <f>+P1152-I1152-J1152</f>
        <v>1.315789473708719</v>
      </c>
      <c r="I1152" s="6">
        <f t="shared" si="226"/>
        <v>2031973.6842105263</v>
      </c>
      <c r="J1152" s="6">
        <v>386075</v>
      </c>
      <c r="K1152" s="6">
        <v>0</v>
      </c>
      <c r="L1152" s="6">
        <v>0</v>
      </c>
      <c r="M1152" s="6">
        <f t="shared" si="232"/>
        <v>2031975</v>
      </c>
      <c r="N1152" s="6">
        <f>J1152+L1152</f>
        <v>386075</v>
      </c>
      <c r="O1152" s="6">
        <f t="shared" si="227"/>
        <v>2418050</v>
      </c>
      <c r="P1152" s="6">
        <v>2418050</v>
      </c>
      <c r="Q1152" s="6">
        <v>0</v>
      </c>
      <c r="R1152" s="6">
        <f t="shared" si="228"/>
        <v>0</v>
      </c>
      <c r="T1152"/>
      <c r="U1152" s="6"/>
    </row>
    <row r="1153" spans="2:22" s="5" customFormat="1" x14ac:dyDescent="0.3">
      <c r="B1153" s="5" t="s">
        <v>16</v>
      </c>
      <c r="C1153" s="5" t="s">
        <v>1886</v>
      </c>
      <c r="E1153" s="5" t="s">
        <v>1304</v>
      </c>
      <c r="F1153" s="5" t="s">
        <v>1883</v>
      </c>
      <c r="G1153" s="5" t="s">
        <v>1884</v>
      </c>
      <c r="H1153" s="6">
        <f>+P1153-I1153-J1153</f>
        <v>2.4210526309907436</v>
      </c>
      <c r="I1153" s="6">
        <f t="shared" si="226"/>
        <v>5995731.578947369</v>
      </c>
      <c r="J1153" s="6">
        <v>1139189</v>
      </c>
      <c r="K1153" s="6">
        <v>0</v>
      </c>
      <c r="L1153" s="6">
        <v>0</v>
      </c>
      <c r="M1153" s="6">
        <f t="shared" si="232"/>
        <v>5995734</v>
      </c>
      <c r="N1153" s="6">
        <f>+J1153+L1153</f>
        <v>1139189</v>
      </c>
      <c r="O1153" s="6">
        <f t="shared" si="227"/>
        <v>7134923</v>
      </c>
      <c r="P1153" s="6">
        <v>7134923</v>
      </c>
      <c r="Q1153" s="6">
        <v>0</v>
      </c>
      <c r="R1153" s="6">
        <f t="shared" si="228"/>
        <v>0</v>
      </c>
      <c r="T1153"/>
    </row>
    <row r="1154" spans="2:22" s="5" customFormat="1" x14ac:dyDescent="0.3">
      <c r="B1154" s="5" t="s">
        <v>16</v>
      </c>
      <c r="C1154" s="5" t="s">
        <v>1887</v>
      </c>
      <c r="E1154" s="5" t="s">
        <v>87</v>
      </c>
      <c r="F1154" s="5" t="s">
        <v>1883</v>
      </c>
      <c r="G1154" s="5" t="s">
        <v>1884</v>
      </c>
      <c r="H1154" s="6">
        <f>+P1154-I1154-J1154-K1154-L1154</f>
        <v>-2</v>
      </c>
      <c r="I1154" s="6">
        <f t="shared" si="226"/>
        <v>3562900</v>
      </c>
      <c r="J1154" s="6">
        <v>676951</v>
      </c>
      <c r="K1154" s="6">
        <v>0</v>
      </c>
      <c r="L1154" s="6">
        <v>0</v>
      </c>
      <c r="M1154" s="6">
        <f t="shared" si="232"/>
        <v>3562898</v>
      </c>
      <c r="N1154" s="6">
        <f>+J1154+L1154</f>
        <v>676951</v>
      </c>
      <c r="O1154" s="6">
        <f t="shared" si="227"/>
        <v>4239849</v>
      </c>
      <c r="P1154" s="6">
        <v>4239849</v>
      </c>
      <c r="Q1154" s="6">
        <v>0</v>
      </c>
      <c r="R1154" s="6">
        <f t="shared" si="228"/>
        <v>0</v>
      </c>
      <c r="T1154"/>
      <c r="V1154"/>
    </row>
    <row r="1155" spans="2:22" s="5" customFormat="1" x14ac:dyDescent="0.3">
      <c r="B1155" s="5" t="s">
        <v>16</v>
      </c>
      <c r="C1155" s="5" t="s">
        <v>1888</v>
      </c>
      <c r="D1155" s="5" t="s">
        <v>1889</v>
      </c>
      <c r="E1155" s="5" t="s">
        <v>1426</v>
      </c>
      <c r="F1155" s="5" t="s">
        <v>129</v>
      </c>
      <c r="G1155" s="5" t="s">
        <v>130</v>
      </c>
      <c r="H1155" s="6">
        <v>2.0526315791066736</v>
      </c>
      <c r="I1155" s="6">
        <f t="shared" si="226"/>
        <v>1601678.9473684209</v>
      </c>
      <c r="J1155" s="6">
        <v>304319</v>
      </c>
      <c r="K1155" s="6"/>
      <c r="L1155" s="6"/>
      <c r="M1155" s="6">
        <f>+H1155+I1155</f>
        <v>1601681</v>
      </c>
      <c r="N1155" s="6">
        <f>+J1155</f>
        <v>304319</v>
      </c>
      <c r="O1155" s="6">
        <f t="shared" si="227"/>
        <v>1906000</v>
      </c>
      <c r="P1155" s="6">
        <v>1906000</v>
      </c>
      <c r="Q1155" s="6">
        <f t="shared" ref="Q1155:Q1163" si="233">+M1155</f>
        <v>1601681</v>
      </c>
      <c r="R1155" s="6">
        <f t="shared" si="228"/>
        <v>40042.025000000001</v>
      </c>
      <c r="T1155"/>
    </row>
    <row r="1156" spans="2:22" s="5" customFormat="1" x14ac:dyDescent="0.3">
      <c r="B1156" s="5" t="s">
        <v>16</v>
      </c>
      <c r="C1156" s="5" t="s">
        <v>1890</v>
      </c>
      <c r="D1156" s="5" t="s">
        <v>1889</v>
      </c>
      <c r="E1156" s="5" t="s">
        <v>809</v>
      </c>
      <c r="F1156" s="5" t="s">
        <v>129</v>
      </c>
      <c r="G1156" s="5" t="s">
        <v>130</v>
      </c>
      <c r="H1156" s="6">
        <v>-1.2105263136327267</v>
      </c>
      <c r="I1156" s="6">
        <f t="shared" si="226"/>
        <v>20457984.210526314</v>
      </c>
      <c r="J1156" s="6">
        <v>3887017</v>
      </c>
      <c r="K1156" s="6"/>
      <c r="L1156" s="6"/>
      <c r="M1156" s="6">
        <f>+H1156+I1156</f>
        <v>20457983</v>
      </c>
      <c r="N1156" s="6">
        <f>+J1156</f>
        <v>3887017</v>
      </c>
      <c r="O1156" s="6">
        <f t="shared" si="227"/>
        <v>24345000</v>
      </c>
      <c r="P1156" s="6">
        <v>24345000</v>
      </c>
      <c r="Q1156" s="6">
        <f t="shared" si="233"/>
        <v>20457983</v>
      </c>
      <c r="R1156" s="6">
        <f t="shared" si="228"/>
        <v>511449.57500000001</v>
      </c>
      <c r="T1156"/>
    </row>
    <row r="1157" spans="2:22" s="5" customFormat="1" x14ac:dyDescent="0.3">
      <c r="B1157" s="7" t="s">
        <v>16</v>
      </c>
      <c r="C1157" s="7" t="s">
        <v>1891</v>
      </c>
      <c r="D1157" s="7" t="s">
        <v>1889</v>
      </c>
      <c r="E1157" s="7" t="s">
        <v>1278</v>
      </c>
      <c r="F1157" s="7" t="s">
        <v>129</v>
      </c>
      <c r="G1157" s="7" t="s">
        <v>130</v>
      </c>
      <c r="H1157" s="8">
        <f>+P1157-I1157-J1157</f>
        <v>4.4210526272654533</v>
      </c>
      <c r="I1157" s="8">
        <f t="shared" si="226"/>
        <v>38088231.578947373</v>
      </c>
      <c r="J1157" s="8">
        <v>7236764</v>
      </c>
      <c r="K1157" s="8">
        <v>0</v>
      </c>
      <c r="L1157" s="8">
        <v>0</v>
      </c>
      <c r="M1157" s="8">
        <f>+I1157+H1157</f>
        <v>38088236</v>
      </c>
      <c r="N1157" s="8">
        <f t="shared" ref="N1157:N1164" si="234">+J1157+L1157</f>
        <v>7236764</v>
      </c>
      <c r="O1157" s="8">
        <f t="shared" si="227"/>
        <v>45325000</v>
      </c>
      <c r="P1157" s="8">
        <v>45325000</v>
      </c>
      <c r="Q1157" s="8">
        <f t="shared" si="233"/>
        <v>38088236</v>
      </c>
      <c r="R1157" s="8">
        <f t="shared" si="228"/>
        <v>952205.9</v>
      </c>
      <c r="T1157"/>
    </row>
    <row r="1158" spans="2:22" s="5" customFormat="1" x14ac:dyDescent="0.3">
      <c r="B1158" s="5" t="s">
        <v>16</v>
      </c>
      <c r="C1158" s="5" t="s">
        <v>1892</v>
      </c>
      <c r="D1158" s="5" t="s">
        <v>1889</v>
      </c>
      <c r="E1158" s="5" t="s">
        <v>1340</v>
      </c>
      <c r="F1158" s="5" t="s">
        <v>129</v>
      </c>
      <c r="G1158" s="5" t="s">
        <v>130</v>
      </c>
      <c r="H1158" s="6">
        <f>+P1158-I1158-J1158</f>
        <v>-0.52631578966975212</v>
      </c>
      <c r="I1158" s="6">
        <f t="shared" si="226"/>
        <v>9025210.5263157897</v>
      </c>
      <c r="J1158" s="6">
        <v>1714790</v>
      </c>
      <c r="K1158" s="6">
        <v>0</v>
      </c>
      <c r="L1158" s="6">
        <v>0</v>
      </c>
      <c r="M1158" s="6">
        <f t="shared" ref="M1158:M1164" si="235">+H1158+I1158+K1158</f>
        <v>9025210</v>
      </c>
      <c r="N1158" s="6">
        <f t="shared" si="234"/>
        <v>1714790</v>
      </c>
      <c r="O1158" s="6">
        <f t="shared" si="227"/>
        <v>10740000</v>
      </c>
      <c r="P1158" s="6">
        <v>10740000</v>
      </c>
      <c r="Q1158" s="6">
        <f t="shared" si="233"/>
        <v>9025210</v>
      </c>
      <c r="R1158" s="6">
        <f t="shared" si="228"/>
        <v>225630.25</v>
      </c>
      <c r="T1158"/>
    </row>
    <row r="1159" spans="2:22" s="5" customFormat="1" x14ac:dyDescent="0.3">
      <c r="B1159" s="5" t="s">
        <v>16</v>
      </c>
      <c r="C1159" s="5" t="s">
        <v>1893</v>
      </c>
      <c r="D1159" s="5" t="s">
        <v>1889</v>
      </c>
      <c r="E1159" s="5" t="s">
        <v>1613</v>
      </c>
      <c r="F1159" s="5" t="s">
        <v>129</v>
      </c>
      <c r="G1159" s="5" t="s">
        <v>130</v>
      </c>
      <c r="H1159" s="6">
        <f>+P1159-I1159-J1159</f>
        <v>-1.6315789483487606</v>
      </c>
      <c r="I1159" s="6">
        <f t="shared" si="226"/>
        <v>31047552.631578948</v>
      </c>
      <c r="J1159" s="6">
        <v>5899035</v>
      </c>
      <c r="K1159" s="6">
        <v>0</v>
      </c>
      <c r="L1159" s="6">
        <v>0</v>
      </c>
      <c r="M1159" s="6">
        <f t="shared" si="235"/>
        <v>31047551</v>
      </c>
      <c r="N1159" s="6">
        <f t="shared" si="234"/>
        <v>5899035</v>
      </c>
      <c r="O1159" s="6">
        <f t="shared" si="227"/>
        <v>36946586</v>
      </c>
      <c r="P1159" s="6">
        <v>36946586</v>
      </c>
      <c r="Q1159" s="6">
        <f t="shared" si="233"/>
        <v>31047551</v>
      </c>
      <c r="R1159" s="6">
        <f t="shared" si="228"/>
        <v>776188.77500000002</v>
      </c>
      <c r="T1159"/>
    </row>
    <row r="1160" spans="2:22" s="5" customFormat="1" x14ac:dyDescent="0.3">
      <c r="B1160" s="5" t="s">
        <v>16</v>
      </c>
      <c r="C1160" s="5" t="s">
        <v>1894</v>
      </c>
      <c r="D1160" s="5" t="s">
        <v>1889</v>
      </c>
      <c r="E1160" s="5" t="s">
        <v>1122</v>
      </c>
      <c r="F1160" s="5" t="s">
        <v>129</v>
      </c>
      <c r="G1160" s="5" t="s">
        <v>130</v>
      </c>
      <c r="H1160" s="6">
        <v>0</v>
      </c>
      <c r="I1160" s="6">
        <f t="shared" si="226"/>
        <v>529326.31578947371</v>
      </c>
      <c r="J1160" s="6">
        <v>100572</v>
      </c>
      <c r="K1160" s="6">
        <v>0</v>
      </c>
      <c r="L1160" s="6">
        <v>0</v>
      </c>
      <c r="M1160" s="6">
        <f t="shared" si="235"/>
        <v>529326.31578947371</v>
      </c>
      <c r="N1160" s="6">
        <f t="shared" si="234"/>
        <v>100572</v>
      </c>
      <c r="O1160" s="6">
        <f t="shared" si="227"/>
        <v>629898.31578947371</v>
      </c>
      <c r="P1160" s="6">
        <v>629900</v>
      </c>
      <c r="Q1160" s="6">
        <f t="shared" si="233"/>
        <v>529326.31578947371</v>
      </c>
      <c r="R1160" s="6">
        <f t="shared" si="228"/>
        <v>13233.157894736843</v>
      </c>
      <c r="T1160"/>
      <c r="U1160" s="7"/>
      <c r="V1160" s="7"/>
    </row>
    <row r="1161" spans="2:22" s="5" customFormat="1" x14ac:dyDescent="0.3">
      <c r="B1161" s="5" t="s">
        <v>16</v>
      </c>
      <c r="C1161" s="5" t="s">
        <v>1895</v>
      </c>
      <c r="D1161" s="5" t="s">
        <v>1889</v>
      </c>
      <c r="E1161" s="5" t="s">
        <v>890</v>
      </c>
      <c r="F1161" s="5" t="s">
        <v>129</v>
      </c>
      <c r="G1161" s="5" t="s">
        <v>130</v>
      </c>
      <c r="H1161" s="6">
        <v>0</v>
      </c>
      <c r="I1161" s="6">
        <f t="shared" si="226"/>
        <v>3735294.7368421052</v>
      </c>
      <c r="J1161" s="6">
        <v>709706</v>
      </c>
      <c r="K1161" s="6">
        <v>0</v>
      </c>
      <c r="L1161" s="6">
        <v>0</v>
      </c>
      <c r="M1161" s="6">
        <f t="shared" si="235"/>
        <v>3735294.7368421052</v>
      </c>
      <c r="N1161" s="6">
        <f t="shared" si="234"/>
        <v>709706</v>
      </c>
      <c r="O1161" s="6">
        <f t="shared" si="227"/>
        <v>4445000.7368421052</v>
      </c>
      <c r="P1161" s="6">
        <v>4445000</v>
      </c>
      <c r="Q1161" s="6">
        <f t="shared" si="233"/>
        <v>3735294.7368421052</v>
      </c>
      <c r="R1161" s="6">
        <f t="shared" si="228"/>
        <v>93382.368421052626</v>
      </c>
      <c r="T1161"/>
      <c r="U1161" s="7"/>
      <c r="V1161" s="7"/>
    </row>
    <row r="1162" spans="2:22" s="5" customFormat="1" x14ac:dyDescent="0.3">
      <c r="B1162" s="5" t="s">
        <v>16</v>
      </c>
      <c r="C1162" s="5" t="s">
        <v>1896</v>
      </c>
      <c r="D1162" s="5" t="s">
        <v>1889</v>
      </c>
      <c r="E1162" s="5" t="s">
        <v>102</v>
      </c>
      <c r="F1162" s="5" t="s">
        <v>129</v>
      </c>
      <c r="G1162" s="5" t="s">
        <v>130</v>
      </c>
      <c r="H1162" s="6">
        <v>0</v>
      </c>
      <c r="I1162" s="6">
        <f t="shared" si="226"/>
        <v>11836131.578947367</v>
      </c>
      <c r="J1162" s="6">
        <v>2248865</v>
      </c>
      <c r="K1162" s="6">
        <v>0</v>
      </c>
      <c r="L1162" s="6">
        <v>0</v>
      </c>
      <c r="M1162" s="6">
        <f t="shared" si="235"/>
        <v>11836131.578947367</v>
      </c>
      <c r="N1162" s="6">
        <f t="shared" si="234"/>
        <v>2248865</v>
      </c>
      <c r="O1162" s="6">
        <f t="shared" si="227"/>
        <v>14084996.578947367</v>
      </c>
      <c r="P1162" s="6">
        <v>14085000</v>
      </c>
      <c r="Q1162" s="6">
        <f t="shared" si="233"/>
        <v>11836131.578947367</v>
      </c>
      <c r="R1162" s="6">
        <f t="shared" si="228"/>
        <v>295903.28947368416</v>
      </c>
      <c r="T1162"/>
      <c r="U1162" s="7"/>
      <c r="V1162" s="7"/>
    </row>
    <row r="1163" spans="2:22" s="5" customFormat="1" x14ac:dyDescent="0.3">
      <c r="B1163" s="5" t="s">
        <v>16</v>
      </c>
      <c r="C1163" s="5" t="s">
        <v>1897</v>
      </c>
      <c r="D1163" s="5" t="s">
        <v>1889</v>
      </c>
      <c r="E1163" s="5" t="s">
        <v>368</v>
      </c>
      <c r="F1163" s="5" t="s">
        <v>129</v>
      </c>
      <c r="G1163" s="5" t="s">
        <v>130</v>
      </c>
      <c r="H1163" s="6">
        <f>+P1163-I1163-J1163</f>
        <v>-6</v>
      </c>
      <c r="I1163" s="6">
        <f t="shared" si="226"/>
        <v>24710100</v>
      </c>
      <c r="J1163" s="6">
        <v>4694919</v>
      </c>
      <c r="K1163" s="6">
        <v>0</v>
      </c>
      <c r="L1163" s="6">
        <v>0</v>
      </c>
      <c r="M1163" s="6">
        <f t="shared" si="235"/>
        <v>24710094</v>
      </c>
      <c r="N1163" s="6">
        <f t="shared" si="234"/>
        <v>4694919</v>
      </c>
      <c r="O1163" s="6">
        <f t="shared" si="227"/>
        <v>29405013</v>
      </c>
      <c r="P1163" s="6">
        <v>29405013</v>
      </c>
      <c r="Q1163" s="6">
        <f t="shared" si="233"/>
        <v>24710094</v>
      </c>
      <c r="R1163" s="6">
        <f t="shared" si="228"/>
        <v>617752.35</v>
      </c>
      <c r="T1163"/>
      <c r="U1163" s="7"/>
      <c r="V1163" s="7"/>
    </row>
    <row r="1164" spans="2:22" s="5" customFormat="1" x14ac:dyDescent="0.3">
      <c r="B1164" s="5" t="s">
        <v>16</v>
      </c>
      <c r="C1164" s="5" t="s">
        <v>1898</v>
      </c>
      <c r="D1164" s="5" t="s">
        <v>1899</v>
      </c>
      <c r="E1164" s="5" t="s">
        <v>914</v>
      </c>
      <c r="F1164" s="5" t="s">
        <v>1900</v>
      </c>
      <c r="G1164" s="5" t="s">
        <v>1901</v>
      </c>
      <c r="H1164" s="6">
        <v>-1.2105263136327267</v>
      </c>
      <c r="I1164" s="6">
        <f t="shared" si="226"/>
        <v>25008184.210526314</v>
      </c>
      <c r="J1164" s="6">
        <v>4751555</v>
      </c>
      <c r="K1164" s="6">
        <v>0</v>
      </c>
      <c r="L1164" s="6">
        <v>0</v>
      </c>
      <c r="M1164" s="6">
        <f t="shared" si="235"/>
        <v>25008183</v>
      </c>
      <c r="N1164" s="6">
        <f t="shared" si="234"/>
        <v>4751555</v>
      </c>
      <c r="O1164" s="6">
        <f t="shared" si="227"/>
        <v>29759738</v>
      </c>
      <c r="P1164" s="6">
        <v>29759738</v>
      </c>
      <c r="Q1164" s="6">
        <v>0</v>
      </c>
      <c r="R1164" s="6">
        <f t="shared" si="228"/>
        <v>0</v>
      </c>
      <c r="T1164"/>
    </row>
    <row r="1165" spans="2:22" s="5" customFormat="1" x14ac:dyDescent="0.3">
      <c r="B1165" s="5" t="s">
        <v>16</v>
      </c>
      <c r="C1165" s="5" t="s">
        <v>1902</v>
      </c>
      <c r="D1165" s="5" t="s">
        <v>1899</v>
      </c>
      <c r="E1165" s="5" t="s">
        <v>1550</v>
      </c>
      <c r="F1165" s="5" t="s">
        <v>1900</v>
      </c>
      <c r="G1165" s="5" t="s">
        <v>1901</v>
      </c>
      <c r="H1165" s="6">
        <v>0.78947368450462818</v>
      </c>
      <c r="I1165" s="6">
        <f t="shared" si="226"/>
        <v>2602784.2105263155</v>
      </c>
      <c r="J1165" s="6">
        <v>494529</v>
      </c>
      <c r="K1165" s="6"/>
      <c r="L1165" s="6"/>
      <c r="M1165" s="6">
        <f>+H1165+I1165</f>
        <v>2602785</v>
      </c>
      <c r="N1165" s="6">
        <f>+J1165</f>
        <v>494529</v>
      </c>
      <c r="O1165" s="6">
        <f t="shared" si="227"/>
        <v>3097314</v>
      </c>
      <c r="P1165" s="6">
        <v>3097314</v>
      </c>
      <c r="Q1165" s="6"/>
      <c r="R1165" s="6">
        <f t="shared" si="228"/>
        <v>0</v>
      </c>
      <c r="T1165"/>
    </row>
    <row r="1166" spans="2:22" s="5" customFormat="1" x14ac:dyDescent="0.3">
      <c r="B1166" s="7" t="s">
        <v>16</v>
      </c>
      <c r="C1166" s="7" t="s">
        <v>1903</v>
      </c>
      <c r="D1166" s="7" t="s">
        <v>1899</v>
      </c>
      <c r="E1166" s="7" t="s">
        <v>700</v>
      </c>
      <c r="F1166" s="7" t="s">
        <v>1900</v>
      </c>
      <c r="G1166" s="7" t="s">
        <v>1901</v>
      </c>
      <c r="H1166" s="8">
        <f t="shared" ref="H1166:H1173" si="236">+P1166-I1166-J1166</f>
        <v>-1</v>
      </c>
      <c r="I1166" s="8">
        <f t="shared" si="226"/>
        <v>25183000</v>
      </c>
      <c r="J1166" s="8">
        <v>4784770</v>
      </c>
      <c r="K1166" s="8">
        <v>0</v>
      </c>
      <c r="L1166" s="8">
        <v>0</v>
      </c>
      <c r="M1166" s="8">
        <f>+I1166+H1166</f>
        <v>25182999</v>
      </c>
      <c r="N1166" s="8">
        <f t="shared" ref="N1166:N1183" si="237">+J1166+L1166</f>
        <v>4784770</v>
      </c>
      <c r="O1166" s="8">
        <f t="shared" si="227"/>
        <v>29967769</v>
      </c>
      <c r="P1166" s="8">
        <v>29967769</v>
      </c>
      <c r="Q1166" s="8">
        <v>0</v>
      </c>
      <c r="R1166" s="8">
        <f t="shared" si="228"/>
        <v>0</v>
      </c>
      <c r="T1166"/>
    </row>
    <row r="1167" spans="2:22" s="5" customFormat="1" x14ac:dyDescent="0.3">
      <c r="B1167" s="5" t="s">
        <v>16</v>
      </c>
      <c r="C1167" s="5" t="s">
        <v>1904</v>
      </c>
      <c r="D1167" s="5" t="s">
        <v>1899</v>
      </c>
      <c r="E1167" s="5" t="s">
        <v>738</v>
      </c>
      <c r="F1167" s="5" t="s">
        <v>1900</v>
      </c>
      <c r="G1167" s="5" t="s">
        <v>1901</v>
      </c>
      <c r="H1167" s="6">
        <f t="shared" si="236"/>
        <v>-0.57894736854359508</v>
      </c>
      <c r="I1167" s="6">
        <f t="shared" si="226"/>
        <v>3741531.5789473685</v>
      </c>
      <c r="J1167" s="6">
        <v>710891</v>
      </c>
      <c r="K1167" s="6">
        <v>0</v>
      </c>
      <c r="L1167" s="6">
        <v>0</v>
      </c>
      <c r="M1167" s="6">
        <f t="shared" ref="M1167:M1177" si="238">+H1167+I1167+K1167</f>
        <v>3741531</v>
      </c>
      <c r="N1167" s="6">
        <f t="shared" si="237"/>
        <v>710891</v>
      </c>
      <c r="O1167" s="6">
        <f t="shared" si="227"/>
        <v>4452422</v>
      </c>
      <c r="P1167" s="6">
        <v>4452422</v>
      </c>
      <c r="Q1167" s="6"/>
      <c r="R1167" s="6">
        <f t="shared" si="228"/>
        <v>0</v>
      </c>
      <c r="T1167"/>
    </row>
    <row r="1168" spans="2:22" s="5" customFormat="1" x14ac:dyDescent="0.3">
      <c r="B1168" s="5" t="s">
        <v>16</v>
      </c>
      <c r="C1168" s="5" t="s">
        <v>1905</v>
      </c>
      <c r="D1168" s="5" t="s">
        <v>1899</v>
      </c>
      <c r="E1168" s="5" t="s">
        <v>992</v>
      </c>
      <c r="F1168" s="5" t="s">
        <v>1900</v>
      </c>
      <c r="G1168" s="5" t="s">
        <v>1901</v>
      </c>
      <c r="H1168" s="6">
        <f t="shared" si="236"/>
        <v>-1.4210526315728202</v>
      </c>
      <c r="I1168" s="6">
        <f t="shared" si="226"/>
        <v>802968.42105263157</v>
      </c>
      <c r="J1168" s="6">
        <v>152564</v>
      </c>
      <c r="K1168" s="6">
        <v>0</v>
      </c>
      <c r="L1168" s="6">
        <v>0</v>
      </c>
      <c r="M1168" s="6">
        <f t="shared" si="238"/>
        <v>802967</v>
      </c>
      <c r="N1168" s="6">
        <f t="shared" si="237"/>
        <v>152564</v>
      </c>
      <c r="O1168" s="6">
        <f t="shared" si="227"/>
        <v>955531</v>
      </c>
      <c r="P1168" s="6">
        <v>955531</v>
      </c>
      <c r="Q1168" s="6">
        <v>0</v>
      </c>
      <c r="R1168" s="6">
        <f t="shared" si="228"/>
        <v>0</v>
      </c>
      <c r="T1168"/>
    </row>
    <row r="1169" spans="2:22" s="5" customFormat="1" x14ac:dyDescent="0.3">
      <c r="B1169" s="5" t="s">
        <v>16</v>
      </c>
      <c r="C1169" s="5" t="s">
        <v>1906</v>
      </c>
      <c r="D1169" s="5" t="s">
        <v>1899</v>
      </c>
      <c r="E1169" s="5" t="s">
        <v>298</v>
      </c>
      <c r="F1169" s="5" t="s">
        <v>1900</v>
      </c>
      <c r="G1169" s="5" t="s">
        <v>1901</v>
      </c>
      <c r="H1169" s="6">
        <f t="shared" si="236"/>
        <v>-1.7894736842717975</v>
      </c>
      <c r="I1169" s="6">
        <f t="shared" si="226"/>
        <v>1578215.7894736843</v>
      </c>
      <c r="J1169" s="6">
        <v>299861</v>
      </c>
      <c r="K1169" s="6">
        <v>0</v>
      </c>
      <c r="L1169" s="6">
        <v>0</v>
      </c>
      <c r="M1169" s="6">
        <f t="shared" si="238"/>
        <v>1578214</v>
      </c>
      <c r="N1169" s="6">
        <f t="shared" si="237"/>
        <v>299861</v>
      </c>
      <c r="O1169" s="6">
        <f t="shared" si="227"/>
        <v>1878075</v>
      </c>
      <c r="P1169" s="6">
        <v>1878075</v>
      </c>
      <c r="Q1169" s="6">
        <v>0</v>
      </c>
      <c r="R1169" s="6">
        <f t="shared" si="228"/>
        <v>0</v>
      </c>
      <c r="T1169"/>
    </row>
    <row r="1170" spans="2:22" s="5" customFormat="1" x14ac:dyDescent="0.3">
      <c r="B1170" s="5" t="s">
        <v>16</v>
      </c>
      <c r="C1170" s="5" t="s">
        <v>1907</v>
      </c>
      <c r="D1170" s="5" t="s">
        <v>1899</v>
      </c>
      <c r="E1170" s="5" t="s">
        <v>117</v>
      </c>
      <c r="F1170" s="5" t="s">
        <v>1900</v>
      </c>
      <c r="G1170" s="5" t="s">
        <v>1901</v>
      </c>
      <c r="H1170" s="6">
        <f t="shared" si="236"/>
        <v>1.1052631577476859</v>
      </c>
      <c r="I1170" s="6">
        <f t="shared" si="226"/>
        <v>4527557.8947368423</v>
      </c>
      <c r="J1170" s="6">
        <v>860236</v>
      </c>
      <c r="K1170" s="6">
        <v>0</v>
      </c>
      <c r="L1170" s="6">
        <v>0</v>
      </c>
      <c r="M1170" s="6">
        <f t="shared" si="238"/>
        <v>4527559</v>
      </c>
      <c r="N1170" s="6">
        <f t="shared" si="237"/>
        <v>860236</v>
      </c>
      <c r="O1170" s="6">
        <f t="shared" si="227"/>
        <v>5387795</v>
      </c>
      <c r="P1170" s="6">
        <v>5387795</v>
      </c>
      <c r="Q1170" s="6">
        <v>0</v>
      </c>
      <c r="R1170" s="6">
        <f t="shared" si="228"/>
        <v>0</v>
      </c>
      <c r="T1170"/>
    </row>
    <row r="1171" spans="2:22" s="5" customFormat="1" x14ac:dyDescent="0.3">
      <c r="B1171" s="5" t="s">
        <v>16</v>
      </c>
      <c r="C1171" s="5" t="s">
        <v>1908</v>
      </c>
      <c r="D1171" s="5" t="s">
        <v>1899</v>
      </c>
      <c r="E1171" s="5" t="s">
        <v>98</v>
      </c>
      <c r="F1171" s="5" t="s">
        <v>1900</v>
      </c>
      <c r="G1171" s="5" t="s">
        <v>1901</v>
      </c>
      <c r="H1171" s="6">
        <f t="shared" si="236"/>
        <v>0.36842105351388454</v>
      </c>
      <c r="I1171" s="6">
        <f t="shared" si="226"/>
        <v>16272452.631578946</v>
      </c>
      <c r="J1171" s="6">
        <v>3091766</v>
      </c>
      <c r="K1171" s="6">
        <v>0</v>
      </c>
      <c r="L1171" s="6">
        <v>0</v>
      </c>
      <c r="M1171" s="6">
        <f t="shared" si="238"/>
        <v>16272453</v>
      </c>
      <c r="N1171" s="6">
        <f t="shared" si="237"/>
        <v>3091766</v>
      </c>
      <c r="O1171" s="6">
        <f t="shared" si="227"/>
        <v>19364219</v>
      </c>
      <c r="P1171" s="6">
        <v>19364219</v>
      </c>
      <c r="Q1171" s="6">
        <v>0</v>
      </c>
      <c r="R1171" s="6">
        <f t="shared" si="228"/>
        <v>0</v>
      </c>
      <c r="T1171"/>
    </row>
    <row r="1172" spans="2:22" s="5" customFormat="1" x14ac:dyDescent="0.3">
      <c r="B1172" s="5" t="s">
        <v>16</v>
      </c>
      <c r="C1172" s="5" t="s">
        <v>1909</v>
      </c>
      <c r="D1172" s="5" t="s">
        <v>1899</v>
      </c>
      <c r="E1172" s="5" t="s">
        <v>1199</v>
      </c>
      <c r="F1172" s="5" t="s">
        <v>1900</v>
      </c>
      <c r="G1172" s="5" t="s">
        <v>1901</v>
      </c>
      <c r="H1172" s="6">
        <f t="shared" si="236"/>
        <v>5.2631579106673598E-2</v>
      </c>
      <c r="I1172" s="6">
        <f t="shared" si="226"/>
        <v>1419778.9473684209</v>
      </c>
      <c r="J1172" s="6">
        <v>269758</v>
      </c>
      <c r="K1172" s="6">
        <v>0</v>
      </c>
      <c r="L1172" s="6">
        <v>0</v>
      </c>
      <c r="M1172" s="6">
        <f t="shared" si="238"/>
        <v>1419779</v>
      </c>
      <c r="N1172" s="6">
        <f t="shared" si="237"/>
        <v>269758</v>
      </c>
      <c r="O1172" s="6">
        <f t="shared" si="227"/>
        <v>1689537</v>
      </c>
      <c r="P1172" s="6">
        <v>1689537</v>
      </c>
      <c r="Q1172" s="6">
        <v>0</v>
      </c>
      <c r="R1172" s="6">
        <f t="shared" si="228"/>
        <v>0</v>
      </c>
      <c r="T1172"/>
    </row>
    <row r="1173" spans="2:22" s="5" customFormat="1" x14ac:dyDescent="0.3">
      <c r="B1173" s="5" t="s">
        <v>16</v>
      </c>
      <c r="C1173" s="5" t="s">
        <v>1910</v>
      </c>
      <c r="D1173" s="5" t="s">
        <v>1899</v>
      </c>
      <c r="E1173" s="5" t="s">
        <v>904</v>
      </c>
      <c r="F1173" s="5" t="s">
        <v>1900</v>
      </c>
      <c r="G1173" s="5" t="s">
        <v>1901</v>
      </c>
      <c r="H1173" s="6">
        <f t="shared" si="236"/>
        <v>0.63157894741743803</v>
      </c>
      <c r="I1173" s="6">
        <f t="shared" si="226"/>
        <v>4765747.3684210526</v>
      </c>
      <c r="J1173" s="6">
        <v>905492</v>
      </c>
      <c r="K1173" s="6">
        <v>0</v>
      </c>
      <c r="L1173" s="6">
        <v>0</v>
      </c>
      <c r="M1173" s="6">
        <f t="shared" si="238"/>
        <v>4765748</v>
      </c>
      <c r="N1173" s="6">
        <f t="shared" si="237"/>
        <v>905492</v>
      </c>
      <c r="O1173" s="6">
        <f t="shared" si="227"/>
        <v>5671240</v>
      </c>
      <c r="P1173" s="6">
        <v>5671240</v>
      </c>
      <c r="Q1173" s="6">
        <v>0</v>
      </c>
      <c r="R1173" s="6">
        <f t="shared" si="228"/>
        <v>0</v>
      </c>
      <c r="T1173"/>
    </row>
    <row r="1174" spans="2:22" s="5" customFormat="1" x14ac:dyDescent="0.3">
      <c r="B1174" s="5" t="s">
        <v>16</v>
      </c>
      <c r="C1174" s="5" t="s">
        <v>1911</v>
      </c>
      <c r="D1174" s="5" t="s">
        <v>1899</v>
      </c>
      <c r="E1174" s="5" t="s">
        <v>1324</v>
      </c>
      <c r="F1174" s="5" t="s">
        <v>1900</v>
      </c>
      <c r="G1174" s="5" t="s">
        <v>1901</v>
      </c>
      <c r="H1174" s="6">
        <v>0</v>
      </c>
      <c r="I1174" s="6">
        <f t="shared" si="226"/>
        <v>882121.05263157899</v>
      </c>
      <c r="J1174" s="6">
        <v>167603</v>
      </c>
      <c r="K1174" s="6">
        <v>0</v>
      </c>
      <c r="L1174" s="6">
        <v>0</v>
      </c>
      <c r="M1174" s="6">
        <f t="shared" si="238"/>
        <v>882121.05263157899</v>
      </c>
      <c r="N1174" s="6">
        <f t="shared" si="237"/>
        <v>167603</v>
      </c>
      <c r="O1174" s="6">
        <f t="shared" si="227"/>
        <v>1049724.0526315789</v>
      </c>
      <c r="P1174" s="6">
        <v>1049726</v>
      </c>
      <c r="Q1174" s="6">
        <v>0</v>
      </c>
      <c r="R1174" s="6">
        <f t="shared" si="228"/>
        <v>0</v>
      </c>
      <c r="T1174"/>
    </row>
    <row r="1175" spans="2:22" s="5" customFormat="1" x14ac:dyDescent="0.3">
      <c r="B1175" s="5" t="s">
        <v>16</v>
      </c>
      <c r="C1175" s="5" t="s">
        <v>1912</v>
      </c>
      <c r="D1175" s="5" t="s">
        <v>1899</v>
      </c>
      <c r="E1175" s="5" t="s">
        <v>102</v>
      </c>
      <c r="F1175" s="5" t="s">
        <v>1900</v>
      </c>
      <c r="G1175" s="5" t="s">
        <v>1901</v>
      </c>
      <c r="H1175" s="6">
        <v>0</v>
      </c>
      <c r="I1175" s="6">
        <f t="shared" si="226"/>
        <v>45542.105263157893</v>
      </c>
      <c r="J1175" s="6">
        <v>8653</v>
      </c>
      <c r="K1175" s="6">
        <v>0</v>
      </c>
      <c r="L1175" s="6">
        <v>0</v>
      </c>
      <c r="M1175" s="6">
        <f t="shared" si="238"/>
        <v>45542.105263157893</v>
      </c>
      <c r="N1175" s="6">
        <f t="shared" si="237"/>
        <v>8653</v>
      </c>
      <c r="O1175" s="6">
        <f t="shared" si="227"/>
        <v>54195.105263157893</v>
      </c>
      <c r="P1175" s="6">
        <v>54194</v>
      </c>
      <c r="Q1175" s="6">
        <v>0</v>
      </c>
      <c r="R1175" s="6">
        <f t="shared" si="228"/>
        <v>0</v>
      </c>
      <c r="T1175"/>
    </row>
    <row r="1176" spans="2:22" s="5" customFormat="1" x14ac:dyDescent="0.3">
      <c r="B1176" s="5" t="s">
        <v>16</v>
      </c>
      <c r="C1176" s="5" t="s">
        <v>1913</v>
      </c>
      <c r="D1176" s="5" t="s">
        <v>1899</v>
      </c>
      <c r="E1176" s="5" t="s">
        <v>48</v>
      </c>
      <c r="F1176" s="5" t="s">
        <v>1900</v>
      </c>
      <c r="G1176" s="5" t="s">
        <v>1901</v>
      </c>
      <c r="H1176" s="6">
        <f>+P1176-I1176-J1176</f>
        <v>0.26315789297223091</v>
      </c>
      <c r="I1176" s="6">
        <f t="shared" si="226"/>
        <v>29411994.736842107</v>
      </c>
      <c r="J1176" s="6">
        <v>5588279</v>
      </c>
      <c r="K1176" s="6">
        <v>0</v>
      </c>
      <c r="L1176" s="6">
        <v>0</v>
      </c>
      <c r="M1176" s="6">
        <f t="shared" si="238"/>
        <v>29411995</v>
      </c>
      <c r="N1176" s="6">
        <f t="shared" si="237"/>
        <v>5588279</v>
      </c>
      <c r="O1176" s="6">
        <f t="shared" si="227"/>
        <v>35000274</v>
      </c>
      <c r="P1176" s="6">
        <v>35000274</v>
      </c>
      <c r="Q1176" s="6">
        <v>0</v>
      </c>
      <c r="R1176" s="6">
        <f t="shared" si="228"/>
        <v>0</v>
      </c>
      <c r="T1176"/>
    </row>
    <row r="1177" spans="2:22" s="5" customFormat="1" x14ac:dyDescent="0.3">
      <c r="B1177" s="5" t="s">
        <v>16</v>
      </c>
      <c r="C1177" s="5" t="s">
        <v>1914</v>
      </c>
      <c r="D1177" s="5" t="s">
        <v>1915</v>
      </c>
      <c r="E1177" s="5" t="s">
        <v>1094</v>
      </c>
      <c r="F1177" s="5" t="s">
        <v>453</v>
      </c>
      <c r="G1177" s="5" t="s">
        <v>454</v>
      </c>
      <c r="H1177" s="6">
        <v>-0.16000000014901161</v>
      </c>
      <c r="I1177" s="6">
        <f t="shared" si="226"/>
        <v>10759664</v>
      </c>
      <c r="J1177" s="6">
        <v>2044336.16</v>
      </c>
      <c r="K1177" s="6">
        <v>0</v>
      </c>
      <c r="L1177" s="6">
        <v>0</v>
      </c>
      <c r="M1177" s="6">
        <f t="shared" si="238"/>
        <v>10759663.84</v>
      </c>
      <c r="N1177" s="6">
        <f t="shared" si="237"/>
        <v>2044336.16</v>
      </c>
      <c r="O1177" s="6">
        <f t="shared" si="227"/>
        <v>12804000</v>
      </c>
      <c r="P1177" s="6">
        <v>12804000</v>
      </c>
      <c r="Q1177" s="6">
        <f>+M1177</f>
        <v>10759663.84</v>
      </c>
      <c r="R1177" s="6">
        <f t="shared" si="228"/>
        <v>268991.59600000002</v>
      </c>
      <c r="T1177"/>
    </row>
    <row r="1178" spans="2:22" s="5" customFormat="1" x14ac:dyDescent="0.3">
      <c r="B1178" s="7" t="s">
        <v>16</v>
      </c>
      <c r="C1178" s="7" t="s">
        <v>1916</v>
      </c>
      <c r="D1178" s="7" t="s">
        <v>1915</v>
      </c>
      <c r="E1178" s="7" t="s">
        <v>640</v>
      </c>
      <c r="F1178" s="7" t="s">
        <v>453</v>
      </c>
      <c r="G1178" s="7" t="s">
        <v>454</v>
      </c>
      <c r="H1178" s="8">
        <f>+P1178-I1178-J1178</f>
        <v>-2.2631581407040358E-2</v>
      </c>
      <c r="I1178" s="8">
        <f t="shared" si="226"/>
        <v>12410084.052631581</v>
      </c>
      <c r="J1178" s="8">
        <v>2357915.9700000002</v>
      </c>
      <c r="K1178" s="8">
        <v>0</v>
      </c>
      <c r="L1178" s="8">
        <v>0</v>
      </c>
      <c r="M1178" s="8">
        <f>+I1178+H1178</f>
        <v>12410084.029999999</v>
      </c>
      <c r="N1178" s="8">
        <f t="shared" si="237"/>
        <v>2357915.9700000002</v>
      </c>
      <c r="O1178" s="8">
        <f t="shared" si="227"/>
        <v>14768000</v>
      </c>
      <c r="P1178" s="8">
        <v>14768000</v>
      </c>
      <c r="Q1178" s="8">
        <f>+M1178</f>
        <v>12410084.029999999</v>
      </c>
      <c r="R1178" s="8">
        <f t="shared" si="228"/>
        <v>310252.10074999998</v>
      </c>
      <c r="T1178"/>
    </row>
    <row r="1179" spans="2:22" s="5" customFormat="1" x14ac:dyDescent="0.3">
      <c r="B1179" s="5" t="s">
        <v>16</v>
      </c>
      <c r="C1179" s="5" t="s">
        <v>1917</v>
      </c>
      <c r="D1179" s="5" t="s">
        <v>1915</v>
      </c>
      <c r="E1179" s="5" t="s">
        <v>751</v>
      </c>
      <c r="F1179" s="5" t="s">
        <v>453</v>
      </c>
      <c r="G1179" s="5" t="s">
        <v>454</v>
      </c>
      <c r="H1179" s="6">
        <f>+P1179-I1179-J1179</f>
        <v>8.1052634865045547E-2</v>
      </c>
      <c r="I1179" s="6">
        <f t="shared" si="226"/>
        <v>21894117.578947365</v>
      </c>
      <c r="J1179" s="6">
        <v>4159882.34</v>
      </c>
      <c r="K1179" s="6">
        <v>0</v>
      </c>
      <c r="L1179" s="6">
        <v>0</v>
      </c>
      <c r="M1179" s="6">
        <f>+H1179+I1179+K1179</f>
        <v>21894117.66</v>
      </c>
      <c r="N1179" s="6">
        <f t="shared" si="237"/>
        <v>4159882.34</v>
      </c>
      <c r="O1179" s="6">
        <f t="shared" si="227"/>
        <v>26054000</v>
      </c>
      <c r="P1179" s="6">
        <v>26054000</v>
      </c>
      <c r="Q1179" s="6">
        <f>+M1179</f>
        <v>21894117.66</v>
      </c>
      <c r="R1179" s="6">
        <f t="shared" si="228"/>
        <v>547352.94149999996</v>
      </c>
      <c r="T1179"/>
    </row>
    <row r="1180" spans="2:22" s="5" customFormat="1" x14ac:dyDescent="0.3">
      <c r="B1180" s="5" t="s">
        <v>16</v>
      </c>
      <c r="C1180" s="5" t="s">
        <v>1918</v>
      </c>
      <c r="D1180" s="5" t="s">
        <v>1915</v>
      </c>
      <c r="E1180" s="5" t="s">
        <v>249</v>
      </c>
      <c r="F1180" s="5" t="s">
        <v>453</v>
      </c>
      <c r="G1180" s="5" t="s">
        <v>454</v>
      </c>
      <c r="H1180" s="6">
        <f>+P1180-I1180-J1180</f>
        <v>8.5263158660382032E-2</v>
      </c>
      <c r="I1180" s="6">
        <f t="shared" si="226"/>
        <v>20789915.894736841</v>
      </c>
      <c r="J1180" s="6">
        <v>3950084.02</v>
      </c>
      <c r="K1180" s="6">
        <v>0</v>
      </c>
      <c r="L1180" s="6">
        <v>0</v>
      </c>
      <c r="M1180" s="6">
        <f>+H1180+I1180+K1180</f>
        <v>20789915.98</v>
      </c>
      <c r="N1180" s="6">
        <f t="shared" si="237"/>
        <v>3950084.02</v>
      </c>
      <c r="O1180" s="6">
        <f t="shared" si="227"/>
        <v>24740000</v>
      </c>
      <c r="P1180" s="6">
        <v>24740000</v>
      </c>
      <c r="Q1180" s="6">
        <f>+M1180</f>
        <v>20789915.98</v>
      </c>
      <c r="R1180" s="6">
        <f t="shared" si="228"/>
        <v>519747.89950000006</v>
      </c>
      <c r="T1180"/>
    </row>
    <row r="1181" spans="2:22" s="5" customFormat="1" x14ac:dyDescent="0.3">
      <c r="B1181" s="5" t="s">
        <v>16</v>
      </c>
      <c r="C1181" s="5" t="s">
        <v>1919</v>
      </c>
      <c r="D1181" s="5" t="s">
        <v>1920</v>
      </c>
      <c r="E1181" s="5" t="s">
        <v>230</v>
      </c>
      <c r="F1181" s="5" t="s">
        <v>1921</v>
      </c>
      <c r="G1181" s="5" t="s">
        <v>1922</v>
      </c>
      <c r="H1181" s="6">
        <v>0</v>
      </c>
      <c r="I1181" s="6">
        <f t="shared" si="226"/>
        <v>49932</v>
      </c>
      <c r="J1181" s="6">
        <v>9487.08</v>
      </c>
      <c r="K1181" s="6">
        <v>0</v>
      </c>
      <c r="L1181" s="6">
        <v>0</v>
      </c>
      <c r="M1181" s="6">
        <f>+H1181+I1181+K1181</f>
        <v>49932</v>
      </c>
      <c r="N1181" s="6">
        <f t="shared" si="237"/>
        <v>9487.08</v>
      </c>
      <c r="O1181" s="6">
        <f t="shared" si="227"/>
        <v>59419.08</v>
      </c>
      <c r="P1181" s="6">
        <v>59419.08</v>
      </c>
      <c r="Q1181" s="6">
        <f>+P1181-O1181</f>
        <v>0</v>
      </c>
      <c r="R1181" s="6">
        <f t="shared" si="228"/>
        <v>0</v>
      </c>
      <c r="T1181"/>
    </row>
    <row r="1182" spans="2:22" s="5" customFormat="1" x14ac:dyDescent="0.3">
      <c r="B1182" s="5" t="s">
        <v>16</v>
      </c>
      <c r="C1182" s="5" t="s">
        <v>1923</v>
      </c>
      <c r="D1182" s="5" t="s">
        <v>1920</v>
      </c>
      <c r="E1182" s="5" t="s">
        <v>1659</v>
      </c>
      <c r="F1182" s="5" t="s">
        <v>1921</v>
      </c>
      <c r="G1182" s="5" t="s">
        <v>1922</v>
      </c>
      <c r="H1182" s="6">
        <v>0</v>
      </c>
      <c r="I1182" s="6">
        <f t="shared" ref="I1182:I1245" si="239">+J1182/19*100</f>
        <v>170556</v>
      </c>
      <c r="J1182" s="6">
        <v>32405.64</v>
      </c>
      <c r="K1182" s="6">
        <v>0</v>
      </c>
      <c r="L1182" s="6">
        <v>0</v>
      </c>
      <c r="M1182" s="6">
        <f>+H1182+I1182+K1182</f>
        <v>170556</v>
      </c>
      <c r="N1182" s="6">
        <f t="shared" si="237"/>
        <v>32405.64</v>
      </c>
      <c r="O1182" s="6">
        <f t="shared" ref="O1182:O1245" si="240">+M1182+N1182</f>
        <v>202961.64</v>
      </c>
      <c r="P1182" s="6">
        <v>202961.64</v>
      </c>
      <c r="Q1182" s="6">
        <v>0</v>
      </c>
      <c r="R1182" s="6">
        <f t="shared" si="228"/>
        <v>0</v>
      </c>
      <c r="T1182"/>
      <c r="U1182"/>
      <c r="V1182"/>
    </row>
    <row r="1183" spans="2:22" s="5" customFormat="1" x14ac:dyDescent="0.3">
      <c r="B1183" s="5" t="s">
        <v>16</v>
      </c>
      <c r="C1183" s="5" t="s">
        <v>1924</v>
      </c>
      <c r="D1183" s="5" t="s">
        <v>1920</v>
      </c>
      <c r="E1183" s="5" t="s">
        <v>801</v>
      </c>
      <c r="F1183" s="5" t="s">
        <v>1921</v>
      </c>
      <c r="G1183" s="5" t="s">
        <v>1922</v>
      </c>
      <c r="H1183" s="6">
        <v>0</v>
      </c>
      <c r="I1183" s="6">
        <f t="shared" si="239"/>
        <v>103476</v>
      </c>
      <c r="J1183" s="6">
        <v>19660.439999999999</v>
      </c>
      <c r="K1183" s="6">
        <v>0</v>
      </c>
      <c r="L1183" s="6">
        <v>0</v>
      </c>
      <c r="M1183" s="6">
        <f>+H1183+I1183+K1183</f>
        <v>103476</v>
      </c>
      <c r="N1183" s="6">
        <f t="shared" si="237"/>
        <v>19660.439999999999</v>
      </c>
      <c r="O1183" s="6">
        <f t="shared" si="240"/>
        <v>123136.44</v>
      </c>
      <c r="P1183" s="6">
        <v>123136.44</v>
      </c>
      <c r="Q1183" s="6">
        <v>0</v>
      </c>
      <c r="R1183" s="6">
        <f t="shared" si="228"/>
        <v>0</v>
      </c>
      <c r="T1183"/>
    </row>
    <row r="1184" spans="2:22" s="5" customFormat="1" x14ac:dyDescent="0.3">
      <c r="B1184" s="5" t="s">
        <v>16</v>
      </c>
      <c r="C1184" s="5" t="s">
        <v>1925</v>
      </c>
      <c r="D1184" s="5" t="s">
        <v>1920</v>
      </c>
      <c r="E1184" s="5" t="s">
        <v>807</v>
      </c>
      <c r="F1184" s="5" t="s">
        <v>1921</v>
      </c>
      <c r="G1184" s="5" t="s">
        <v>1922</v>
      </c>
      <c r="H1184" s="6">
        <v>0</v>
      </c>
      <c r="I1184" s="6">
        <f t="shared" si="239"/>
        <v>66768</v>
      </c>
      <c r="J1184" s="6">
        <v>12685.92</v>
      </c>
      <c r="K1184" s="6"/>
      <c r="L1184" s="6"/>
      <c r="M1184" s="6">
        <f>+H1184+I1184</f>
        <v>66768</v>
      </c>
      <c r="N1184" s="6">
        <f>+J1184</f>
        <v>12685.92</v>
      </c>
      <c r="O1184" s="6">
        <f t="shared" si="240"/>
        <v>79453.919999999998</v>
      </c>
      <c r="P1184" s="6">
        <v>79453.919999999998</v>
      </c>
      <c r="Q1184" s="6"/>
      <c r="R1184" s="6">
        <f t="shared" si="228"/>
        <v>0</v>
      </c>
      <c r="T1184"/>
    </row>
    <row r="1185" spans="2:22" s="5" customFormat="1" x14ac:dyDescent="0.3">
      <c r="B1185" s="5" t="s">
        <v>16</v>
      </c>
      <c r="C1185" s="5" t="s">
        <v>1926</v>
      </c>
      <c r="D1185" s="5" t="s">
        <v>1920</v>
      </c>
      <c r="E1185" s="5" t="s">
        <v>1271</v>
      </c>
      <c r="F1185" s="5" t="s">
        <v>1921</v>
      </c>
      <c r="G1185" s="5" t="s">
        <v>1922</v>
      </c>
      <c r="H1185" s="6">
        <v>0</v>
      </c>
      <c r="I1185" s="6">
        <f t="shared" si="239"/>
        <v>100500</v>
      </c>
      <c r="J1185" s="6">
        <v>19095</v>
      </c>
      <c r="K1185" s="6"/>
      <c r="L1185" s="6"/>
      <c r="M1185" s="6">
        <f>+H1185+I1185</f>
        <v>100500</v>
      </c>
      <c r="N1185" s="6">
        <f>+J1185</f>
        <v>19095</v>
      </c>
      <c r="O1185" s="6">
        <f t="shared" si="240"/>
        <v>119595</v>
      </c>
      <c r="P1185" s="6">
        <v>119595</v>
      </c>
      <c r="Q1185" s="6"/>
      <c r="R1185" s="6">
        <f t="shared" si="228"/>
        <v>0</v>
      </c>
      <c r="T1185"/>
    </row>
    <row r="1186" spans="2:22" s="5" customFormat="1" x14ac:dyDescent="0.3">
      <c r="B1186" s="5" t="s">
        <v>16</v>
      </c>
      <c r="C1186" s="5" t="s">
        <v>1927</v>
      </c>
      <c r="D1186" s="5" t="s">
        <v>1920</v>
      </c>
      <c r="E1186" s="5" t="s">
        <v>1484</v>
      </c>
      <c r="F1186" s="5" t="s">
        <v>1921</v>
      </c>
      <c r="G1186" s="5" t="s">
        <v>1922</v>
      </c>
      <c r="H1186" s="6">
        <v>-1.0913936421275139E-11</v>
      </c>
      <c r="I1186" s="6">
        <f t="shared" si="239"/>
        <v>36708.000000000007</v>
      </c>
      <c r="J1186" s="6">
        <v>6974.52</v>
      </c>
      <c r="K1186" s="6"/>
      <c r="L1186" s="6"/>
      <c r="M1186" s="6">
        <f>+H1186+I1186</f>
        <v>36708</v>
      </c>
      <c r="N1186" s="6">
        <f>+J1186</f>
        <v>6974.52</v>
      </c>
      <c r="O1186" s="6">
        <f t="shared" si="240"/>
        <v>43682.520000000004</v>
      </c>
      <c r="P1186" s="6">
        <v>43682.52</v>
      </c>
      <c r="Q1186" s="6"/>
      <c r="R1186" s="6">
        <f t="shared" si="228"/>
        <v>0</v>
      </c>
      <c r="T1186"/>
    </row>
    <row r="1187" spans="2:22" s="5" customFormat="1" x14ac:dyDescent="0.3">
      <c r="B1187" s="5" t="s">
        <v>16</v>
      </c>
      <c r="C1187" s="5" t="s">
        <v>1928</v>
      </c>
      <c r="D1187" s="5" t="s">
        <v>1920</v>
      </c>
      <c r="E1187" s="5" t="s">
        <v>694</v>
      </c>
      <c r="F1187" s="5" t="s">
        <v>1921</v>
      </c>
      <c r="G1187" s="5" t="s">
        <v>1922</v>
      </c>
      <c r="H1187" s="6">
        <v>0</v>
      </c>
      <c r="I1187" s="6">
        <f t="shared" si="239"/>
        <v>93780</v>
      </c>
      <c r="J1187" s="6">
        <v>17818.2</v>
      </c>
      <c r="K1187" s="6"/>
      <c r="L1187" s="6"/>
      <c r="M1187" s="6">
        <f>+H1187+I1187</f>
        <v>93780</v>
      </c>
      <c r="N1187" s="6">
        <f>+J1187</f>
        <v>17818.2</v>
      </c>
      <c r="O1187" s="6">
        <f t="shared" si="240"/>
        <v>111598.2</v>
      </c>
      <c r="P1187" s="6">
        <v>111598.2</v>
      </c>
      <c r="Q1187" s="6"/>
      <c r="R1187" s="6">
        <f t="shared" si="228"/>
        <v>0</v>
      </c>
      <c r="T1187"/>
    </row>
    <row r="1188" spans="2:22" s="5" customFormat="1" x14ac:dyDescent="0.3">
      <c r="B1188" s="7" t="s">
        <v>16</v>
      </c>
      <c r="C1188" s="7" t="s">
        <v>1929</v>
      </c>
      <c r="D1188" s="7" t="s">
        <v>1920</v>
      </c>
      <c r="E1188" s="7" t="s">
        <v>696</v>
      </c>
      <c r="F1188" s="7" t="s">
        <v>1921</v>
      </c>
      <c r="G1188" s="7" t="s">
        <v>1922</v>
      </c>
      <c r="H1188" s="8">
        <f t="shared" ref="H1188:H1211" si="241">+P1188-I1188-J1188</f>
        <v>0</v>
      </c>
      <c r="I1188" s="8">
        <f t="shared" si="239"/>
        <v>96744</v>
      </c>
      <c r="J1188" s="8">
        <v>18381.36</v>
      </c>
      <c r="K1188" s="8">
        <v>0</v>
      </c>
      <c r="L1188" s="8">
        <v>0</v>
      </c>
      <c r="M1188" s="8">
        <f>+I1188+H1188</f>
        <v>96744</v>
      </c>
      <c r="N1188" s="8">
        <f t="shared" ref="N1188:N1196" si="242">+J1188+L1188</f>
        <v>18381.36</v>
      </c>
      <c r="O1188" s="8">
        <f t="shared" si="240"/>
        <v>115125.36</v>
      </c>
      <c r="P1188" s="8">
        <v>115125.36</v>
      </c>
      <c r="Q1188" s="8">
        <v>0</v>
      </c>
      <c r="R1188" s="8">
        <f t="shared" ref="R1188:R1251" si="243">+Q1188*2.5/100</f>
        <v>0</v>
      </c>
      <c r="T1188"/>
    </row>
    <row r="1189" spans="2:22" s="5" customFormat="1" x14ac:dyDescent="0.3">
      <c r="B1189" s="7" t="s">
        <v>16</v>
      </c>
      <c r="C1189" s="7" t="s">
        <v>1930</v>
      </c>
      <c r="D1189" s="7" t="s">
        <v>1920</v>
      </c>
      <c r="E1189" s="7" t="s">
        <v>700</v>
      </c>
      <c r="F1189" s="7" t="s">
        <v>1921</v>
      </c>
      <c r="G1189" s="7" t="s">
        <v>1922</v>
      </c>
      <c r="H1189" s="8">
        <f t="shared" si="241"/>
        <v>0</v>
      </c>
      <c r="I1189" s="8">
        <f t="shared" si="239"/>
        <v>83628</v>
      </c>
      <c r="J1189" s="8">
        <v>15889.32</v>
      </c>
      <c r="K1189" s="8">
        <v>0</v>
      </c>
      <c r="L1189" s="8">
        <v>0</v>
      </c>
      <c r="M1189" s="8">
        <f>+I1189+H1189</f>
        <v>83628</v>
      </c>
      <c r="N1189" s="8">
        <f t="shared" si="242"/>
        <v>15889.32</v>
      </c>
      <c r="O1189" s="8">
        <f t="shared" si="240"/>
        <v>99517.32</v>
      </c>
      <c r="P1189" s="8">
        <v>99517.32</v>
      </c>
      <c r="Q1189" s="8">
        <v>0</v>
      </c>
      <c r="R1189" s="8">
        <f t="shared" si="243"/>
        <v>0</v>
      </c>
      <c r="T1189"/>
    </row>
    <row r="1190" spans="2:22" s="5" customFormat="1" x14ac:dyDescent="0.3">
      <c r="B1190" s="7" t="s">
        <v>16</v>
      </c>
      <c r="C1190" s="7" t="s">
        <v>1931</v>
      </c>
      <c r="D1190" s="7" t="s">
        <v>1920</v>
      </c>
      <c r="E1190" s="7" t="s">
        <v>464</v>
      </c>
      <c r="F1190" s="7" t="s">
        <v>1921</v>
      </c>
      <c r="G1190" s="7" t="s">
        <v>1922</v>
      </c>
      <c r="H1190" s="8">
        <f t="shared" si="241"/>
        <v>0</v>
      </c>
      <c r="I1190" s="8">
        <f t="shared" si="239"/>
        <v>43428</v>
      </c>
      <c r="J1190" s="8">
        <v>8251.32</v>
      </c>
      <c r="K1190" s="8">
        <v>0</v>
      </c>
      <c r="L1190" s="8">
        <v>0</v>
      </c>
      <c r="M1190" s="8">
        <f>+I1190+H1190</f>
        <v>43428</v>
      </c>
      <c r="N1190" s="8">
        <f t="shared" si="242"/>
        <v>8251.32</v>
      </c>
      <c r="O1190" s="8">
        <f t="shared" si="240"/>
        <v>51679.32</v>
      </c>
      <c r="P1190" s="8">
        <v>51679.32</v>
      </c>
      <c r="Q1190" s="8">
        <v>0</v>
      </c>
      <c r="R1190" s="8">
        <f t="shared" si="243"/>
        <v>0</v>
      </c>
      <c r="T1190"/>
    </row>
    <row r="1191" spans="2:22" s="5" customFormat="1" x14ac:dyDescent="0.3">
      <c r="B1191" s="7" t="s">
        <v>16</v>
      </c>
      <c r="C1191" s="7" t="s">
        <v>1932</v>
      </c>
      <c r="D1191" s="7" t="s">
        <v>1920</v>
      </c>
      <c r="E1191" s="7" t="s">
        <v>1683</v>
      </c>
      <c r="F1191" s="7" t="s">
        <v>1921</v>
      </c>
      <c r="G1191" s="7" t="s">
        <v>1922</v>
      </c>
      <c r="H1191" s="8">
        <f t="shared" si="241"/>
        <v>0</v>
      </c>
      <c r="I1191" s="8">
        <f t="shared" si="239"/>
        <v>128853</v>
      </c>
      <c r="J1191" s="8">
        <v>24482.07</v>
      </c>
      <c r="K1191" s="8">
        <v>0</v>
      </c>
      <c r="L1191" s="8">
        <v>0</v>
      </c>
      <c r="M1191" s="8">
        <f>+I1191+H1191</f>
        <v>128853</v>
      </c>
      <c r="N1191" s="8">
        <f t="shared" si="242"/>
        <v>24482.07</v>
      </c>
      <c r="O1191" s="8">
        <f t="shared" si="240"/>
        <v>153335.07</v>
      </c>
      <c r="P1191" s="8">
        <v>153335.07</v>
      </c>
      <c r="Q1191" s="8">
        <v>0</v>
      </c>
      <c r="R1191" s="8">
        <f t="shared" si="243"/>
        <v>0</v>
      </c>
      <c r="T1191"/>
      <c r="U1191"/>
      <c r="V1191"/>
    </row>
    <row r="1192" spans="2:22" s="5" customFormat="1" x14ac:dyDescent="0.3">
      <c r="B1192" s="5" t="s">
        <v>16</v>
      </c>
      <c r="C1192" s="5" t="s">
        <v>1933</v>
      </c>
      <c r="D1192" s="5" t="s">
        <v>1920</v>
      </c>
      <c r="E1192" s="5" t="s">
        <v>554</v>
      </c>
      <c r="F1192" s="5" t="s">
        <v>1921</v>
      </c>
      <c r="G1192" s="5" t="s">
        <v>1922</v>
      </c>
      <c r="H1192" s="6">
        <f t="shared" si="241"/>
        <v>0</v>
      </c>
      <c r="I1192" s="6">
        <f t="shared" si="239"/>
        <v>139835</v>
      </c>
      <c r="J1192" s="6">
        <v>26568.65</v>
      </c>
      <c r="K1192" s="6">
        <v>0</v>
      </c>
      <c r="L1192" s="6">
        <v>0</v>
      </c>
      <c r="M1192" s="6">
        <f t="shared" ref="M1192:M1226" si="244">+H1192+I1192+K1192</f>
        <v>139835</v>
      </c>
      <c r="N1192" s="6">
        <f t="shared" si="242"/>
        <v>26568.65</v>
      </c>
      <c r="O1192" s="6">
        <f t="shared" si="240"/>
        <v>166403.65</v>
      </c>
      <c r="P1192" s="6">
        <v>166403.65</v>
      </c>
      <c r="Q1192" s="6"/>
      <c r="R1192" s="6">
        <f t="shared" si="243"/>
        <v>0</v>
      </c>
      <c r="T1192"/>
      <c r="U1192"/>
      <c r="V1192"/>
    </row>
    <row r="1193" spans="2:22" s="5" customFormat="1" x14ac:dyDescent="0.3">
      <c r="B1193" s="5" t="s">
        <v>16</v>
      </c>
      <c r="C1193" s="5" t="s">
        <v>1934</v>
      </c>
      <c r="D1193" s="5" t="s">
        <v>1920</v>
      </c>
      <c r="E1193" s="5" t="s">
        <v>1079</v>
      </c>
      <c r="F1193" s="5" t="s">
        <v>1921</v>
      </c>
      <c r="G1193" s="5" t="s">
        <v>1922</v>
      </c>
      <c r="H1193" s="6">
        <f t="shared" si="241"/>
        <v>0</v>
      </c>
      <c r="I1193" s="6">
        <f t="shared" si="239"/>
        <v>88499.000000000015</v>
      </c>
      <c r="J1193" s="6">
        <v>16814.810000000001</v>
      </c>
      <c r="K1193" s="6">
        <v>0</v>
      </c>
      <c r="L1193" s="6">
        <v>0</v>
      </c>
      <c r="M1193" s="6">
        <f t="shared" si="244"/>
        <v>88499.000000000015</v>
      </c>
      <c r="N1193" s="6">
        <f t="shared" si="242"/>
        <v>16814.810000000001</v>
      </c>
      <c r="O1193" s="6">
        <f t="shared" si="240"/>
        <v>105313.81000000001</v>
      </c>
      <c r="P1193" s="6">
        <v>105313.81</v>
      </c>
      <c r="Q1193" s="6"/>
      <c r="R1193" s="6">
        <f t="shared" si="243"/>
        <v>0</v>
      </c>
      <c r="S1193" s="6"/>
      <c r="T1193"/>
      <c r="U1193" s="15"/>
      <c r="V1193" s="15"/>
    </row>
    <row r="1194" spans="2:22" s="5" customFormat="1" x14ac:dyDescent="0.3">
      <c r="B1194" s="5" t="s">
        <v>16</v>
      </c>
      <c r="C1194" s="5" t="s">
        <v>1935</v>
      </c>
      <c r="D1194" s="5" t="s">
        <v>1920</v>
      </c>
      <c r="E1194" s="5" t="s">
        <v>328</v>
      </c>
      <c r="F1194" s="5" t="s">
        <v>1921</v>
      </c>
      <c r="G1194" s="5" t="s">
        <v>1922</v>
      </c>
      <c r="H1194" s="6">
        <f t="shared" si="241"/>
        <v>-6376.0000000000437</v>
      </c>
      <c r="I1194" s="6">
        <f t="shared" si="239"/>
        <v>167232.00000000003</v>
      </c>
      <c r="J1194" s="6">
        <v>31774.080000000002</v>
      </c>
      <c r="K1194" s="6">
        <v>0</v>
      </c>
      <c r="L1194" s="6">
        <v>0</v>
      </c>
      <c r="M1194" s="6">
        <f t="shared" si="244"/>
        <v>160856</v>
      </c>
      <c r="N1194" s="6">
        <f t="shared" si="242"/>
        <v>31774.080000000002</v>
      </c>
      <c r="O1194" s="6">
        <f t="shared" si="240"/>
        <v>192630.08000000002</v>
      </c>
      <c r="P1194" s="6">
        <v>192630.08</v>
      </c>
      <c r="Q1194" s="6"/>
      <c r="R1194" s="6">
        <f t="shared" si="243"/>
        <v>0</v>
      </c>
      <c r="T1194"/>
    </row>
    <row r="1195" spans="2:22" s="5" customFormat="1" x14ac:dyDescent="0.3">
      <c r="B1195" s="5" t="s">
        <v>16</v>
      </c>
      <c r="C1195" s="5" t="s">
        <v>1936</v>
      </c>
      <c r="D1195" s="5" t="s">
        <v>1920</v>
      </c>
      <c r="E1195" s="5" t="s">
        <v>561</v>
      </c>
      <c r="F1195" s="5" t="s">
        <v>1921</v>
      </c>
      <c r="G1195" s="5" t="s">
        <v>1922</v>
      </c>
      <c r="H1195" s="6">
        <f t="shared" si="241"/>
        <v>0</v>
      </c>
      <c r="I1195" s="6">
        <f t="shared" si="239"/>
        <v>137089</v>
      </c>
      <c r="J1195" s="6">
        <v>26046.91</v>
      </c>
      <c r="K1195" s="6">
        <v>0</v>
      </c>
      <c r="L1195" s="6">
        <v>0</v>
      </c>
      <c r="M1195" s="6">
        <f t="shared" si="244"/>
        <v>137089</v>
      </c>
      <c r="N1195" s="6">
        <f t="shared" si="242"/>
        <v>26046.91</v>
      </c>
      <c r="O1195" s="6">
        <f t="shared" si="240"/>
        <v>163135.91</v>
      </c>
      <c r="P1195" s="6">
        <v>163135.91</v>
      </c>
      <c r="Q1195" s="6">
        <v>0</v>
      </c>
      <c r="R1195" s="6">
        <f t="shared" si="243"/>
        <v>0</v>
      </c>
      <c r="T1195"/>
    </row>
    <row r="1196" spans="2:22" s="5" customFormat="1" x14ac:dyDescent="0.3">
      <c r="B1196" s="5" t="s">
        <v>16</v>
      </c>
      <c r="C1196" s="5" t="s">
        <v>1937</v>
      </c>
      <c r="D1196" s="5" t="s">
        <v>1920</v>
      </c>
      <c r="E1196" s="5" t="s">
        <v>1436</v>
      </c>
      <c r="F1196" s="5" t="s">
        <v>1921</v>
      </c>
      <c r="G1196" s="5" t="s">
        <v>1922</v>
      </c>
      <c r="H1196" s="6">
        <f t="shared" si="241"/>
        <v>0</v>
      </c>
      <c r="I1196" s="6">
        <f t="shared" si="239"/>
        <v>202676.00000000003</v>
      </c>
      <c r="J1196" s="6">
        <v>38508.44</v>
      </c>
      <c r="K1196" s="6">
        <v>0</v>
      </c>
      <c r="L1196" s="6">
        <v>0</v>
      </c>
      <c r="M1196" s="6">
        <f t="shared" si="244"/>
        <v>202676.00000000003</v>
      </c>
      <c r="N1196" s="6">
        <f t="shared" si="242"/>
        <v>38508.44</v>
      </c>
      <c r="O1196" s="6">
        <f t="shared" si="240"/>
        <v>241184.44000000003</v>
      </c>
      <c r="P1196" s="6">
        <v>241184.44</v>
      </c>
      <c r="Q1196" s="6">
        <v>0</v>
      </c>
      <c r="R1196" s="6">
        <f t="shared" si="243"/>
        <v>0</v>
      </c>
      <c r="T1196"/>
    </row>
    <row r="1197" spans="2:22" s="5" customFormat="1" x14ac:dyDescent="0.3">
      <c r="B1197" s="5" t="s">
        <v>16</v>
      </c>
      <c r="C1197" s="5" t="s">
        <v>1938</v>
      </c>
      <c r="D1197" s="5" t="s">
        <v>1920</v>
      </c>
      <c r="E1197" s="5" t="s">
        <v>559</v>
      </c>
      <c r="F1197" s="5" t="s">
        <v>1921</v>
      </c>
      <c r="G1197" s="5" t="s">
        <v>1922</v>
      </c>
      <c r="H1197" s="6">
        <f t="shared" si="241"/>
        <v>0</v>
      </c>
      <c r="I1197" s="6">
        <f t="shared" si="239"/>
        <v>178984</v>
      </c>
      <c r="J1197" s="6">
        <v>34006.959999999999</v>
      </c>
      <c r="K1197" s="6">
        <v>0</v>
      </c>
      <c r="L1197" s="6">
        <v>0</v>
      </c>
      <c r="M1197" s="6">
        <f t="shared" si="244"/>
        <v>178984</v>
      </c>
      <c r="N1197" s="6">
        <f>J1197+L1197</f>
        <v>34006.959999999999</v>
      </c>
      <c r="O1197" s="6">
        <f t="shared" si="240"/>
        <v>212990.96</v>
      </c>
      <c r="P1197" s="6">
        <v>212990.96</v>
      </c>
      <c r="Q1197" s="6">
        <v>0</v>
      </c>
      <c r="R1197" s="6">
        <f t="shared" si="243"/>
        <v>0</v>
      </c>
      <c r="T1197"/>
    </row>
    <row r="1198" spans="2:22" s="5" customFormat="1" x14ac:dyDescent="0.3">
      <c r="B1198" s="5" t="s">
        <v>16</v>
      </c>
      <c r="C1198" s="5" t="s">
        <v>1939</v>
      </c>
      <c r="D1198" s="5" t="s">
        <v>1920</v>
      </c>
      <c r="E1198" s="5" t="s">
        <v>563</v>
      </c>
      <c r="F1198" s="5" t="s">
        <v>1921</v>
      </c>
      <c r="G1198" s="5" t="s">
        <v>1922</v>
      </c>
      <c r="H1198" s="6">
        <f t="shared" si="241"/>
        <v>0</v>
      </c>
      <c r="I1198" s="6">
        <f t="shared" si="239"/>
        <v>142152</v>
      </c>
      <c r="J1198" s="6">
        <v>27008.880000000001</v>
      </c>
      <c r="K1198" s="6">
        <v>0</v>
      </c>
      <c r="L1198" s="6">
        <v>0</v>
      </c>
      <c r="M1198" s="6">
        <f t="shared" si="244"/>
        <v>142152</v>
      </c>
      <c r="N1198" s="6">
        <f>J1198+L1198</f>
        <v>27008.880000000001</v>
      </c>
      <c r="O1198" s="6">
        <f t="shared" si="240"/>
        <v>169160.88</v>
      </c>
      <c r="P1198" s="6">
        <v>169160.88</v>
      </c>
      <c r="Q1198" s="6">
        <v>0</v>
      </c>
      <c r="R1198" s="6">
        <f t="shared" si="243"/>
        <v>0</v>
      </c>
      <c r="T1198"/>
    </row>
    <row r="1199" spans="2:22" s="5" customFormat="1" x14ac:dyDescent="0.3">
      <c r="B1199" s="5" t="s">
        <v>16</v>
      </c>
      <c r="C1199" s="5" t="s">
        <v>1940</v>
      </c>
      <c r="D1199" s="5" t="s">
        <v>1920</v>
      </c>
      <c r="E1199" s="5" t="s">
        <v>1941</v>
      </c>
      <c r="F1199" s="5" t="s">
        <v>1921</v>
      </c>
      <c r="G1199" s="5" t="s">
        <v>1922</v>
      </c>
      <c r="H1199" s="6">
        <f t="shared" si="241"/>
        <v>0</v>
      </c>
      <c r="I1199" s="6">
        <f t="shared" si="239"/>
        <v>130205</v>
      </c>
      <c r="J1199" s="6">
        <v>24738.95</v>
      </c>
      <c r="K1199" s="6">
        <v>0</v>
      </c>
      <c r="L1199" s="6">
        <v>0</v>
      </c>
      <c r="M1199" s="6">
        <f t="shared" si="244"/>
        <v>130205</v>
      </c>
      <c r="N1199" s="6">
        <f>J1199+L1199</f>
        <v>24738.95</v>
      </c>
      <c r="O1199" s="6">
        <f t="shared" si="240"/>
        <v>154943.95000000001</v>
      </c>
      <c r="P1199" s="6">
        <v>154943.95000000001</v>
      </c>
      <c r="Q1199" s="6">
        <v>0</v>
      </c>
      <c r="R1199" s="6">
        <f t="shared" si="243"/>
        <v>0</v>
      </c>
      <c r="T1199"/>
    </row>
    <row r="1200" spans="2:22" s="5" customFormat="1" x14ac:dyDescent="0.3">
      <c r="B1200" s="5" t="s">
        <v>16</v>
      </c>
      <c r="C1200" s="5" t="s">
        <v>1942</v>
      </c>
      <c r="D1200" s="5" t="s">
        <v>1920</v>
      </c>
      <c r="E1200" s="5" t="s">
        <v>677</v>
      </c>
      <c r="F1200" s="5" t="s">
        <v>1921</v>
      </c>
      <c r="G1200" s="5" t="s">
        <v>1922</v>
      </c>
      <c r="H1200" s="6">
        <f t="shared" si="241"/>
        <v>0</v>
      </c>
      <c r="I1200" s="6">
        <f t="shared" si="239"/>
        <v>94394</v>
      </c>
      <c r="J1200" s="6">
        <v>17934.86</v>
      </c>
      <c r="K1200" s="6">
        <v>0</v>
      </c>
      <c r="L1200" s="6">
        <v>0</v>
      </c>
      <c r="M1200" s="6">
        <f t="shared" si="244"/>
        <v>94394</v>
      </c>
      <c r="N1200" s="6">
        <f t="shared" ref="N1200:N1226" si="245">+J1200+L1200</f>
        <v>17934.86</v>
      </c>
      <c r="O1200" s="6">
        <f t="shared" si="240"/>
        <v>112328.86</v>
      </c>
      <c r="P1200" s="6">
        <v>112328.86</v>
      </c>
      <c r="Q1200" s="6">
        <v>0</v>
      </c>
      <c r="R1200" s="6">
        <f t="shared" si="243"/>
        <v>0</v>
      </c>
      <c r="S1200" s="6"/>
      <c r="T1200"/>
    </row>
    <row r="1201" spans="2:20" s="5" customFormat="1" x14ac:dyDescent="0.3">
      <c r="B1201" s="5" t="s">
        <v>16</v>
      </c>
      <c r="C1201" s="5" t="s">
        <v>1943</v>
      </c>
      <c r="D1201" s="5" t="s">
        <v>1920</v>
      </c>
      <c r="E1201" s="5" t="s">
        <v>1771</v>
      </c>
      <c r="F1201" s="5" t="s">
        <v>1921</v>
      </c>
      <c r="G1201" s="5" t="s">
        <v>1922</v>
      </c>
      <c r="H1201" s="6">
        <f t="shared" si="241"/>
        <v>0</v>
      </c>
      <c r="I1201" s="6">
        <f t="shared" si="239"/>
        <v>85919</v>
      </c>
      <c r="J1201" s="6">
        <v>16324.61</v>
      </c>
      <c r="K1201" s="6">
        <v>0</v>
      </c>
      <c r="L1201" s="6">
        <v>0</v>
      </c>
      <c r="M1201" s="6">
        <f t="shared" si="244"/>
        <v>85919</v>
      </c>
      <c r="N1201" s="6">
        <f t="shared" si="245"/>
        <v>16324.61</v>
      </c>
      <c r="O1201" s="6">
        <f t="shared" si="240"/>
        <v>102243.61</v>
      </c>
      <c r="P1201" s="6">
        <v>102243.61</v>
      </c>
      <c r="Q1201" s="6">
        <v>0</v>
      </c>
      <c r="R1201" s="6">
        <f t="shared" si="243"/>
        <v>0</v>
      </c>
      <c r="T1201"/>
    </row>
    <row r="1202" spans="2:20" s="5" customFormat="1" x14ac:dyDescent="0.3">
      <c r="B1202" s="5" t="s">
        <v>16</v>
      </c>
      <c r="C1202" s="5" t="s">
        <v>1944</v>
      </c>
      <c r="D1202" s="5" t="s">
        <v>1920</v>
      </c>
      <c r="E1202" s="5" t="s">
        <v>84</v>
      </c>
      <c r="F1202" s="5" t="s">
        <v>1921</v>
      </c>
      <c r="G1202" s="5" t="s">
        <v>1922</v>
      </c>
      <c r="H1202" s="6">
        <f t="shared" si="241"/>
        <v>0</v>
      </c>
      <c r="I1202" s="6">
        <f t="shared" si="239"/>
        <v>95805</v>
      </c>
      <c r="J1202" s="6">
        <v>18202.95</v>
      </c>
      <c r="K1202" s="6">
        <v>0</v>
      </c>
      <c r="L1202" s="6">
        <v>0</v>
      </c>
      <c r="M1202" s="6">
        <f t="shared" si="244"/>
        <v>95805</v>
      </c>
      <c r="N1202" s="6">
        <f t="shared" si="245"/>
        <v>18202.95</v>
      </c>
      <c r="O1202" s="6">
        <f t="shared" si="240"/>
        <v>114007.95</v>
      </c>
      <c r="P1202" s="6">
        <v>114007.95</v>
      </c>
      <c r="Q1202" s="6">
        <v>0</v>
      </c>
      <c r="R1202" s="6">
        <f t="shared" si="243"/>
        <v>0</v>
      </c>
      <c r="T1202"/>
    </row>
    <row r="1203" spans="2:20" s="5" customFormat="1" x14ac:dyDescent="0.3">
      <c r="B1203" s="5" t="s">
        <v>16</v>
      </c>
      <c r="C1203" s="5" t="s">
        <v>1945</v>
      </c>
      <c r="D1203" s="5" t="s">
        <v>1920</v>
      </c>
      <c r="E1203" s="5" t="s">
        <v>636</v>
      </c>
      <c r="F1203" s="5" t="s">
        <v>1921</v>
      </c>
      <c r="G1203" s="5" t="s">
        <v>1922</v>
      </c>
      <c r="H1203" s="6">
        <f t="shared" si="241"/>
        <v>0</v>
      </c>
      <c r="I1203" s="6">
        <f t="shared" si="239"/>
        <v>97811</v>
      </c>
      <c r="J1203" s="6">
        <v>18584.09</v>
      </c>
      <c r="K1203" s="6">
        <v>0</v>
      </c>
      <c r="L1203" s="6">
        <v>0</v>
      </c>
      <c r="M1203" s="6">
        <f t="shared" si="244"/>
        <v>97811</v>
      </c>
      <c r="N1203" s="6">
        <f t="shared" si="245"/>
        <v>18584.09</v>
      </c>
      <c r="O1203" s="6">
        <f t="shared" si="240"/>
        <v>116395.09</v>
      </c>
      <c r="P1203" s="6">
        <v>116395.09</v>
      </c>
      <c r="Q1203" s="6">
        <v>0</v>
      </c>
      <c r="R1203" s="6">
        <f t="shared" si="243"/>
        <v>0</v>
      </c>
      <c r="T1203"/>
    </row>
    <row r="1204" spans="2:20" s="5" customFormat="1" x14ac:dyDescent="0.3">
      <c r="B1204" s="5" t="s">
        <v>16</v>
      </c>
      <c r="C1204" s="5" t="s">
        <v>1946</v>
      </c>
      <c r="D1204" s="5" t="s">
        <v>1920</v>
      </c>
      <c r="E1204" s="5" t="s">
        <v>152</v>
      </c>
      <c r="F1204" s="5" t="s">
        <v>1921</v>
      </c>
      <c r="G1204" s="5" t="s">
        <v>1922</v>
      </c>
      <c r="H1204" s="6">
        <f t="shared" si="241"/>
        <v>0</v>
      </c>
      <c r="I1204" s="6">
        <f t="shared" si="239"/>
        <v>84099</v>
      </c>
      <c r="J1204" s="6">
        <v>15978.81</v>
      </c>
      <c r="K1204" s="6">
        <v>0</v>
      </c>
      <c r="L1204" s="6">
        <v>0</v>
      </c>
      <c r="M1204" s="6">
        <f t="shared" si="244"/>
        <v>84099</v>
      </c>
      <c r="N1204" s="6">
        <f t="shared" si="245"/>
        <v>15978.81</v>
      </c>
      <c r="O1204" s="6">
        <f t="shared" si="240"/>
        <v>100077.81</v>
      </c>
      <c r="P1204" s="6">
        <v>100077.81</v>
      </c>
      <c r="Q1204" s="6">
        <v>0</v>
      </c>
      <c r="R1204" s="6">
        <f t="shared" si="243"/>
        <v>0</v>
      </c>
      <c r="T1204"/>
    </row>
    <row r="1205" spans="2:20" s="5" customFormat="1" x14ac:dyDescent="0.3">
      <c r="B1205" s="5" t="s">
        <v>16</v>
      </c>
      <c r="C1205" s="5" t="s">
        <v>1947</v>
      </c>
      <c r="D1205" s="5" t="s">
        <v>1920</v>
      </c>
      <c r="E1205" s="5" t="s">
        <v>681</v>
      </c>
      <c r="F1205" s="5" t="s">
        <v>1921</v>
      </c>
      <c r="G1205" s="5" t="s">
        <v>1922</v>
      </c>
      <c r="H1205" s="6">
        <f t="shared" si="241"/>
        <v>0</v>
      </c>
      <c r="I1205" s="6">
        <f t="shared" si="239"/>
        <v>57072</v>
      </c>
      <c r="J1205" s="6">
        <v>10843.68</v>
      </c>
      <c r="K1205" s="6">
        <v>0</v>
      </c>
      <c r="L1205" s="6">
        <v>0</v>
      </c>
      <c r="M1205" s="6">
        <f t="shared" si="244"/>
        <v>57072</v>
      </c>
      <c r="N1205" s="6">
        <f t="shared" si="245"/>
        <v>10843.68</v>
      </c>
      <c r="O1205" s="6">
        <f t="shared" si="240"/>
        <v>67915.679999999993</v>
      </c>
      <c r="P1205" s="6">
        <v>67915.679999999993</v>
      </c>
      <c r="Q1205" s="6">
        <v>0</v>
      </c>
      <c r="R1205" s="6">
        <f t="shared" si="243"/>
        <v>0</v>
      </c>
      <c r="T1205"/>
    </row>
    <row r="1206" spans="2:20" s="5" customFormat="1" x14ac:dyDescent="0.3">
      <c r="B1206" s="5" t="s">
        <v>16</v>
      </c>
      <c r="C1206" s="5" t="s">
        <v>1948</v>
      </c>
      <c r="D1206" s="5" t="s">
        <v>1920</v>
      </c>
      <c r="E1206" s="5" t="s">
        <v>64</v>
      </c>
      <c r="F1206" s="5" t="s">
        <v>1921</v>
      </c>
      <c r="G1206" s="5" t="s">
        <v>1922</v>
      </c>
      <c r="H1206" s="6">
        <f t="shared" si="241"/>
        <v>0</v>
      </c>
      <c r="I1206" s="6">
        <f t="shared" si="239"/>
        <v>91905</v>
      </c>
      <c r="J1206" s="6">
        <v>17461.95</v>
      </c>
      <c r="K1206" s="6">
        <v>0</v>
      </c>
      <c r="L1206" s="6">
        <v>0</v>
      </c>
      <c r="M1206" s="6">
        <f t="shared" si="244"/>
        <v>91905</v>
      </c>
      <c r="N1206" s="6">
        <f t="shared" si="245"/>
        <v>17461.95</v>
      </c>
      <c r="O1206" s="6">
        <f t="shared" si="240"/>
        <v>109366.95</v>
      </c>
      <c r="P1206" s="6">
        <v>109366.95</v>
      </c>
      <c r="Q1206" s="6">
        <v>0</v>
      </c>
      <c r="R1206" s="6">
        <f t="shared" si="243"/>
        <v>0</v>
      </c>
      <c r="T1206"/>
    </row>
    <row r="1207" spans="2:20" s="5" customFormat="1" x14ac:dyDescent="0.3">
      <c r="B1207" s="5" t="s">
        <v>16</v>
      </c>
      <c r="C1207" s="5" t="s">
        <v>1949</v>
      </c>
      <c r="D1207" s="5" t="s">
        <v>1920</v>
      </c>
      <c r="E1207" s="5" t="s">
        <v>245</v>
      </c>
      <c r="F1207" s="5" t="s">
        <v>1921</v>
      </c>
      <c r="G1207" s="5" t="s">
        <v>1922</v>
      </c>
      <c r="H1207" s="6">
        <f t="shared" si="241"/>
        <v>0</v>
      </c>
      <c r="I1207" s="6">
        <f t="shared" si="239"/>
        <v>156662</v>
      </c>
      <c r="J1207" s="6">
        <v>29765.78</v>
      </c>
      <c r="K1207" s="6">
        <v>0</v>
      </c>
      <c r="L1207" s="6">
        <v>0</v>
      </c>
      <c r="M1207" s="6">
        <f t="shared" si="244"/>
        <v>156662</v>
      </c>
      <c r="N1207" s="6">
        <f t="shared" si="245"/>
        <v>29765.78</v>
      </c>
      <c r="O1207" s="6">
        <f t="shared" si="240"/>
        <v>186427.78</v>
      </c>
      <c r="P1207" s="6">
        <v>186427.78</v>
      </c>
      <c r="Q1207" s="6">
        <v>0</v>
      </c>
      <c r="R1207" s="6">
        <f t="shared" si="243"/>
        <v>0</v>
      </c>
      <c r="T1207"/>
    </row>
    <row r="1208" spans="2:20" s="5" customFormat="1" x14ac:dyDescent="0.3">
      <c r="B1208" s="5" t="s">
        <v>16</v>
      </c>
      <c r="C1208" s="5" t="s">
        <v>1950</v>
      </c>
      <c r="D1208" s="5" t="s">
        <v>1920</v>
      </c>
      <c r="E1208" s="5" t="s">
        <v>30</v>
      </c>
      <c r="F1208" s="5" t="s">
        <v>1921</v>
      </c>
      <c r="G1208" s="5" t="s">
        <v>1922</v>
      </c>
      <c r="H1208" s="6">
        <f t="shared" si="241"/>
        <v>4.3655745685100555E-11</v>
      </c>
      <c r="I1208" s="6">
        <f t="shared" si="239"/>
        <v>150292.99999999997</v>
      </c>
      <c r="J1208" s="6">
        <v>28555.67</v>
      </c>
      <c r="K1208" s="6">
        <v>0</v>
      </c>
      <c r="L1208" s="6">
        <v>0</v>
      </c>
      <c r="M1208" s="6">
        <f t="shared" si="244"/>
        <v>150293</v>
      </c>
      <c r="N1208" s="6">
        <f t="shared" si="245"/>
        <v>28555.67</v>
      </c>
      <c r="O1208" s="6">
        <f t="shared" si="240"/>
        <v>178848.66999999998</v>
      </c>
      <c r="P1208" s="6">
        <v>178848.67</v>
      </c>
      <c r="Q1208" s="6">
        <v>0</v>
      </c>
      <c r="R1208" s="6">
        <f t="shared" si="243"/>
        <v>0</v>
      </c>
      <c r="S1208" s="7"/>
      <c r="T1208"/>
    </row>
    <row r="1209" spans="2:20" s="5" customFormat="1" x14ac:dyDescent="0.3">
      <c r="B1209" s="5" t="s">
        <v>16</v>
      </c>
      <c r="C1209" s="5" t="s">
        <v>1951</v>
      </c>
      <c r="D1209" s="5" t="s">
        <v>1920</v>
      </c>
      <c r="E1209" s="5" t="s">
        <v>724</v>
      </c>
      <c r="F1209" s="5" t="s">
        <v>1921</v>
      </c>
      <c r="G1209" s="5" t="s">
        <v>1922</v>
      </c>
      <c r="H1209" s="6">
        <f t="shared" si="241"/>
        <v>0</v>
      </c>
      <c r="I1209" s="6">
        <f t="shared" si="239"/>
        <v>152871</v>
      </c>
      <c r="J1209" s="6">
        <v>29045.49</v>
      </c>
      <c r="K1209" s="6">
        <v>0</v>
      </c>
      <c r="L1209" s="6">
        <v>0</v>
      </c>
      <c r="M1209" s="6">
        <f t="shared" si="244"/>
        <v>152871</v>
      </c>
      <c r="N1209" s="6">
        <f t="shared" si="245"/>
        <v>29045.49</v>
      </c>
      <c r="O1209" s="6">
        <f t="shared" si="240"/>
        <v>181916.49</v>
      </c>
      <c r="P1209" s="6">
        <v>181916.49</v>
      </c>
      <c r="Q1209" s="6">
        <v>0</v>
      </c>
      <c r="R1209" s="6">
        <f t="shared" si="243"/>
        <v>0</v>
      </c>
      <c r="S1209" s="7"/>
      <c r="T1209"/>
    </row>
    <row r="1210" spans="2:20" s="5" customFormat="1" x14ac:dyDescent="0.3">
      <c r="B1210" s="5" t="s">
        <v>16</v>
      </c>
      <c r="C1210" s="5" t="s">
        <v>1952</v>
      </c>
      <c r="D1210" s="5" t="s">
        <v>1920</v>
      </c>
      <c r="E1210" s="5" t="s">
        <v>1037</v>
      </c>
      <c r="F1210" s="5" t="s">
        <v>1921</v>
      </c>
      <c r="G1210" s="5" t="s">
        <v>1922</v>
      </c>
      <c r="H1210" s="6">
        <f t="shared" si="241"/>
        <v>0</v>
      </c>
      <c r="I1210" s="6">
        <f t="shared" si="239"/>
        <v>128839.99999999999</v>
      </c>
      <c r="J1210" s="6">
        <v>24479.599999999999</v>
      </c>
      <c r="K1210" s="6">
        <v>0</v>
      </c>
      <c r="L1210" s="6">
        <v>0</v>
      </c>
      <c r="M1210" s="6">
        <f t="shared" si="244"/>
        <v>128839.99999999999</v>
      </c>
      <c r="N1210" s="6">
        <f t="shared" si="245"/>
        <v>24479.599999999999</v>
      </c>
      <c r="O1210" s="6">
        <f t="shared" si="240"/>
        <v>153319.59999999998</v>
      </c>
      <c r="P1210" s="6">
        <v>153319.6</v>
      </c>
      <c r="Q1210" s="6">
        <v>0</v>
      </c>
      <c r="R1210" s="6">
        <f t="shared" si="243"/>
        <v>0</v>
      </c>
      <c r="S1210" s="7"/>
      <c r="T1210"/>
    </row>
    <row r="1211" spans="2:20" s="5" customFormat="1" x14ac:dyDescent="0.3">
      <c r="B1211" s="5" t="s">
        <v>16</v>
      </c>
      <c r="C1211" s="5" t="s">
        <v>1953</v>
      </c>
      <c r="D1211" s="5" t="s">
        <v>1920</v>
      </c>
      <c r="E1211" s="5" t="s">
        <v>212</v>
      </c>
      <c r="F1211" s="5" t="s">
        <v>1921</v>
      </c>
      <c r="G1211" s="5" t="s">
        <v>1922</v>
      </c>
      <c r="H1211" s="6">
        <f t="shared" si="241"/>
        <v>0</v>
      </c>
      <c r="I1211" s="6">
        <f t="shared" si="239"/>
        <v>106680</v>
      </c>
      <c r="J1211" s="6">
        <v>20269.2</v>
      </c>
      <c r="K1211" s="6">
        <v>0</v>
      </c>
      <c r="L1211" s="6">
        <v>0</v>
      </c>
      <c r="M1211" s="6">
        <f t="shared" si="244"/>
        <v>106680</v>
      </c>
      <c r="N1211" s="6">
        <f t="shared" si="245"/>
        <v>20269.2</v>
      </c>
      <c r="O1211" s="6">
        <f t="shared" si="240"/>
        <v>126949.2</v>
      </c>
      <c r="P1211" s="6">
        <v>126949.2</v>
      </c>
      <c r="Q1211" s="6">
        <v>0</v>
      </c>
      <c r="R1211" s="6">
        <f t="shared" si="243"/>
        <v>0</v>
      </c>
      <c r="S1211" s="7"/>
      <c r="T1211"/>
    </row>
    <row r="1212" spans="2:20" s="5" customFormat="1" x14ac:dyDescent="0.3">
      <c r="B1212" s="5" t="s">
        <v>16</v>
      </c>
      <c r="C1212" s="5" t="s">
        <v>1954</v>
      </c>
      <c r="D1212" s="5" t="s">
        <v>1920</v>
      </c>
      <c r="E1212" s="5" t="s">
        <v>418</v>
      </c>
      <c r="F1212" s="5" t="s">
        <v>1921</v>
      </c>
      <c r="G1212" s="5" t="s">
        <v>1922</v>
      </c>
      <c r="H1212" s="6">
        <f>+P1212-I1212-J1212-K1212-L1212</f>
        <v>7.2759576141834259E-12</v>
      </c>
      <c r="I1212" s="6">
        <f t="shared" si="239"/>
        <v>120833.99999999999</v>
      </c>
      <c r="J1212" s="6">
        <v>22958.46</v>
      </c>
      <c r="K1212" s="6">
        <v>0</v>
      </c>
      <c r="L1212" s="6">
        <v>0</v>
      </c>
      <c r="M1212" s="6">
        <f t="shared" si="244"/>
        <v>120834</v>
      </c>
      <c r="N1212" s="6">
        <f t="shared" si="245"/>
        <v>22958.46</v>
      </c>
      <c r="O1212" s="6">
        <f t="shared" si="240"/>
        <v>143792.46</v>
      </c>
      <c r="P1212" s="6">
        <v>143792.46</v>
      </c>
      <c r="Q1212" s="6">
        <v>0</v>
      </c>
      <c r="R1212" s="6">
        <f t="shared" si="243"/>
        <v>0</v>
      </c>
      <c r="T1212"/>
    </row>
    <row r="1213" spans="2:20" s="5" customFormat="1" x14ac:dyDescent="0.3">
      <c r="B1213" s="5" t="s">
        <v>16</v>
      </c>
      <c r="C1213" s="5" t="s">
        <v>1955</v>
      </c>
      <c r="D1213" s="5" t="s">
        <v>1920</v>
      </c>
      <c r="E1213" s="5" t="s">
        <v>1044</v>
      </c>
      <c r="F1213" s="5" t="s">
        <v>1921</v>
      </c>
      <c r="G1213" s="5" t="s">
        <v>1922</v>
      </c>
      <c r="H1213" s="6">
        <f>+P1213-I1213-J1213-K1213-L1213</f>
        <v>7.2759576141834259E-12</v>
      </c>
      <c r="I1213" s="6">
        <f t="shared" si="239"/>
        <v>55153</v>
      </c>
      <c r="J1213" s="6">
        <v>10479.07</v>
      </c>
      <c r="K1213" s="6">
        <v>0</v>
      </c>
      <c r="L1213" s="6">
        <v>0</v>
      </c>
      <c r="M1213" s="6">
        <f t="shared" si="244"/>
        <v>55153.000000000007</v>
      </c>
      <c r="N1213" s="6">
        <f t="shared" si="245"/>
        <v>10479.07</v>
      </c>
      <c r="O1213" s="6">
        <f t="shared" si="240"/>
        <v>65632.070000000007</v>
      </c>
      <c r="P1213" s="6">
        <v>65632.070000000007</v>
      </c>
      <c r="Q1213" s="6">
        <v>0</v>
      </c>
      <c r="R1213" s="6">
        <f t="shared" si="243"/>
        <v>0</v>
      </c>
      <c r="T1213"/>
    </row>
    <row r="1214" spans="2:20" s="5" customFormat="1" x14ac:dyDescent="0.3">
      <c r="B1214" s="5" t="s">
        <v>16</v>
      </c>
      <c r="C1214" s="5" t="s">
        <v>1956</v>
      </c>
      <c r="D1214" s="5" t="s">
        <v>1920</v>
      </c>
      <c r="E1214" s="5" t="s">
        <v>1639</v>
      </c>
      <c r="F1214" s="5" t="s">
        <v>1921</v>
      </c>
      <c r="G1214" s="5" t="s">
        <v>1922</v>
      </c>
      <c r="H1214" s="6">
        <f>+P1214-I1214-J1214-K1214-L1214</f>
        <v>-3.637978807091713E-12</v>
      </c>
      <c r="I1214" s="6">
        <f t="shared" si="239"/>
        <v>92380</v>
      </c>
      <c r="J1214" s="6">
        <v>17552.2</v>
      </c>
      <c r="K1214" s="6">
        <v>0</v>
      </c>
      <c r="L1214" s="6">
        <v>0</v>
      </c>
      <c r="M1214" s="6">
        <f t="shared" si="244"/>
        <v>92380</v>
      </c>
      <c r="N1214" s="6">
        <f t="shared" si="245"/>
        <v>17552.2</v>
      </c>
      <c r="O1214" s="6">
        <f t="shared" si="240"/>
        <v>109932.2</v>
      </c>
      <c r="P1214" s="6">
        <v>109932.2</v>
      </c>
      <c r="Q1214" s="6">
        <v>0</v>
      </c>
      <c r="R1214" s="6">
        <f t="shared" si="243"/>
        <v>0</v>
      </c>
      <c r="T1214"/>
    </row>
    <row r="1215" spans="2:20" s="5" customFormat="1" x14ac:dyDescent="0.3">
      <c r="B1215" s="5" t="s">
        <v>16</v>
      </c>
      <c r="C1215" s="5" t="s">
        <v>1957</v>
      </c>
      <c r="D1215" s="5" t="s">
        <v>1920</v>
      </c>
      <c r="E1215" s="5" t="s">
        <v>337</v>
      </c>
      <c r="F1215" s="5" t="s">
        <v>1921</v>
      </c>
      <c r="G1215" s="5" t="s">
        <v>1922</v>
      </c>
      <c r="H1215" s="6">
        <f>+P1215-I1215-J1215-K1215-L1215</f>
        <v>7.2759576141834259E-12</v>
      </c>
      <c r="I1215" s="6">
        <f t="shared" si="239"/>
        <v>173590</v>
      </c>
      <c r="J1215" s="6">
        <v>32982.1</v>
      </c>
      <c r="K1215" s="6">
        <v>0</v>
      </c>
      <c r="L1215" s="6">
        <v>0</v>
      </c>
      <c r="M1215" s="6">
        <f t="shared" si="244"/>
        <v>173590</v>
      </c>
      <c r="N1215" s="6">
        <f t="shared" si="245"/>
        <v>32982.1</v>
      </c>
      <c r="O1215" s="6">
        <f t="shared" si="240"/>
        <v>206572.1</v>
      </c>
      <c r="P1215" s="6">
        <v>206572.1</v>
      </c>
      <c r="Q1215" s="6">
        <v>0</v>
      </c>
      <c r="R1215" s="6">
        <f t="shared" si="243"/>
        <v>0</v>
      </c>
      <c r="T1215"/>
    </row>
    <row r="1216" spans="2:20" s="5" customFormat="1" x14ac:dyDescent="0.3">
      <c r="B1216" s="5" t="s">
        <v>16</v>
      </c>
      <c r="C1216" s="5" t="s">
        <v>1958</v>
      </c>
      <c r="D1216" s="5" t="s">
        <v>1920</v>
      </c>
      <c r="E1216" s="5" t="s">
        <v>885</v>
      </c>
      <c r="F1216" s="5" t="s">
        <v>1921</v>
      </c>
      <c r="G1216" s="5" t="s">
        <v>1922</v>
      </c>
      <c r="H1216" s="6">
        <f>+P1216-I1216-J1216-K1216-L1216</f>
        <v>-7.2759576141834259E-12</v>
      </c>
      <c r="I1216" s="6">
        <f t="shared" si="239"/>
        <v>56522</v>
      </c>
      <c r="J1216" s="6">
        <v>10739.18</v>
      </c>
      <c r="K1216" s="6">
        <v>0</v>
      </c>
      <c r="L1216" s="6">
        <v>0</v>
      </c>
      <c r="M1216" s="6">
        <f t="shared" si="244"/>
        <v>56521.999999999993</v>
      </c>
      <c r="N1216" s="6">
        <f t="shared" si="245"/>
        <v>10739.18</v>
      </c>
      <c r="O1216" s="6">
        <f t="shared" si="240"/>
        <v>67261.179999999993</v>
      </c>
      <c r="P1216" s="6">
        <v>67261.179999999993</v>
      </c>
      <c r="Q1216" s="6">
        <v>0</v>
      </c>
      <c r="R1216" s="6">
        <f t="shared" si="243"/>
        <v>0</v>
      </c>
      <c r="T1216"/>
    </row>
    <row r="1217" spans="2:20" s="5" customFormat="1" x14ac:dyDescent="0.3">
      <c r="B1217" s="5" t="s">
        <v>16</v>
      </c>
      <c r="C1217" s="5" t="s">
        <v>1959</v>
      </c>
      <c r="D1217" s="5" t="s">
        <v>1920</v>
      </c>
      <c r="E1217" s="5" t="s">
        <v>102</v>
      </c>
      <c r="F1217" s="5" t="s">
        <v>1921</v>
      </c>
      <c r="G1217" s="5" t="s">
        <v>1922</v>
      </c>
      <c r="H1217" s="6">
        <v>0</v>
      </c>
      <c r="I1217" s="6">
        <f t="shared" si="239"/>
        <v>111870</v>
      </c>
      <c r="J1217" s="6">
        <v>21255.3</v>
      </c>
      <c r="K1217" s="6">
        <v>0</v>
      </c>
      <c r="L1217" s="6">
        <v>0</v>
      </c>
      <c r="M1217" s="6">
        <f t="shared" si="244"/>
        <v>111870</v>
      </c>
      <c r="N1217" s="6">
        <f t="shared" si="245"/>
        <v>21255.3</v>
      </c>
      <c r="O1217" s="6">
        <f t="shared" si="240"/>
        <v>133125.29999999999</v>
      </c>
      <c r="P1217" s="6">
        <v>133125.29999999999</v>
      </c>
      <c r="Q1217" s="6">
        <v>0</v>
      </c>
      <c r="R1217" s="6">
        <f t="shared" si="243"/>
        <v>0</v>
      </c>
      <c r="T1217"/>
    </row>
    <row r="1218" spans="2:20" s="5" customFormat="1" x14ac:dyDescent="0.3">
      <c r="B1218" s="5" t="s">
        <v>16</v>
      </c>
      <c r="C1218" s="5" t="s">
        <v>1960</v>
      </c>
      <c r="D1218" s="5" t="s">
        <v>1920</v>
      </c>
      <c r="E1218" s="5" t="s">
        <v>771</v>
      </c>
      <c r="F1218" s="5" t="s">
        <v>1921</v>
      </c>
      <c r="G1218" s="5" t="s">
        <v>1922</v>
      </c>
      <c r="H1218" s="6">
        <v>0</v>
      </c>
      <c r="I1218" s="6">
        <f t="shared" si="239"/>
        <v>81901</v>
      </c>
      <c r="J1218" s="6">
        <v>15561.19</v>
      </c>
      <c r="K1218" s="6">
        <v>0</v>
      </c>
      <c r="L1218" s="6">
        <v>0</v>
      </c>
      <c r="M1218" s="6">
        <f t="shared" si="244"/>
        <v>81901</v>
      </c>
      <c r="N1218" s="6">
        <f t="shared" si="245"/>
        <v>15561.19</v>
      </c>
      <c r="O1218" s="6">
        <f t="shared" si="240"/>
        <v>97462.19</v>
      </c>
      <c r="P1218" s="6">
        <v>97462.19</v>
      </c>
      <c r="Q1218" s="6">
        <v>0</v>
      </c>
      <c r="R1218" s="6">
        <f t="shared" si="243"/>
        <v>0</v>
      </c>
      <c r="T1218"/>
    </row>
    <row r="1219" spans="2:20" s="5" customFormat="1" x14ac:dyDescent="0.3">
      <c r="B1219" s="5" t="s">
        <v>16</v>
      </c>
      <c r="C1219" s="5" t="s">
        <v>1961</v>
      </c>
      <c r="D1219" s="5" t="s">
        <v>1920</v>
      </c>
      <c r="E1219" s="5" t="s">
        <v>1053</v>
      </c>
      <c r="F1219" s="5" t="s">
        <v>1921</v>
      </c>
      <c r="G1219" s="5" t="s">
        <v>1922</v>
      </c>
      <c r="H1219" s="6">
        <v>0</v>
      </c>
      <c r="I1219" s="6">
        <f t="shared" si="239"/>
        <v>91296</v>
      </c>
      <c r="J1219" s="6">
        <v>17346.240000000002</v>
      </c>
      <c r="K1219" s="6">
        <v>0</v>
      </c>
      <c r="L1219" s="6">
        <v>0</v>
      </c>
      <c r="M1219" s="6">
        <f t="shared" si="244"/>
        <v>91296</v>
      </c>
      <c r="N1219" s="6">
        <f t="shared" si="245"/>
        <v>17346.240000000002</v>
      </c>
      <c r="O1219" s="6">
        <f t="shared" si="240"/>
        <v>108642.24000000001</v>
      </c>
      <c r="P1219" s="6">
        <v>108642.24000000001</v>
      </c>
      <c r="Q1219" s="6">
        <v>0</v>
      </c>
      <c r="R1219" s="6">
        <f t="shared" si="243"/>
        <v>0</v>
      </c>
      <c r="T1219"/>
    </row>
    <row r="1220" spans="2:20" s="5" customFormat="1" x14ac:dyDescent="0.3">
      <c r="B1220" s="5" t="s">
        <v>16</v>
      </c>
      <c r="C1220" s="5" t="s">
        <v>1962</v>
      </c>
      <c r="D1220" s="5" t="s">
        <v>1920</v>
      </c>
      <c r="E1220" s="5" t="s">
        <v>890</v>
      </c>
      <c r="F1220" s="5" t="s">
        <v>1921</v>
      </c>
      <c r="G1220" s="5" t="s">
        <v>1922</v>
      </c>
      <c r="H1220" s="6">
        <v>0</v>
      </c>
      <c r="I1220" s="6">
        <f t="shared" si="239"/>
        <v>48264</v>
      </c>
      <c r="J1220" s="6">
        <v>9170.16</v>
      </c>
      <c r="K1220" s="6">
        <v>0</v>
      </c>
      <c r="L1220" s="6">
        <v>0</v>
      </c>
      <c r="M1220" s="6">
        <f t="shared" si="244"/>
        <v>48264</v>
      </c>
      <c r="N1220" s="6">
        <f t="shared" si="245"/>
        <v>9170.16</v>
      </c>
      <c r="O1220" s="6">
        <f t="shared" si="240"/>
        <v>57434.16</v>
      </c>
      <c r="P1220" s="6">
        <v>57434.16</v>
      </c>
      <c r="Q1220" s="6">
        <v>0</v>
      </c>
      <c r="R1220" s="6">
        <f t="shared" si="243"/>
        <v>0</v>
      </c>
      <c r="T1220"/>
    </row>
    <row r="1221" spans="2:20" s="5" customFormat="1" x14ac:dyDescent="0.3">
      <c r="B1221" s="5" t="s">
        <v>16</v>
      </c>
      <c r="C1221" s="5" t="s">
        <v>1963</v>
      </c>
      <c r="D1221" s="5" t="s">
        <v>1920</v>
      </c>
      <c r="E1221" s="5" t="s">
        <v>75</v>
      </c>
      <c r="F1221" s="5" t="s">
        <v>1921</v>
      </c>
      <c r="G1221" s="5" t="s">
        <v>1922</v>
      </c>
      <c r="H1221" s="6">
        <f>+P1221-I1221-J1221</f>
        <v>0</v>
      </c>
      <c r="I1221" s="6">
        <f t="shared" si="239"/>
        <v>136786</v>
      </c>
      <c r="J1221" s="6">
        <v>25989.34</v>
      </c>
      <c r="K1221" s="6">
        <v>0</v>
      </c>
      <c r="L1221" s="6">
        <v>0</v>
      </c>
      <c r="M1221" s="6">
        <f t="shared" si="244"/>
        <v>136786</v>
      </c>
      <c r="N1221" s="6">
        <f t="shared" si="245"/>
        <v>25989.34</v>
      </c>
      <c r="O1221" s="6">
        <f t="shared" si="240"/>
        <v>162775.34</v>
      </c>
      <c r="P1221" s="6">
        <v>162775.34</v>
      </c>
      <c r="Q1221" s="6">
        <v>0</v>
      </c>
      <c r="R1221" s="6">
        <f t="shared" si="243"/>
        <v>0</v>
      </c>
      <c r="T1221"/>
    </row>
    <row r="1222" spans="2:20" s="5" customFormat="1" x14ac:dyDescent="0.3">
      <c r="B1222" s="5" t="s">
        <v>16</v>
      </c>
      <c r="C1222" s="5" t="s">
        <v>1964</v>
      </c>
      <c r="D1222" s="5" t="s">
        <v>1920</v>
      </c>
      <c r="E1222" s="5" t="s">
        <v>427</v>
      </c>
      <c r="F1222" s="5" t="s">
        <v>1921</v>
      </c>
      <c r="G1222" s="5" t="s">
        <v>1922</v>
      </c>
      <c r="H1222" s="6">
        <f>+P1222-I1222-J1222</f>
        <v>0</v>
      </c>
      <c r="I1222" s="6">
        <f t="shared" si="239"/>
        <v>302538</v>
      </c>
      <c r="J1222" s="6">
        <v>57482.22</v>
      </c>
      <c r="K1222" s="6">
        <v>0</v>
      </c>
      <c r="L1222" s="6">
        <v>0</v>
      </c>
      <c r="M1222" s="6">
        <f t="shared" si="244"/>
        <v>302538</v>
      </c>
      <c r="N1222" s="6">
        <f t="shared" si="245"/>
        <v>57482.22</v>
      </c>
      <c r="O1222" s="6">
        <f t="shared" si="240"/>
        <v>360020.22</v>
      </c>
      <c r="P1222" s="6">
        <v>360020.22</v>
      </c>
      <c r="Q1222" s="6">
        <v>0</v>
      </c>
      <c r="R1222" s="6">
        <f t="shared" si="243"/>
        <v>0</v>
      </c>
      <c r="T1222"/>
    </row>
    <row r="1223" spans="2:20" s="5" customFormat="1" x14ac:dyDescent="0.3">
      <c r="B1223" s="5" t="s">
        <v>16</v>
      </c>
      <c r="C1223" s="5" t="s">
        <v>1965</v>
      </c>
      <c r="D1223" s="5" t="s">
        <v>1920</v>
      </c>
      <c r="E1223" s="5" t="s">
        <v>911</v>
      </c>
      <c r="F1223" s="5" t="s">
        <v>1921</v>
      </c>
      <c r="G1223" s="5" t="s">
        <v>1922</v>
      </c>
      <c r="H1223" s="6">
        <f>+P1223-I1223-J1223</f>
        <v>0</v>
      </c>
      <c r="I1223" s="6">
        <f t="shared" si="239"/>
        <v>107179</v>
      </c>
      <c r="J1223" s="6">
        <v>20364.009999999998</v>
      </c>
      <c r="K1223" s="6">
        <v>0</v>
      </c>
      <c r="L1223" s="6">
        <v>0</v>
      </c>
      <c r="M1223" s="6">
        <f t="shared" si="244"/>
        <v>107179</v>
      </c>
      <c r="N1223" s="6">
        <f t="shared" si="245"/>
        <v>20364.009999999998</v>
      </c>
      <c r="O1223" s="6">
        <f t="shared" si="240"/>
        <v>127543.01</v>
      </c>
      <c r="P1223" s="6">
        <v>127543.01</v>
      </c>
      <c r="Q1223" s="6">
        <v>0</v>
      </c>
      <c r="R1223" s="6">
        <f t="shared" si="243"/>
        <v>0</v>
      </c>
      <c r="T1223"/>
    </row>
    <row r="1224" spans="2:20" s="5" customFormat="1" x14ac:dyDescent="0.3">
      <c r="B1224" s="5" t="s">
        <v>16</v>
      </c>
      <c r="C1224" s="5" t="s">
        <v>1966</v>
      </c>
      <c r="D1224" s="5" t="s">
        <v>1920</v>
      </c>
      <c r="E1224" s="5" t="s">
        <v>61</v>
      </c>
      <c r="F1224" s="5" t="s">
        <v>1921</v>
      </c>
      <c r="G1224" s="5" t="s">
        <v>1922</v>
      </c>
      <c r="H1224" s="6">
        <f>+P1224-I1224-J1224-K1224-L1224</f>
        <v>0</v>
      </c>
      <c r="I1224" s="6">
        <f t="shared" si="239"/>
        <v>186264</v>
      </c>
      <c r="J1224" s="6">
        <v>35390.160000000003</v>
      </c>
      <c r="K1224" s="6">
        <v>0</v>
      </c>
      <c r="L1224" s="6">
        <v>0</v>
      </c>
      <c r="M1224" s="6">
        <f t="shared" si="244"/>
        <v>186264</v>
      </c>
      <c r="N1224" s="6">
        <f t="shared" si="245"/>
        <v>35390.160000000003</v>
      </c>
      <c r="O1224" s="6">
        <f t="shared" si="240"/>
        <v>221654.16</v>
      </c>
      <c r="P1224" s="6">
        <v>221654.16</v>
      </c>
      <c r="Q1224" s="6">
        <v>0</v>
      </c>
      <c r="R1224" s="6">
        <f t="shared" si="243"/>
        <v>0</v>
      </c>
      <c r="T1224"/>
    </row>
    <row r="1225" spans="2:20" s="5" customFormat="1" x14ac:dyDescent="0.3">
      <c r="B1225" s="5" t="s">
        <v>16</v>
      </c>
      <c r="C1225" s="5" t="s">
        <v>1967</v>
      </c>
      <c r="D1225" s="5" t="s">
        <v>1968</v>
      </c>
      <c r="E1225" s="5" t="s">
        <v>481</v>
      </c>
      <c r="F1225" s="5" t="s">
        <v>1969</v>
      </c>
      <c r="G1225" s="5" t="s">
        <v>1970</v>
      </c>
      <c r="H1225" s="6">
        <v>0</v>
      </c>
      <c r="I1225" s="6">
        <f t="shared" si="239"/>
        <v>183193.26315789475</v>
      </c>
      <c r="J1225" s="6">
        <v>34806.720000000001</v>
      </c>
      <c r="K1225" s="6">
        <v>0</v>
      </c>
      <c r="L1225" s="6">
        <v>0</v>
      </c>
      <c r="M1225" s="6">
        <f t="shared" si="244"/>
        <v>183193.26315789475</v>
      </c>
      <c r="N1225" s="6">
        <f t="shared" si="245"/>
        <v>34806.720000000001</v>
      </c>
      <c r="O1225" s="6">
        <f t="shared" si="240"/>
        <v>217999.98315789475</v>
      </c>
      <c r="P1225" s="6">
        <v>518000</v>
      </c>
      <c r="Q1225" s="6">
        <v>0</v>
      </c>
      <c r="R1225" s="6">
        <f t="shared" si="243"/>
        <v>0</v>
      </c>
      <c r="T1225"/>
    </row>
    <row r="1226" spans="2:20" s="5" customFormat="1" x14ac:dyDescent="0.3">
      <c r="B1226" s="5" t="s">
        <v>16</v>
      </c>
      <c r="C1226" s="5" t="s">
        <v>1971</v>
      </c>
      <c r="D1226" s="5" t="s">
        <v>35</v>
      </c>
      <c r="E1226" s="5" t="s">
        <v>1436</v>
      </c>
      <c r="F1226" s="5" t="s">
        <v>100</v>
      </c>
      <c r="G1226" s="5" t="s">
        <v>1972</v>
      </c>
      <c r="H1226" s="6">
        <f>+P1226-I1226-J1226</f>
        <v>0</v>
      </c>
      <c r="I1226" s="6">
        <f t="shared" si="239"/>
        <v>1301868</v>
      </c>
      <c r="J1226" s="6">
        <v>247354.92</v>
      </c>
      <c r="K1226" s="6">
        <v>0</v>
      </c>
      <c r="L1226" s="6">
        <v>0</v>
      </c>
      <c r="M1226" s="6">
        <f t="shared" si="244"/>
        <v>1301868</v>
      </c>
      <c r="N1226" s="6">
        <f t="shared" si="245"/>
        <v>247354.92</v>
      </c>
      <c r="O1226" s="6">
        <f t="shared" si="240"/>
        <v>1549222.92</v>
      </c>
      <c r="P1226" s="6">
        <v>1549222.92</v>
      </c>
      <c r="Q1226" s="6">
        <f>+M1226</f>
        <v>1301868</v>
      </c>
      <c r="R1226" s="6">
        <f t="shared" si="243"/>
        <v>32546.7</v>
      </c>
      <c r="T1226"/>
    </row>
    <row r="1227" spans="2:20" s="5" customFormat="1" x14ac:dyDescent="0.3">
      <c r="B1227" s="5" t="s">
        <v>16</v>
      </c>
      <c r="C1227" s="5" t="s">
        <v>1973</v>
      </c>
      <c r="D1227" s="5" t="s">
        <v>1974</v>
      </c>
      <c r="E1227" s="5" t="s">
        <v>694</v>
      </c>
      <c r="F1227" s="5" t="s">
        <v>1975</v>
      </c>
      <c r="G1227" s="5" t="s">
        <v>1976</v>
      </c>
      <c r="H1227" s="6">
        <v>0.42105263145640492</v>
      </c>
      <c r="I1227" s="6">
        <f t="shared" si="239"/>
        <v>3981931.5789473685</v>
      </c>
      <c r="J1227" s="6">
        <v>756567</v>
      </c>
      <c r="K1227" s="6"/>
      <c r="L1227" s="6"/>
      <c r="M1227" s="6">
        <f>+H1227+I1227</f>
        <v>3981932</v>
      </c>
      <c r="N1227" s="6">
        <f>+J1227</f>
        <v>756567</v>
      </c>
      <c r="O1227" s="6">
        <f t="shared" si="240"/>
        <v>4738499</v>
      </c>
      <c r="P1227" s="6">
        <v>4738499</v>
      </c>
      <c r="Q1227" s="6"/>
      <c r="R1227" s="6">
        <f t="shared" si="243"/>
        <v>0</v>
      </c>
      <c r="T1227"/>
    </row>
    <row r="1228" spans="2:20" s="5" customFormat="1" x14ac:dyDescent="0.3">
      <c r="B1228" s="5" t="s">
        <v>16</v>
      </c>
      <c r="C1228" s="5" t="s">
        <v>1977</v>
      </c>
      <c r="D1228" s="5" t="s">
        <v>1974</v>
      </c>
      <c r="E1228" s="5" t="s">
        <v>694</v>
      </c>
      <c r="F1228" s="5" t="s">
        <v>1975</v>
      </c>
      <c r="G1228" s="5" t="s">
        <v>1976</v>
      </c>
      <c r="H1228" s="6">
        <v>1.5789473671466112</v>
      </c>
      <c r="I1228" s="6">
        <f t="shared" si="239"/>
        <v>9505068.4210526329</v>
      </c>
      <c r="J1228" s="6">
        <v>1805963</v>
      </c>
      <c r="K1228" s="6"/>
      <c r="L1228" s="6"/>
      <c r="M1228" s="6">
        <f>+H1228+I1228</f>
        <v>9505070</v>
      </c>
      <c r="N1228" s="6">
        <f>+J1228</f>
        <v>1805963</v>
      </c>
      <c r="O1228" s="6">
        <f t="shared" si="240"/>
        <v>11311033</v>
      </c>
      <c r="P1228" s="6">
        <v>11311033</v>
      </c>
      <c r="Q1228" s="6"/>
      <c r="R1228" s="6">
        <f t="shared" si="243"/>
        <v>0</v>
      </c>
      <c r="T1228"/>
    </row>
    <row r="1229" spans="2:20" s="5" customFormat="1" x14ac:dyDescent="0.3">
      <c r="B1229" s="5" t="s">
        <v>16</v>
      </c>
      <c r="C1229" s="5" t="s">
        <v>1978</v>
      </c>
      <c r="D1229" s="5" t="s">
        <v>1974</v>
      </c>
      <c r="E1229" s="5" t="s">
        <v>827</v>
      </c>
      <c r="F1229" s="5" t="s">
        <v>1975</v>
      </c>
      <c r="G1229" s="5" t="s">
        <v>1976</v>
      </c>
      <c r="H1229" s="6">
        <f t="shared" ref="H1229:H1235" si="246">+P1229-I1229-J1229</f>
        <v>-1.5263157896697521</v>
      </c>
      <c r="I1229" s="6">
        <f t="shared" si="239"/>
        <v>6179210.5263157897</v>
      </c>
      <c r="J1229" s="6">
        <v>1174050</v>
      </c>
      <c r="K1229" s="6">
        <v>0</v>
      </c>
      <c r="L1229" s="6">
        <v>0</v>
      </c>
      <c r="M1229" s="6">
        <f t="shared" ref="M1229:M1237" si="247">+H1229+I1229+K1229</f>
        <v>6179209</v>
      </c>
      <c r="N1229" s="6">
        <f t="shared" ref="N1229:N1237" si="248">+J1229+L1229</f>
        <v>1174050</v>
      </c>
      <c r="O1229" s="6">
        <f t="shared" si="240"/>
        <v>7353259</v>
      </c>
      <c r="P1229" s="6">
        <v>7353259</v>
      </c>
      <c r="Q1229" s="6"/>
      <c r="R1229" s="6">
        <f t="shared" si="243"/>
        <v>0</v>
      </c>
      <c r="T1229"/>
    </row>
    <row r="1230" spans="2:20" s="5" customFormat="1" x14ac:dyDescent="0.3">
      <c r="B1230" s="5" t="s">
        <v>16</v>
      </c>
      <c r="C1230" s="5" t="s">
        <v>1979</v>
      </c>
      <c r="D1230" s="5" t="s">
        <v>1974</v>
      </c>
      <c r="E1230" s="5" t="s">
        <v>827</v>
      </c>
      <c r="F1230" s="5" t="s">
        <v>1975</v>
      </c>
      <c r="G1230" s="5" t="s">
        <v>1976</v>
      </c>
      <c r="H1230" s="6">
        <f t="shared" si="246"/>
        <v>0.94736842112615705</v>
      </c>
      <c r="I1230" s="6">
        <f t="shared" si="239"/>
        <v>601921.05263157887</v>
      </c>
      <c r="J1230" s="6">
        <v>114365</v>
      </c>
      <c r="K1230" s="6">
        <v>0</v>
      </c>
      <c r="L1230" s="6">
        <v>0</v>
      </c>
      <c r="M1230" s="6">
        <f t="shared" si="247"/>
        <v>601922</v>
      </c>
      <c r="N1230" s="6">
        <f t="shared" si="248"/>
        <v>114365</v>
      </c>
      <c r="O1230" s="6">
        <f t="shared" si="240"/>
        <v>716287</v>
      </c>
      <c r="P1230" s="6">
        <v>716287</v>
      </c>
      <c r="Q1230" s="6"/>
      <c r="R1230" s="6">
        <f t="shared" si="243"/>
        <v>0</v>
      </c>
      <c r="S1230"/>
      <c r="T1230"/>
    </row>
    <row r="1231" spans="2:20" s="5" customFormat="1" x14ac:dyDescent="0.3">
      <c r="B1231" s="5" t="s">
        <v>16</v>
      </c>
      <c r="C1231" s="5" t="s">
        <v>1980</v>
      </c>
      <c r="D1231" s="5" t="s">
        <v>1974</v>
      </c>
      <c r="E1231" s="5" t="s">
        <v>554</v>
      </c>
      <c r="F1231" s="5" t="s">
        <v>1975</v>
      </c>
      <c r="G1231" s="5" t="s">
        <v>1976</v>
      </c>
      <c r="H1231" s="6">
        <f t="shared" si="246"/>
        <v>2.2105263154953718</v>
      </c>
      <c r="I1231" s="6">
        <f t="shared" si="239"/>
        <v>9167215.7894736845</v>
      </c>
      <c r="J1231" s="6">
        <v>1741771</v>
      </c>
      <c r="K1231" s="6">
        <v>0</v>
      </c>
      <c r="L1231" s="6">
        <v>0</v>
      </c>
      <c r="M1231" s="6">
        <f t="shared" si="247"/>
        <v>9167218</v>
      </c>
      <c r="N1231" s="6">
        <f t="shared" si="248"/>
        <v>1741771</v>
      </c>
      <c r="O1231" s="6">
        <f t="shared" si="240"/>
        <v>10908989</v>
      </c>
      <c r="P1231" s="6">
        <v>10908989</v>
      </c>
      <c r="Q1231" s="6"/>
      <c r="R1231" s="6">
        <f t="shared" si="243"/>
        <v>0</v>
      </c>
      <c r="T1231"/>
    </row>
    <row r="1232" spans="2:20" s="5" customFormat="1" x14ac:dyDescent="0.3">
      <c r="B1232" s="5" t="s">
        <v>16</v>
      </c>
      <c r="C1232" s="5" t="s">
        <v>1981</v>
      </c>
      <c r="D1232" s="5" t="s">
        <v>1974</v>
      </c>
      <c r="E1232" s="5" t="s">
        <v>19</v>
      </c>
      <c r="F1232" s="5" t="s">
        <v>1975</v>
      </c>
      <c r="G1232" s="5" t="s">
        <v>1976</v>
      </c>
      <c r="H1232" s="6">
        <f t="shared" si="246"/>
        <v>1.4210526314564049</v>
      </c>
      <c r="I1232" s="6">
        <f t="shared" si="239"/>
        <v>2856931.5789473685</v>
      </c>
      <c r="J1232" s="6">
        <v>542817</v>
      </c>
      <c r="K1232" s="6">
        <v>0</v>
      </c>
      <c r="L1232" s="6">
        <v>0</v>
      </c>
      <c r="M1232" s="6">
        <f t="shared" si="247"/>
        <v>2856933</v>
      </c>
      <c r="N1232" s="6">
        <f t="shared" si="248"/>
        <v>542817</v>
      </c>
      <c r="O1232" s="6">
        <f t="shared" si="240"/>
        <v>3399750</v>
      </c>
      <c r="P1232" s="6">
        <v>3399750</v>
      </c>
      <c r="Q1232" s="6">
        <v>0</v>
      </c>
      <c r="R1232" s="6">
        <f t="shared" si="243"/>
        <v>0</v>
      </c>
      <c r="T1232"/>
    </row>
    <row r="1233" spans="2:22" s="5" customFormat="1" x14ac:dyDescent="0.3">
      <c r="B1233" s="5" t="s">
        <v>16</v>
      </c>
      <c r="C1233" s="5" t="s">
        <v>1982</v>
      </c>
      <c r="D1233" s="5" t="s">
        <v>1974</v>
      </c>
      <c r="E1233" s="5" t="s">
        <v>751</v>
      </c>
      <c r="F1233" s="5" t="s">
        <v>1975</v>
      </c>
      <c r="G1233" s="5" t="s">
        <v>1976</v>
      </c>
      <c r="H1233" s="6">
        <f t="shared" si="246"/>
        <v>-2.5263157896697521</v>
      </c>
      <c r="I1233" s="6">
        <f t="shared" si="239"/>
        <v>18723410.52631579</v>
      </c>
      <c r="J1233" s="6">
        <v>3557448</v>
      </c>
      <c r="K1233" s="6">
        <v>0</v>
      </c>
      <c r="L1233" s="6">
        <v>0</v>
      </c>
      <c r="M1233" s="6">
        <f t="shared" si="247"/>
        <v>18723408</v>
      </c>
      <c r="N1233" s="6">
        <f t="shared" si="248"/>
        <v>3557448</v>
      </c>
      <c r="O1233" s="6">
        <f t="shared" si="240"/>
        <v>22280856</v>
      </c>
      <c r="P1233" s="6">
        <v>22280856</v>
      </c>
      <c r="Q1233" s="6">
        <v>0</v>
      </c>
      <c r="R1233" s="6">
        <f t="shared" si="243"/>
        <v>0</v>
      </c>
      <c r="T1233"/>
    </row>
    <row r="1234" spans="2:22" s="5" customFormat="1" x14ac:dyDescent="0.3">
      <c r="B1234" s="5" t="s">
        <v>16</v>
      </c>
      <c r="C1234" s="5" t="s">
        <v>1983</v>
      </c>
      <c r="D1234" s="5" t="s">
        <v>1974</v>
      </c>
      <c r="E1234" s="5" t="s">
        <v>216</v>
      </c>
      <c r="F1234" s="5" t="s">
        <v>1975</v>
      </c>
      <c r="G1234" s="5" t="s">
        <v>1976</v>
      </c>
      <c r="H1234" s="6">
        <f t="shared" si="246"/>
        <v>2.3157894732430577</v>
      </c>
      <c r="I1234" s="6">
        <f t="shared" si="239"/>
        <v>7577273.6842105268</v>
      </c>
      <c r="J1234" s="6">
        <v>1439682</v>
      </c>
      <c r="K1234" s="6">
        <v>0</v>
      </c>
      <c r="L1234" s="6">
        <v>0</v>
      </c>
      <c r="M1234" s="6">
        <f t="shared" si="247"/>
        <v>7577276</v>
      </c>
      <c r="N1234" s="6">
        <f t="shared" si="248"/>
        <v>1439682</v>
      </c>
      <c r="O1234" s="6">
        <f t="shared" si="240"/>
        <v>9016958</v>
      </c>
      <c r="P1234" s="6">
        <v>9016958</v>
      </c>
      <c r="Q1234" s="6">
        <v>0</v>
      </c>
      <c r="R1234" s="6">
        <f t="shared" si="243"/>
        <v>0</v>
      </c>
      <c r="T1234"/>
    </row>
    <row r="1235" spans="2:22" s="5" customFormat="1" x14ac:dyDescent="0.3">
      <c r="B1235" s="5" t="s">
        <v>16</v>
      </c>
      <c r="C1235" s="5" t="s">
        <v>1984</v>
      </c>
      <c r="D1235" s="5" t="s">
        <v>1974</v>
      </c>
      <c r="E1235" s="5" t="s">
        <v>1555</v>
      </c>
      <c r="F1235" s="5" t="s">
        <v>1975</v>
      </c>
      <c r="G1235" s="5" t="s">
        <v>1976</v>
      </c>
      <c r="H1235" s="6">
        <f t="shared" si="246"/>
        <v>-1.5263157892040908</v>
      </c>
      <c r="I1235" s="6">
        <f t="shared" si="239"/>
        <v>2989810.5263157892</v>
      </c>
      <c r="J1235" s="6">
        <v>568064</v>
      </c>
      <c r="K1235" s="6">
        <v>0</v>
      </c>
      <c r="L1235" s="6">
        <v>0</v>
      </c>
      <c r="M1235" s="6">
        <f t="shared" si="247"/>
        <v>2989809</v>
      </c>
      <c r="N1235" s="6">
        <f t="shared" si="248"/>
        <v>568064</v>
      </c>
      <c r="O1235" s="6">
        <f t="shared" si="240"/>
        <v>3557873</v>
      </c>
      <c r="P1235" s="6">
        <v>3557873</v>
      </c>
      <c r="Q1235" s="6">
        <v>0</v>
      </c>
      <c r="R1235" s="6">
        <f t="shared" si="243"/>
        <v>0</v>
      </c>
      <c r="T1235"/>
    </row>
    <row r="1236" spans="2:22" s="5" customFormat="1" x14ac:dyDescent="0.3">
      <c r="B1236" s="5" t="s">
        <v>16</v>
      </c>
      <c r="C1236" s="5" t="s">
        <v>1985</v>
      </c>
      <c r="D1236" s="5" t="s">
        <v>1974</v>
      </c>
      <c r="E1236" s="5" t="s">
        <v>1257</v>
      </c>
      <c r="F1236" s="5" t="s">
        <v>1975</v>
      </c>
      <c r="G1236" s="5" t="s">
        <v>1976</v>
      </c>
      <c r="H1236" s="6">
        <f>+P1236-I1236-J1236-K1236-L1236</f>
        <v>-2</v>
      </c>
      <c r="I1236" s="6">
        <f t="shared" si="239"/>
        <v>10029700</v>
      </c>
      <c r="J1236" s="6">
        <v>1905643</v>
      </c>
      <c r="K1236" s="6">
        <v>0</v>
      </c>
      <c r="L1236" s="6">
        <v>0</v>
      </c>
      <c r="M1236" s="6">
        <f t="shared" si="247"/>
        <v>10029698</v>
      </c>
      <c r="N1236" s="6">
        <f t="shared" si="248"/>
        <v>1905643</v>
      </c>
      <c r="O1236" s="6">
        <f t="shared" si="240"/>
        <v>11935341</v>
      </c>
      <c r="P1236" s="6">
        <v>11935341</v>
      </c>
      <c r="Q1236" s="6">
        <v>0</v>
      </c>
      <c r="R1236" s="6">
        <f t="shared" si="243"/>
        <v>0</v>
      </c>
      <c r="T1236"/>
    </row>
    <row r="1237" spans="2:22" s="5" customFormat="1" x14ac:dyDescent="0.3">
      <c r="B1237" s="5" t="s">
        <v>16</v>
      </c>
      <c r="C1237" s="5" t="s">
        <v>1986</v>
      </c>
      <c r="D1237" s="5" t="s">
        <v>1974</v>
      </c>
      <c r="E1237" s="5" t="s">
        <v>1257</v>
      </c>
      <c r="F1237" s="5" t="s">
        <v>1975</v>
      </c>
      <c r="G1237" s="5" t="s">
        <v>1976</v>
      </c>
      <c r="H1237" s="6">
        <f>+P1237-I1237-J1237-K1237-L1237</f>
        <v>0.31578947603702545</v>
      </c>
      <c r="I1237" s="6">
        <f t="shared" si="239"/>
        <v>21315073.684210524</v>
      </c>
      <c r="J1237" s="6">
        <v>4049864</v>
      </c>
      <c r="K1237" s="6">
        <v>0</v>
      </c>
      <c r="L1237" s="6">
        <v>0</v>
      </c>
      <c r="M1237" s="6">
        <f t="shared" si="247"/>
        <v>21315074</v>
      </c>
      <c r="N1237" s="6">
        <f t="shared" si="248"/>
        <v>4049864</v>
      </c>
      <c r="O1237" s="6">
        <f t="shared" si="240"/>
        <v>25364938</v>
      </c>
      <c r="P1237" s="6">
        <v>25364938</v>
      </c>
      <c r="Q1237" s="6">
        <v>0</v>
      </c>
      <c r="R1237" s="6">
        <f t="shared" si="243"/>
        <v>0</v>
      </c>
      <c r="T1237"/>
      <c r="U1237" s="7"/>
      <c r="V1237" s="7"/>
    </row>
    <row r="1238" spans="2:22" s="5" customFormat="1" x14ac:dyDescent="0.3">
      <c r="B1238" s="5" t="s">
        <v>16</v>
      </c>
      <c r="C1238" s="5" t="s">
        <v>1987</v>
      </c>
      <c r="D1238" s="5" t="s">
        <v>47</v>
      </c>
      <c r="E1238" s="5" t="s">
        <v>1271</v>
      </c>
      <c r="F1238" s="5" t="s">
        <v>73</v>
      </c>
      <c r="G1238" s="5" t="s">
        <v>405</v>
      </c>
      <c r="H1238" s="6">
        <v>-1.0526316240429878E-2</v>
      </c>
      <c r="I1238" s="6">
        <f t="shared" si="239"/>
        <v>9151252.2105263155</v>
      </c>
      <c r="J1238" s="6">
        <v>1738737.92</v>
      </c>
      <c r="K1238" s="6"/>
      <c r="L1238" s="6"/>
      <c r="M1238" s="6">
        <f>+H1238+I1238</f>
        <v>9151252.1999999993</v>
      </c>
      <c r="N1238" s="6">
        <f>+J1238</f>
        <v>1738737.92</v>
      </c>
      <c r="O1238" s="6">
        <f t="shared" si="240"/>
        <v>10889990.119999999</v>
      </c>
      <c r="P1238" s="6">
        <v>10889990.119999999</v>
      </c>
      <c r="Q1238" s="6">
        <f>+M1238</f>
        <v>9151252.1999999993</v>
      </c>
      <c r="R1238" s="6">
        <f t="shared" si="243"/>
        <v>228781.30499999999</v>
      </c>
      <c r="T1238"/>
      <c r="U1238" s="7"/>
      <c r="V1238" s="7"/>
    </row>
    <row r="1239" spans="2:22" s="5" customFormat="1" x14ac:dyDescent="0.3">
      <c r="B1239" s="5" t="s">
        <v>16</v>
      </c>
      <c r="C1239" s="5" t="s">
        <v>1988</v>
      </c>
      <c r="D1239" s="5" t="s">
        <v>1989</v>
      </c>
      <c r="E1239" s="5" t="s">
        <v>801</v>
      </c>
      <c r="F1239" s="5" t="s">
        <v>1990</v>
      </c>
      <c r="G1239" s="5" t="s">
        <v>1991</v>
      </c>
      <c r="H1239" s="6">
        <v>0</v>
      </c>
      <c r="I1239" s="6">
        <f t="shared" si="239"/>
        <v>94486.999999999985</v>
      </c>
      <c r="J1239" s="6">
        <v>17952.53</v>
      </c>
      <c r="K1239" s="6">
        <v>0</v>
      </c>
      <c r="L1239" s="6">
        <v>0</v>
      </c>
      <c r="M1239" s="6">
        <f>+H1239+I1239+K1239</f>
        <v>94486.999999999985</v>
      </c>
      <c r="N1239" s="6">
        <f>+J1239+L1239</f>
        <v>17952.53</v>
      </c>
      <c r="O1239" s="6">
        <f t="shared" si="240"/>
        <v>112439.52999999998</v>
      </c>
      <c r="P1239" s="6">
        <v>112439.53</v>
      </c>
      <c r="Q1239" s="6">
        <v>0</v>
      </c>
      <c r="R1239" s="6">
        <f t="shared" si="243"/>
        <v>0</v>
      </c>
      <c r="S1239"/>
      <c r="T1239"/>
      <c r="U1239" s="7"/>
      <c r="V1239" s="7"/>
    </row>
    <row r="1240" spans="2:22" s="5" customFormat="1" x14ac:dyDescent="0.3">
      <c r="B1240" s="5" t="s">
        <v>16</v>
      </c>
      <c r="C1240" s="5" t="s">
        <v>1992</v>
      </c>
      <c r="D1240" s="5" t="s">
        <v>1989</v>
      </c>
      <c r="E1240" s="5" t="s">
        <v>204</v>
      </c>
      <c r="F1240" s="5" t="s">
        <v>1990</v>
      </c>
      <c r="G1240" s="5" t="s">
        <v>1991</v>
      </c>
      <c r="H1240" s="6">
        <v>0</v>
      </c>
      <c r="I1240" s="6">
        <f t="shared" si="239"/>
        <v>90432</v>
      </c>
      <c r="J1240" s="6">
        <v>17182.080000000002</v>
      </c>
      <c r="K1240" s="6">
        <v>0</v>
      </c>
      <c r="L1240" s="6">
        <v>0</v>
      </c>
      <c r="M1240" s="6">
        <f>+H1240+I1240+K1240</f>
        <v>90432</v>
      </c>
      <c r="N1240" s="6">
        <f>+J1240+L1240</f>
        <v>17182.080000000002</v>
      </c>
      <c r="O1240" s="6">
        <f t="shared" si="240"/>
        <v>107614.08</v>
      </c>
      <c r="P1240" s="6">
        <v>107614.08</v>
      </c>
      <c r="Q1240" s="6">
        <v>0</v>
      </c>
      <c r="R1240" s="6">
        <f t="shared" si="243"/>
        <v>0</v>
      </c>
      <c r="S1240"/>
      <c r="T1240"/>
      <c r="U1240"/>
      <c r="V1240"/>
    </row>
    <row r="1241" spans="2:22" s="5" customFormat="1" x14ac:dyDescent="0.3">
      <c r="B1241" s="5" t="s">
        <v>16</v>
      </c>
      <c r="C1241" s="5" t="s">
        <v>1993</v>
      </c>
      <c r="D1241" s="5" t="s">
        <v>1989</v>
      </c>
      <c r="E1241" s="5" t="s">
        <v>671</v>
      </c>
      <c r="F1241" s="5" t="s">
        <v>1990</v>
      </c>
      <c r="G1241" s="5" t="s">
        <v>1991</v>
      </c>
      <c r="H1241" s="6">
        <v>0</v>
      </c>
      <c r="I1241" s="6">
        <f t="shared" si="239"/>
        <v>103910.00000000001</v>
      </c>
      <c r="J1241" s="6">
        <v>19742.900000000001</v>
      </c>
      <c r="K1241" s="6"/>
      <c r="L1241" s="6"/>
      <c r="M1241" s="6">
        <f>+H1241+I1241</f>
        <v>103910.00000000001</v>
      </c>
      <c r="N1241" s="6">
        <f>+J1241</f>
        <v>19742.900000000001</v>
      </c>
      <c r="O1241" s="6">
        <f t="shared" si="240"/>
        <v>123652.90000000002</v>
      </c>
      <c r="P1241" s="6">
        <v>123652.9</v>
      </c>
      <c r="Q1241" s="6"/>
      <c r="R1241" s="6">
        <f t="shared" si="243"/>
        <v>0</v>
      </c>
      <c r="S1241" s="15"/>
      <c r="T1241"/>
      <c r="U1241"/>
      <c r="V1241"/>
    </row>
    <row r="1242" spans="2:22" s="5" customFormat="1" x14ac:dyDescent="0.3">
      <c r="B1242" s="5" t="s">
        <v>16</v>
      </c>
      <c r="C1242" s="5" t="s">
        <v>1994</v>
      </c>
      <c r="D1242" s="5" t="s">
        <v>1989</v>
      </c>
      <c r="E1242" s="5" t="s">
        <v>1550</v>
      </c>
      <c r="F1242" s="5" t="s">
        <v>1990</v>
      </c>
      <c r="G1242" s="5" t="s">
        <v>1991</v>
      </c>
      <c r="H1242" s="6">
        <v>0</v>
      </c>
      <c r="I1242" s="6">
        <f t="shared" si="239"/>
        <v>58313</v>
      </c>
      <c r="J1242" s="6">
        <v>11079.47</v>
      </c>
      <c r="K1242" s="6"/>
      <c r="L1242" s="6"/>
      <c r="M1242" s="6">
        <f>+H1242+I1242</f>
        <v>58313</v>
      </c>
      <c r="N1242" s="6">
        <f>+J1242</f>
        <v>11079.47</v>
      </c>
      <c r="O1242" s="6">
        <f t="shared" si="240"/>
        <v>69392.47</v>
      </c>
      <c r="P1242" s="6">
        <v>69392.47</v>
      </c>
      <c r="Q1242" s="6"/>
      <c r="R1242" s="6">
        <f t="shared" si="243"/>
        <v>0</v>
      </c>
      <c r="T1242"/>
      <c r="U1242" s="7"/>
      <c r="V1242" s="7"/>
    </row>
    <row r="1243" spans="2:22" s="5" customFormat="1" x14ac:dyDescent="0.3">
      <c r="B1243" s="5" t="s">
        <v>16</v>
      </c>
      <c r="C1243" s="5" t="s">
        <v>1995</v>
      </c>
      <c r="D1243" s="5" t="s">
        <v>1989</v>
      </c>
      <c r="E1243" s="5" t="s">
        <v>938</v>
      </c>
      <c r="F1243" s="5" t="s">
        <v>1990</v>
      </c>
      <c r="G1243" s="5" t="s">
        <v>1991</v>
      </c>
      <c r="H1243" s="6">
        <v>34100.000000000058</v>
      </c>
      <c r="I1243" s="6">
        <f t="shared" si="239"/>
        <v>352097.99999999994</v>
      </c>
      <c r="J1243" s="6">
        <v>66898.62</v>
      </c>
      <c r="K1243" s="6"/>
      <c r="L1243" s="6"/>
      <c r="M1243" s="6">
        <f>+H1243+I1243</f>
        <v>386198</v>
      </c>
      <c r="N1243" s="6">
        <f>+J1243</f>
        <v>66898.62</v>
      </c>
      <c r="O1243" s="6">
        <f t="shared" si="240"/>
        <v>453096.62</v>
      </c>
      <c r="P1243" s="6">
        <v>453096.62</v>
      </c>
      <c r="Q1243" s="6"/>
      <c r="R1243" s="6">
        <f t="shared" si="243"/>
        <v>0</v>
      </c>
      <c r="T1243"/>
      <c r="U1243"/>
      <c r="V1243"/>
    </row>
    <row r="1244" spans="2:22" s="5" customFormat="1" x14ac:dyDescent="0.3">
      <c r="B1244" s="5" t="s">
        <v>16</v>
      </c>
      <c r="C1244" s="5" t="s">
        <v>1996</v>
      </c>
      <c r="D1244" s="5" t="s">
        <v>1989</v>
      </c>
      <c r="E1244" s="5" t="s">
        <v>694</v>
      </c>
      <c r="F1244" s="5" t="s">
        <v>1990</v>
      </c>
      <c r="G1244" s="5" t="s">
        <v>1991</v>
      </c>
      <c r="H1244" s="6">
        <v>0</v>
      </c>
      <c r="I1244" s="6">
        <f t="shared" si="239"/>
        <v>24960</v>
      </c>
      <c r="J1244" s="6">
        <v>4742.3999999999996</v>
      </c>
      <c r="K1244" s="6"/>
      <c r="L1244" s="6"/>
      <c r="M1244" s="6">
        <f>+H1244+I1244</f>
        <v>24960</v>
      </c>
      <c r="N1244" s="6">
        <f>+J1244</f>
        <v>4742.3999999999996</v>
      </c>
      <c r="O1244" s="6">
        <f t="shared" si="240"/>
        <v>29702.400000000001</v>
      </c>
      <c r="P1244" s="6">
        <v>29702.400000000001</v>
      </c>
      <c r="Q1244" s="6"/>
      <c r="R1244" s="6">
        <f t="shared" si="243"/>
        <v>0</v>
      </c>
      <c r="T1244"/>
    </row>
    <row r="1245" spans="2:22" s="5" customFormat="1" x14ac:dyDescent="0.3">
      <c r="B1245" s="5" t="s">
        <v>16</v>
      </c>
      <c r="C1245" s="5" t="s">
        <v>1997</v>
      </c>
      <c r="D1245" s="5" t="s">
        <v>1989</v>
      </c>
      <c r="E1245" s="5" t="s">
        <v>551</v>
      </c>
      <c r="F1245" s="5" t="s">
        <v>1990</v>
      </c>
      <c r="G1245" s="5" t="s">
        <v>1991</v>
      </c>
      <c r="H1245" s="6">
        <v>0</v>
      </c>
      <c r="I1245" s="6">
        <f t="shared" si="239"/>
        <v>47910</v>
      </c>
      <c r="J1245" s="6">
        <v>9102.9</v>
      </c>
      <c r="K1245" s="6"/>
      <c r="L1245" s="6"/>
      <c r="M1245" s="6">
        <f>+H1245+I1245</f>
        <v>47910</v>
      </c>
      <c r="N1245" s="6">
        <f>+J1245</f>
        <v>9102.9</v>
      </c>
      <c r="O1245" s="6">
        <f t="shared" si="240"/>
        <v>57012.9</v>
      </c>
      <c r="P1245" s="6">
        <v>57012.9</v>
      </c>
      <c r="Q1245" s="6"/>
      <c r="R1245" s="6">
        <f t="shared" si="243"/>
        <v>0</v>
      </c>
      <c r="T1245"/>
    </row>
    <row r="1246" spans="2:22" s="5" customFormat="1" x14ac:dyDescent="0.3">
      <c r="B1246" s="7" t="s">
        <v>16</v>
      </c>
      <c r="C1246" s="7" t="s">
        <v>1998</v>
      </c>
      <c r="D1246" s="7" t="s">
        <v>1989</v>
      </c>
      <c r="E1246" s="7" t="s">
        <v>238</v>
      </c>
      <c r="F1246" s="7" t="s">
        <v>1990</v>
      </c>
      <c r="G1246" s="7" t="s">
        <v>1991</v>
      </c>
      <c r="H1246" s="8">
        <f t="shared" ref="H1246:H1263" si="249">+P1246-I1246-J1246</f>
        <v>0</v>
      </c>
      <c r="I1246" s="8">
        <f t="shared" ref="I1246:I1309" si="250">+J1246/19*100</f>
        <v>81851</v>
      </c>
      <c r="J1246" s="8">
        <v>15551.69</v>
      </c>
      <c r="K1246" s="8">
        <v>0</v>
      </c>
      <c r="L1246" s="8">
        <v>0</v>
      </c>
      <c r="M1246" s="8">
        <f>+I1246+H1246</f>
        <v>81851</v>
      </c>
      <c r="N1246" s="8">
        <f t="shared" ref="N1246:N1264" si="251">+J1246+L1246</f>
        <v>15551.69</v>
      </c>
      <c r="O1246" s="8">
        <f t="shared" ref="O1246:O1309" si="252">+M1246+N1246</f>
        <v>97402.69</v>
      </c>
      <c r="P1246" s="8">
        <v>97402.69</v>
      </c>
      <c r="Q1246" s="8">
        <v>0</v>
      </c>
      <c r="R1246" s="8">
        <f t="shared" si="243"/>
        <v>0</v>
      </c>
      <c r="T1246"/>
    </row>
    <row r="1247" spans="2:22" s="5" customFormat="1" x14ac:dyDescent="0.3">
      <c r="B1247" s="7" t="s">
        <v>16</v>
      </c>
      <c r="C1247" s="7" t="s">
        <v>1999</v>
      </c>
      <c r="D1247" s="7" t="s">
        <v>1989</v>
      </c>
      <c r="E1247" s="7" t="s">
        <v>640</v>
      </c>
      <c r="F1247" s="7" t="s">
        <v>1990</v>
      </c>
      <c r="G1247" s="7" t="s">
        <v>1991</v>
      </c>
      <c r="H1247" s="8">
        <f t="shared" si="249"/>
        <v>0</v>
      </c>
      <c r="I1247" s="8">
        <f t="shared" si="250"/>
        <v>98464</v>
      </c>
      <c r="J1247" s="8">
        <v>18708.16</v>
      </c>
      <c r="K1247" s="8">
        <v>0</v>
      </c>
      <c r="L1247" s="8">
        <v>0</v>
      </c>
      <c r="M1247" s="8">
        <f>+I1247+H1247</f>
        <v>98464</v>
      </c>
      <c r="N1247" s="8">
        <f t="shared" si="251"/>
        <v>18708.16</v>
      </c>
      <c r="O1247" s="8">
        <f t="shared" si="252"/>
        <v>117172.16</v>
      </c>
      <c r="P1247" s="8">
        <v>117172.16</v>
      </c>
      <c r="Q1247" s="8">
        <v>0</v>
      </c>
      <c r="R1247" s="8">
        <f t="shared" si="243"/>
        <v>0</v>
      </c>
      <c r="T1247"/>
    </row>
    <row r="1248" spans="2:22" s="5" customFormat="1" x14ac:dyDescent="0.3">
      <c r="B1248" s="7" t="s">
        <v>16</v>
      </c>
      <c r="C1248" s="7" t="s">
        <v>2000</v>
      </c>
      <c r="D1248" s="7" t="s">
        <v>1989</v>
      </c>
      <c r="E1248" s="7" t="s">
        <v>431</v>
      </c>
      <c r="F1248" s="7" t="s">
        <v>1990</v>
      </c>
      <c r="G1248" s="7" t="s">
        <v>1991</v>
      </c>
      <c r="H1248" s="8">
        <f t="shared" si="249"/>
        <v>0</v>
      </c>
      <c r="I1248" s="8">
        <f t="shared" si="250"/>
        <v>162801</v>
      </c>
      <c r="J1248" s="8">
        <v>30932.19</v>
      </c>
      <c r="K1248" s="8">
        <v>0</v>
      </c>
      <c r="L1248" s="8">
        <v>0</v>
      </c>
      <c r="M1248" s="8">
        <f>+I1248+H1248</f>
        <v>162801</v>
      </c>
      <c r="N1248" s="8">
        <f t="shared" si="251"/>
        <v>30932.19</v>
      </c>
      <c r="O1248" s="8">
        <f t="shared" si="252"/>
        <v>193733.19</v>
      </c>
      <c r="P1248" s="8">
        <v>193733.19</v>
      </c>
      <c r="Q1248" s="8">
        <v>0</v>
      </c>
      <c r="R1248" s="8">
        <f t="shared" si="243"/>
        <v>0</v>
      </c>
      <c r="T1248"/>
    </row>
    <row r="1249" spans="2:20" s="5" customFormat="1" x14ac:dyDescent="0.3">
      <c r="B1249" s="7" t="s">
        <v>16</v>
      </c>
      <c r="C1249" s="7" t="s">
        <v>2001</v>
      </c>
      <c r="D1249" s="7" t="s">
        <v>1989</v>
      </c>
      <c r="E1249" s="7" t="s">
        <v>980</v>
      </c>
      <c r="F1249" s="7" t="s">
        <v>1990</v>
      </c>
      <c r="G1249" s="7" t="s">
        <v>1991</v>
      </c>
      <c r="H1249" s="8">
        <f t="shared" si="249"/>
        <v>0</v>
      </c>
      <c r="I1249" s="8">
        <f t="shared" si="250"/>
        <v>130310.99999999999</v>
      </c>
      <c r="J1249" s="8">
        <v>24759.09</v>
      </c>
      <c r="K1249" s="8">
        <v>0</v>
      </c>
      <c r="L1249" s="8">
        <v>0</v>
      </c>
      <c r="M1249" s="8">
        <f>+I1249+H1249</f>
        <v>130310.99999999999</v>
      </c>
      <c r="N1249" s="8">
        <f t="shared" si="251"/>
        <v>24759.09</v>
      </c>
      <c r="O1249" s="8">
        <f t="shared" si="252"/>
        <v>155070.09</v>
      </c>
      <c r="P1249" s="8">
        <v>155070.09</v>
      </c>
      <c r="Q1249" s="8">
        <v>0</v>
      </c>
      <c r="R1249" s="8">
        <f t="shared" si="243"/>
        <v>0</v>
      </c>
      <c r="T1249"/>
    </row>
    <row r="1250" spans="2:20" s="5" customFormat="1" x14ac:dyDescent="0.3">
      <c r="B1250" s="5" t="s">
        <v>16</v>
      </c>
      <c r="C1250" s="5" t="s">
        <v>2002</v>
      </c>
      <c r="D1250" s="5" t="s">
        <v>1989</v>
      </c>
      <c r="E1250" s="5" t="s">
        <v>520</v>
      </c>
      <c r="F1250" s="5" t="s">
        <v>1990</v>
      </c>
      <c r="G1250" s="5" t="s">
        <v>1991</v>
      </c>
      <c r="H1250" s="6">
        <f t="shared" si="249"/>
        <v>0</v>
      </c>
      <c r="I1250" s="6">
        <f t="shared" si="250"/>
        <v>268715</v>
      </c>
      <c r="J1250" s="6">
        <v>51055.85</v>
      </c>
      <c r="K1250" s="6">
        <v>0</v>
      </c>
      <c r="L1250" s="6">
        <v>0</v>
      </c>
      <c r="M1250" s="6">
        <f t="shared" ref="M1250:M1264" si="253">+H1250+I1250+K1250</f>
        <v>268715</v>
      </c>
      <c r="N1250" s="6">
        <f t="shared" si="251"/>
        <v>51055.85</v>
      </c>
      <c r="O1250" s="6">
        <f t="shared" si="252"/>
        <v>319770.84999999998</v>
      </c>
      <c r="P1250" s="6">
        <v>319770.84999999998</v>
      </c>
      <c r="Q1250" s="6"/>
      <c r="R1250" s="6">
        <f t="shared" si="243"/>
        <v>0</v>
      </c>
      <c r="T1250"/>
    </row>
    <row r="1251" spans="2:20" s="5" customFormat="1" x14ac:dyDescent="0.3">
      <c r="B1251" s="5" t="s">
        <v>16</v>
      </c>
      <c r="C1251" s="5" t="s">
        <v>2003</v>
      </c>
      <c r="D1251" s="5" t="s">
        <v>1989</v>
      </c>
      <c r="E1251" s="5" t="s">
        <v>673</v>
      </c>
      <c r="F1251" s="5" t="s">
        <v>1990</v>
      </c>
      <c r="G1251" s="5" t="s">
        <v>1991</v>
      </c>
      <c r="H1251" s="6">
        <f t="shared" si="249"/>
        <v>0</v>
      </c>
      <c r="I1251" s="6">
        <f t="shared" si="250"/>
        <v>118576</v>
      </c>
      <c r="J1251" s="6">
        <v>22529.439999999999</v>
      </c>
      <c r="K1251" s="6">
        <v>0</v>
      </c>
      <c r="L1251" s="6">
        <v>0</v>
      </c>
      <c r="M1251" s="6">
        <f t="shared" si="253"/>
        <v>118576</v>
      </c>
      <c r="N1251" s="6">
        <f t="shared" si="251"/>
        <v>22529.439999999999</v>
      </c>
      <c r="O1251" s="6">
        <f t="shared" si="252"/>
        <v>141105.44</v>
      </c>
      <c r="P1251" s="6">
        <v>141105.44</v>
      </c>
      <c r="Q1251" s="6"/>
      <c r="R1251" s="6">
        <f t="shared" si="243"/>
        <v>0</v>
      </c>
      <c r="T1251"/>
    </row>
    <row r="1252" spans="2:20" s="5" customFormat="1" x14ac:dyDescent="0.3">
      <c r="B1252" s="5" t="s">
        <v>16</v>
      </c>
      <c r="C1252" s="5" t="s">
        <v>2004</v>
      </c>
      <c r="D1252" s="5" t="s">
        <v>1989</v>
      </c>
      <c r="E1252" s="5" t="s">
        <v>361</v>
      </c>
      <c r="F1252" s="5" t="s">
        <v>1990</v>
      </c>
      <c r="G1252" s="5" t="s">
        <v>1991</v>
      </c>
      <c r="H1252" s="6">
        <f t="shared" si="249"/>
        <v>0</v>
      </c>
      <c r="I1252" s="6">
        <f t="shared" si="250"/>
        <v>55341.999999999993</v>
      </c>
      <c r="J1252" s="6">
        <v>10514.98</v>
      </c>
      <c r="K1252" s="6">
        <v>0</v>
      </c>
      <c r="L1252" s="6">
        <v>0</v>
      </c>
      <c r="M1252" s="6">
        <f t="shared" si="253"/>
        <v>55341.999999999993</v>
      </c>
      <c r="N1252" s="6">
        <f t="shared" si="251"/>
        <v>10514.98</v>
      </c>
      <c r="O1252" s="6">
        <f t="shared" si="252"/>
        <v>65856.98</v>
      </c>
      <c r="P1252" s="6">
        <v>65856.98</v>
      </c>
      <c r="Q1252" s="6"/>
      <c r="R1252" s="6">
        <f t="shared" ref="R1252:R1315" si="254">+Q1252*2.5/100</f>
        <v>0</v>
      </c>
      <c r="T1252"/>
    </row>
    <row r="1253" spans="2:20" s="5" customFormat="1" x14ac:dyDescent="0.3">
      <c r="B1253" s="5" t="s">
        <v>16</v>
      </c>
      <c r="C1253" s="5" t="s">
        <v>2005</v>
      </c>
      <c r="D1253" s="5" t="s">
        <v>1989</v>
      </c>
      <c r="E1253" s="5" t="s">
        <v>491</v>
      </c>
      <c r="F1253" s="5" t="s">
        <v>1990</v>
      </c>
      <c r="G1253" s="5" t="s">
        <v>1991</v>
      </c>
      <c r="H1253" s="6">
        <f t="shared" si="249"/>
        <v>0</v>
      </c>
      <c r="I1253" s="6">
        <f t="shared" si="250"/>
        <v>305557</v>
      </c>
      <c r="J1253" s="6">
        <v>58055.83</v>
      </c>
      <c r="K1253" s="6">
        <v>0</v>
      </c>
      <c r="L1253" s="6">
        <v>0</v>
      </c>
      <c r="M1253" s="6">
        <f t="shared" si="253"/>
        <v>305557</v>
      </c>
      <c r="N1253" s="6">
        <f t="shared" si="251"/>
        <v>58055.83</v>
      </c>
      <c r="O1253" s="6">
        <f t="shared" si="252"/>
        <v>363612.83</v>
      </c>
      <c r="P1253" s="6">
        <v>363612.83</v>
      </c>
      <c r="Q1253" s="6">
        <v>0</v>
      </c>
      <c r="R1253" s="6">
        <f t="shared" si="254"/>
        <v>0</v>
      </c>
      <c r="T1253"/>
    </row>
    <row r="1254" spans="2:20" s="5" customFormat="1" x14ac:dyDescent="0.3">
      <c r="B1254" s="5" t="s">
        <v>16</v>
      </c>
      <c r="C1254" s="5" t="s">
        <v>2006</v>
      </c>
      <c r="D1254" s="5" t="s">
        <v>1989</v>
      </c>
      <c r="E1254" s="5" t="s">
        <v>2007</v>
      </c>
      <c r="F1254" s="5" t="s">
        <v>1990</v>
      </c>
      <c r="G1254" s="5" t="s">
        <v>1991</v>
      </c>
      <c r="H1254" s="6">
        <f t="shared" si="249"/>
        <v>34200</v>
      </c>
      <c r="I1254" s="6">
        <f t="shared" si="250"/>
        <v>22143.999999999996</v>
      </c>
      <c r="J1254" s="6">
        <v>4207.3599999999997</v>
      </c>
      <c r="K1254" s="6">
        <v>0</v>
      </c>
      <c r="L1254" s="6">
        <v>0</v>
      </c>
      <c r="M1254" s="6">
        <f t="shared" si="253"/>
        <v>56344</v>
      </c>
      <c r="N1254" s="6">
        <f t="shared" si="251"/>
        <v>4207.3599999999997</v>
      </c>
      <c r="O1254" s="6">
        <f t="shared" si="252"/>
        <v>60551.360000000001</v>
      </c>
      <c r="P1254" s="6">
        <v>60551.360000000001</v>
      </c>
      <c r="Q1254" s="6">
        <v>0</v>
      </c>
      <c r="R1254" s="6">
        <f t="shared" si="254"/>
        <v>0</v>
      </c>
      <c r="T1254"/>
    </row>
    <row r="1255" spans="2:20" s="5" customFormat="1" x14ac:dyDescent="0.3">
      <c r="B1255" s="5" t="s">
        <v>16</v>
      </c>
      <c r="C1255" s="5" t="s">
        <v>2008</v>
      </c>
      <c r="D1255" s="5" t="s">
        <v>1989</v>
      </c>
      <c r="E1255" s="5" t="s">
        <v>200</v>
      </c>
      <c r="F1255" s="5" t="s">
        <v>1990</v>
      </c>
      <c r="G1255" s="5" t="s">
        <v>1991</v>
      </c>
      <c r="H1255" s="6">
        <f t="shared" si="249"/>
        <v>0</v>
      </c>
      <c r="I1255" s="6">
        <f t="shared" si="250"/>
        <v>85719</v>
      </c>
      <c r="J1255" s="6">
        <v>16286.61</v>
      </c>
      <c r="K1255" s="6">
        <v>0</v>
      </c>
      <c r="L1255" s="6">
        <v>0</v>
      </c>
      <c r="M1255" s="6">
        <f t="shared" si="253"/>
        <v>85719</v>
      </c>
      <c r="N1255" s="6">
        <f t="shared" si="251"/>
        <v>16286.61</v>
      </c>
      <c r="O1255" s="6">
        <f t="shared" si="252"/>
        <v>102005.61</v>
      </c>
      <c r="P1255" s="6">
        <v>102005.61</v>
      </c>
      <c r="Q1255" s="6">
        <v>0</v>
      </c>
      <c r="R1255" s="6">
        <f t="shared" si="254"/>
        <v>0</v>
      </c>
      <c r="T1255"/>
    </row>
    <row r="1256" spans="2:20" s="5" customFormat="1" x14ac:dyDescent="0.3">
      <c r="B1256" s="5" t="s">
        <v>16</v>
      </c>
      <c r="C1256" s="5" t="s">
        <v>2009</v>
      </c>
      <c r="D1256" s="5" t="s">
        <v>1989</v>
      </c>
      <c r="E1256" s="5" t="s">
        <v>716</v>
      </c>
      <c r="F1256" s="5" t="s">
        <v>1990</v>
      </c>
      <c r="G1256" s="5" t="s">
        <v>1991</v>
      </c>
      <c r="H1256" s="6">
        <f t="shared" si="249"/>
        <v>17100.000000000011</v>
      </c>
      <c r="I1256" s="6">
        <f t="shared" si="250"/>
        <v>37941.999999999993</v>
      </c>
      <c r="J1256" s="6">
        <v>7208.98</v>
      </c>
      <c r="K1256" s="6">
        <v>0</v>
      </c>
      <c r="L1256" s="6">
        <v>0</v>
      </c>
      <c r="M1256" s="6">
        <f t="shared" si="253"/>
        <v>55042</v>
      </c>
      <c r="N1256" s="6">
        <f t="shared" si="251"/>
        <v>7208.98</v>
      </c>
      <c r="O1256" s="6">
        <f t="shared" si="252"/>
        <v>62250.979999999996</v>
      </c>
      <c r="P1256" s="6">
        <v>62250.98</v>
      </c>
      <c r="Q1256" s="6">
        <v>0</v>
      </c>
      <c r="R1256" s="6">
        <f t="shared" si="254"/>
        <v>0</v>
      </c>
      <c r="T1256"/>
    </row>
    <row r="1257" spans="2:20" s="5" customFormat="1" x14ac:dyDescent="0.3">
      <c r="B1257" s="5" t="s">
        <v>16</v>
      </c>
      <c r="C1257" s="5" t="s">
        <v>2010</v>
      </c>
      <c r="D1257" s="5" t="s">
        <v>1989</v>
      </c>
      <c r="E1257" s="5" t="s">
        <v>170</v>
      </c>
      <c r="F1257" s="5" t="s">
        <v>1990</v>
      </c>
      <c r="G1257" s="5" t="s">
        <v>1991</v>
      </c>
      <c r="H1257" s="6">
        <f t="shared" si="249"/>
        <v>0</v>
      </c>
      <c r="I1257" s="6">
        <f t="shared" si="250"/>
        <v>403922.99999999994</v>
      </c>
      <c r="J1257" s="6">
        <v>76745.37</v>
      </c>
      <c r="K1257" s="6">
        <v>0</v>
      </c>
      <c r="L1257" s="6">
        <v>0</v>
      </c>
      <c r="M1257" s="6">
        <f t="shared" si="253"/>
        <v>403922.99999999994</v>
      </c>
      <c r="N1257" s="6">
        <f t="shared" si="251"/>
        <v>76745.37</v>
      </c>
      <c r="O1257" s="6">
        <f t="shared" si="252"/>
        <v>480668.36999999994</v>
      </c>
      <c r="P1257" s="6">
        <v>480668.37</v>
      </c>
      <c r="Q1257" s="6">
        <v>0</v>
      </c>
      <c r="R1257" s="6">
        <f t="shared" si="254"/>
        <v>0</v>
      </c>
      <c r="T1257"/>
    </row>
    <row r="1258" spans="2:20" s="5" customFormat="1" x14ac:dyDescent="0.3">
      <c r="B1258" s="5" t="s">
        <v>16</v>
      </c>
      <c r="C1258" s="5" t="s">
        <v>2011</v>
      </c>
      <c r="D1258" s="5" t="s">
        <v>1989</v>
      </c>
      <c r="E1258" s="5" t="s">
        <v>1713</v>
      </c>
      <c r="F1258" s="5" t="s">
        <v>1990</v>
      </c>
      <c r="G1258" s="5" t="s">
        <v>1991</v>
      </c>
      <c r="H1258" s="6">
        <f t="shared" si="249"/>
        <v>0</v>
      </c>
      <c r="I1258" s="6">
        <f t="shared" si="250"/>
        <v>63072</v>
      </c>
      <c r="J1258" s="6">
        <v>11983.68</v>
      </c>
      <c r="K1258" s="6">
        <v>0</v>
      </c>
      <c r="L1258" s="6">
        <v>0</v>
      </c>
      <c r="M1258" s="6">
        <f t="shared" si="253"/>
        <v>63072</v>
      </c>
      <c r="N1258" s="6">
        <f t="shared" si="251"/>
        <v>11983.68</v>
      </c>
      <c r="O1258" s="6">
        <f t="shared" si="252"/>
        <v>75055.679999999993</v>
      </c>
      <c r="P1258" s="6">
        <v>75055.679999999993</v>
      </c>
      <c r="Q1258" s="6">
        <v>0</v>
      </c>
      <c r="R1258" s="6">
        <f t="shared" si="254"/>
        <v>0</v>
      </c>
      <c r="T1258"/>
    </row>
    <row r="1259" spans="2:20" s="5" customFormat="1" x14ac:dyDescent="0.3">
      <c r="B1259" s="5" t="s">
        <v>16</v>
      </c>
      <c r="C1259" s="5" t="s">
        <v>2012</v>
      </c>
      <c r="D1259" s="5" t="s">
        <v>1989</v>
      </c>
      <c r="E1259" s="5" t="s">
        <v>98</v>
      </c>
      <c r="F1259" s="5" t="s">
        <v>1990</v>
      </c>
      <c r="G1259" s="5" t="s">
        <v>1991</v>
      </c>
      <c r="H1259" s="6">
        <f t="shared" si="249"/>
        <v>0</v>
      </c>
      <c r="I1259" s="6">
        <f t="shared" si="250"/>
        <v>90256</v>
      </c>
      <c r="J1259" s="6">
        <v>17148.64</v>
      </c>
      <c r="K1259" s="6">
        <v>0</v>
      </c>
      <c r="L1259" s="6">
        <v>0</v>
      </c>
      <c r="M1259" s="6">
        <f t="shared" si="253"/>
        <v>90256</v>
      </c>
      <c r="N1259" s="6">
        <f t="shared" si="251"/>
        <v>17148.64</v>
      </c>
      <c r="O1259" s="6">
        <f t="shared" si="252"/>
        <v>107404.64</v>
      </c>
      <c r="P1259" s="6">
        <v>107404.64</v>
      </c>
      <c r="Q1259" s="6">
        <v>0</v>
      </c>
      <c r="R1259" s="6">
        <f t="shared" si="254"/>
        <v>0</v>
      </c>
      <c r="T1259"/>
    </row>
    <row r="1260" spans="2:20" s="5" customFormat="1" x14ac:dyDescent="0.3">
      <c r="B1260" s="5" t="s">
        <v>16</v>
      </c>
      <c r="C1260" s="5" t="s">
        <v>2013</v>
      </c>
      <c r="D1260" s="5" t="s">
        <v>1989</v>
      </c>
      <c r="E1260" s="5" t="s">
        <v>1726</v>
      </c>
      <c r="F1260" s="5" t="s">
        <v>1990</v>
      </c>
      <c r="G1260" s="5" t="s">
        <v>1991</v>
      </c>
      <c r="H1260" s="6">
        <f t="shared" si="249"/>
        <v>0</v>
      </c>
      <c r="I1260" s="6">
        <f t="shared" si="250"/>
        <v>92275</v>
      </c>
      <c r="J1260" s="6">
        <v>17532.25</v>
      </c>
      <c r="K1260" s="6">
        <v>0</v>
      </c>
      <c r="L1260" s="6">
        <v>0</v>
      </c>
      <c r="M1260" s="6">
        <f t="shared" si="253"/>
        <v>92275</v>
      </c>
      <c r="N1260" s="6">
        <f t="shared" si="251"/>
        <v>17532.25</v>
      </c>
      <c r="O1260" s="6">
        <f t="shared" si="252"/>
        <v>109807.25</v>
      </c>
      <c r="P1260" s="6">
        <v>109807.25</v>
      </c>
      <c r="Q1260" s="6">
        <v>0</v>
      </c>
      <c r="R1260" s="6">
        <f t="shared" si="254"/>
        <v>0</v>
      </c>
      <c r="T1260"/>
    </row>
    <row r="1261" spans="2:20" s="5" customFormat="1" x14ac:dyDescent="0.3">
      <c r="B1261" s="5" t="s">
        <v>16</v>
      </c>
      <c r="C1261" s="5" t="s">
        <v>2014</v>
      </c>
      <c r="D1261" s="5" t="s">
        <v>1989</v>
      </c>
      <c r="E1261" s="5" t="s">
        <v>52</v>
      </c>
      <c r="F1261" s="5" t="s">
        <v>1990</v>
      </c>
      <c r="G1261" s="5" t="s">
        <v>1991</v>
      </c>
      <c r="H1261" s="6">
        <f t="shared" si="249"/>
        <v>0</v>
      </c>
      <c r="I1261" s="6">
        <f t="shared" si="250"/>
        <v>44707</v>
      </c>
      <c r="J1261" s="6">
        <v>8494.33</v>
      </c>
      <c r="K1261" s="6">
        <v>0</v>
      </c>
      <c r="L1261" s="6">
        <v>0</v>
      </c>
      <c r="M1261" s="6">
        <f t="shared" si="253"/>
        <v>44707</v>
      </c>
      <c r="N1261" s="6">
        <f t="shared" si="251"/>
        <v>8494.33</v>
      </c>
      <c r="O1261" s="6">
        <f t="shared" si="252"/>
        <v>53201.33</v>
      </c>
      <c r="P1261" s="6">
        <v>53201.33</v>
      </c>
      <c r="Q1261" s="6">
        <v>0</v>
      </c>
      <c r="R1261" s="6">
        <f t="shared" si="254"/>
        <v>0</v>
      </c>
      <c r="T1261"/>
    </row>
    <row r="1262" spans="2:20" s="5" customFormat="1" x14ac:dyDescent="0.3">
      <c r="B1262" s="5" t="s">
        <v>16</v>
      </c>
      <c r="C1262" s="5" t="s">
        <v>2015</v>
      </c>
      <c r="D1262" s="5" t="s">
        <v>1989</v>
      </c>
      <c r="E1262" s="5" t="s">
        <v>276</v>
      </c>
      <c r="F1262" s="5" t="s">
        <v>1990</v>
      </c>
      <c r="G1262" s="5" t="s">
        <v>1991</v>
      </c>
      <c r="H1262" s="6">
        <f t="shared" si="249"/>
        <v>0</v>
      </c>
      <c r="I1262" s="6">
        <f t="shared" si="250"/>
        <v>105383.99999999999</v>
      </c>
      <c r="J1262" s="6">
        <v>20022.96</v>
      </c>
      <c r="K1262" s="6">
        <v>0</v>
      </c>
      <c r="L1262" s="6">
        <v>0</v>
      </c>
      <c r="M1262" s="6">
        <f t="shared" si="253"/>
        <v>105383.99999999999</v>
      </c>
      <c r="N1262" s="6">
        <f t="shared" si="251"/>
        <v>20022.96</v>
      </c>
      <c r="O1262" s="6">
        <f t="shared" si="252"/>
        <v>125406.95999999999</v>
      </c>
      <c r="P1262" s="6">
        <v>125406.96</v>
      </c>
      <c r="Q1262" s="6">
        <v>0</v>
      </c>
      <c r="R1262" s="6">
        <f t="shared" si="254"/>
        <v>0</v>
      </c>
      <c r="T1262"/>
    </row>
    <row r="1263" spans="2:20" s="5" customFormat="1" x14ac:dyDescent="0.3">
      <c r="B1263" s="5" t="s">
        <v>16</v>
      </c>
      <c r="C1263" s="5" t="s">
        <v>2016</v>
      </c>
      <c r="D1263" s="5" t="s">
        <v>55</v>
      </c>
      <c r="E1263" s="5" t="s">
        <v>1701</v>
      </c>
      <c r="F1263" s="5" t="s">
        <v>57</v>
      </c>
      <c r="G1263" s="5" t="s">
        <v>2017</v>
      </c>
      <c r="H1263" s="6">
        <f t="shared" si="249"/>
        <v>-1.4736842204001732E-2</v>
      </c>
      <c r="I1263" s="6">
        <f t="shared" si="250"/>
        <v>486228.89473684219</v>
      </c>
      <c r="J1263" s="6">
        <v>92383.49</v>
      </c>
      <c r="K1263" s="6">
        <v>0</v>
      </c>
      <c r="L1263" s="6">
        <v>0</v>
      </c>
      <c r="M1263" s="6">
        <f t="shared" si="253"/>
        <v>486228.88</v>
      </c>
      <c r="N1263" s="6">
        <f t="shared" si="251"/>
        <v>92383.49</v>
      </c>
      <c r="O1263" s="6">
        <f t="shared" si="252"/>
        <v>578612.37</v>
      </c>
      <c r="P1263" s="6">
        <v>578612.37</v>
      </c>
      <c r="Q1263" s="6">
        <v>0</v>
      </c>
      <c r="R1263" s="6">
        <f t="shared" si="254"/>
        <v>0</v>
      </c>
      <c r="T1263"/>
    </row>
    <row r="1264" spans="2:20" s="5" customFormat="1" x14ac:dyDescent="0.3">
      <c r="B1264" s="5" t="s">
        <v>16</v>
      </c>
      <c r="C1264" s="5" t="s">
        <v>2018</v>
      </c>
      <c r="D1264" s="5" t="s">
        <v>55</v>
      </c>
      <c r="E1264" s="5" t="s">
        <v>549</v>
      </c>
      <c r="F1264" s="5" t="s">
        <v>57</v>
      </c>
      <c r="G1264" s="5" t="s">
        <v>2019</v>
      </c>
      <c r="H1264" s="6">
        <v>-5.2631578990258276E-2</v>
      </c>
      <c r="I1264" s="6">
        <f t="shared" si="250"/>
        <v>826264.05263157899</v>
      </c>
      <c r="J1264" s="6">
        <v>156990.17000000001</v>
      </c>
      <c r="K1264" s="6">
        <v>0</v>
      </c>
      <c r="L1264" s="6">
        <v>0</v>
      </c>
      <c r="M1264" s="6">
        <f t="shared" si="253"/>
        <v>826264</v>
      </c>
      <c r="N1264" s="6">
        <f t="shared" si="251"/>
        <v>156990.17000000001</v>
      </c>
      <c r="O1264" s="6">
        <f t="shared" si="252"/>
        <v>983254.17</v>
      </c>
      <c r="P1264" s="6">
        <v>983254.17</v>
      </c>
      <c r="Q1264" s="6">
        <f>+P1264-O1264</f>
        <v>0</v>
      </c>
      <c r="R1264" s="6">
        <f t="shared" si="254"/>
        <v>0</v>
      </c>
      <c r="T1264"/>
    </row>
    <row r="1265" spans="2:22" s="5" customFormat="1" x14ac:dyDescent="0.3">
      <c r="B1265" s="5" t="s">
        <v>16</v>
      </c>
      <c r="C1265" s="5" t="s">
        <v>2020</v>
      </c>
      <c r="D1265" s="5" t="s">
        <v>55</v>
      </c>
      <c r="E1265" s="5" t="s">
        <v>805</v>
      </c>
      <c r="F1265" s="5" t="s">
        <v>57</v>
      </c>
      <c r="G1265" s="5" t="s">
        <v>2019</v>
      </c>
      <c r="H1265" s="6">
        <v>-3.1578947469824925E-2</v>
      </c>
      <c r="I1265" s="6">
        <f t="shared" si="250"/>
        <v>628263.63157894742</v>
      </c>
      <c r="J1265" s="6">
        <v>119370.09</v>
      </c>
      <c r="K1265" s="6"/>
      <c r="L1265" s="6"/>
      <c r="M1265" s="6">
        <f>+H1265+I1265</f>
        <v>628263.6</v>
      </c>
      <c r="N1265" s="6">
        <f>+J1265</f>
        <v>119370.09</v>
      </c>
      <c r="O1265" s="6">
        <f t="shared" si="252"/>
        <v>747633.69</v>
      </c>
      <c r="P1265" s="6">
        <v>747633.69</v>
      </c>
      <c r="Q1265" s="6"/>
      <c r="R1265" s="6">
        <f t="shared" si="254"/>
        <v>0</v>
      </c>
      <c r="T1265"/>
    </row>
    <row r="1266" spans="2:22" s="5" customFormat="1" x14ac:dyDescent="0.3">
      <c r="B1266" s="5" t="s">
        <v>16</v>
      </c>
      <c r="C1266" s="5" t="s">
        <v>2021</v>
      </c>
      <c r="E1266" s="5" t="s">
        <v>1304</v>
      </c>
      <c r="F1266" s="5" t="s">
        <v>444</v>
      </c>
      <c r="G1266" s="5" t="s">
        <v>445</v>
      </c>
      <c r="H1266" s="6">
        <f t="shared" ref="H1266:H1290" si="255">+P1266-I1266-J1266</f>
        <v>-2.6842105144169182E-2</v>
      </c>
      <c r="I1266" s="6">
        <f t="shared" si="250"/>
        <v>2314285.7368421052</v>
      </c>
      <c r="J1266" s="6">
        <v>439714.29</v>
      </c>
      <c r="K1266" s="6">
        <v>0</v>
      </c>
      <c r="L1266" s="6">
        <v>0</v>
      </c>
      <c r="M1266" s="6">
        <f t="shared" ref="M1266:M1314" si="256">+H1266+I1266+K1266</f>
        <v>2314285.71</v>
      </c>
      <c r="N1266" s="6">
        <f t="shared" ref="N1266:N1314" si="257">+J1266+L1266</f>
        <v>439714.29</v>
      </c>
      <c r="O1266" s="6">
        <f t="shared" si="252"/>
        <v>2754000</v>
      </c>
      <c r="P1266" s="6">
        <v>2754000</v>
      </c>
      <c r="Q1266" s="6">
        <f>+M1266</f>
        <v>2314285.71</v>
      </c>
      <c r="R1266" s="6">
        <f t="shared" si="254"/>
        <v>57857.142750000006</v>
      </c>
      <c r="T1266"/>
    </row>
    <row r="1267" spans="2:22" s="5" customFormat="1" x14ac:dyDescent="0.3">
      <c r="B1267" s="5" t="s">
        <v>16</v>
      </c>
      <c r="C1267" s="5" t="s">
        <v>2022</v>
      </c>
      <c r="D1267" s="5" t="s">
        <v>2023</v>
      </c>
      <c r="E1267" s="5" t="s">
        <v>630</v>
      </c>
      <c r="F1267" s="5" t="s">
        <v>223</v>
      </c>
      <c r="G1267" s="5" t="s">
        <v>224</v>
      </c>
      <c r="H1267" s="6">
        <f t="shared" si="255"/>
        <v>-1.1052631578641012</v>
      </c>
      <c r="I1267" s="6">
        <f t="shared" si="250"/>
        <v>293642.10526315786</v>
      </c>
      <c r="J1267" s="6">
        <v>55792</v>
      </c>
      <c r="K1267" s="6">
        <v>0</v>
      </c>
      <c r="L1267" s="6">
        <v>0</v>
      </c>
      <c r="M1267" s="6">
        <f t="shared" si="256"/>
        <v>293641</v>
      </c>
      <c r="N1267" s="6">
        <f t="shared" si="257"/>
        <v>55792</v>
      </c>
      <c r="O1267" s="6">
        <f t="shared" si="252"/>
        <v>349433</v>
      </c>
      <c r="P1267" s="6">
        <v>349433</v>
      </c>
      <c r="Q1267" s="6">
        <v>0</v>
      </c>
      <c r="R1267" s="6">
        <f t="shared" si="254"/>
        <v>0</v>
      </c>
      <c r="T1267"/>
    </row>
    <row r="1268" spans="2:22" s="5" customFormat="1" x14ac:dyDescent="0.3">
      <c r="B1268" s="5" t="s">
        <v>16</v>
      </c>
      <c r="C1268" s="5" t="s">
        <v>2024</v>
      </c>
      <c r="D1268" s="5" t="s">
        <v>2023</v>
      </c>
      <c r="E1268" s="5" t="s">
        <v>1063</v>
      </c>
      <c r="F1268" s="5" t="s">
        <v>223</v>
      </c>
      <c r="G1268" s="5" t="s">
        <v>224</v>
      </c>
      <c r="H1268" s="6">
        <f t="shared" si="255"/>
        <v>0.4736842104466632</v>
      </c>
      <c r="I1268" s="6">
        <f t="shared" si="250"/>
        <v>679710.52631578955</v>
      </c>
      <c r="J1268" s="6">
        <v>129145</v>
      </c>
      <c r="K1268" s="6">
        <v>0</v>
      </c>
      <c r="L1268" s="6">
        <v>0</v>
      </c>
      <c r="M1268" s="6">
        <f t="shared" si="256"/>
        <v>679711</v>
      </c>
      <c r="N1268" s="6">
        <f t="shared" si="257"/>
        <v>129145</v>
      </c>
      <c r="O1268" s="6">
        <f t="shared" si="252"/>
        <v>808856</v>
      </c>
      <c r="P1268" s="6">
        <v>808856</v>
      </c>
      <c r="Q1268" s="6">
        <f t="shared" ref="Q1268:Q1274" si="258">+M1268</f>
        <v>679711</v>
      </c>
      <c r="R1268" s="6">
        <f t="shared" si="254"/>
        <v>16992.775000000001</v>
      </c>
      <c r="T1268"/>
    </row>
    <row r="1269" spans="2:22" s="5" customFormat="1" x14ac:dyDescent="0.3">
      <c r="B1269" s="5" t="s">
        <v>16</v>
      </c>
      <c r="C1269" s="5" t="s">
        <v>2025</v>
      </c>
      <c r="D1269" s="5" t="s">
        <v>2023</v>
      </c>
      <c r="E1269" s="5" t="s">
        <v>353</v>
      </c>
      <c r="F1269" s="5" t="s">
        <v>223</v>
      </c>
      <c r="G1269" s="5" t="s">
        <v>224</v>
      </c>
      <c r="H1269" s="6">
        <f t="shared" si="255"/>
        <v>2.315789473708719</v>
      </c>
      <c r="I1269" s="6">
        <f t="shared" si="250"/>
        <v>849573.68421052629</v>
      </c>
      <c r="J1269" s="6">
        <v>161419</v>
      </c>
      <c r="K1269" s="6">
        <v>0</v>
      </c>
      <c r="L1269" s="6">
        <v>0</v>
      </c>
      <c r="M1269" s="6">
        <f t="shared" si="256"/>
        <v>849576</v>
      </c>
      <c r="N1269" s="6">
        <f t="shared" si="257"/>
        <v>161419</v>
      </c>
      <c r="O1269" s="6">
        <f t="shared" si="252"/>
        <v>1010995</v>
      </c>
      <c r="P1269" s="6">
        <v>1010995</v>
      </c>
      <c r="Q1269" s="6">
        <f t="shared" si="258"/>
        <v>849576</v>
      </c>
      <c r="R1269" s="6">
        <f t="shared" si="254"/>
        <v>21239.4</v>
      </c>
      <c r="T1269"/>
      <c r="U1269"/>
      <c r="V1269"/>
    </row>
    <row r="1270" spans="2:22" s="5" customFormat="1" x14ac:dyDescent="0.3">
      <c r="B1270" s="5" t="s">
        <v>16</v>
      </c>
      <c r="C1270" s="5" t="s">
        <v>2026</v>
      </c>
      <c r="D1270" s="5" t="s">
        <v>2023</v>
      </c>
      <c r="E1270" s="5" t="s">
        <v>111</v>
      </c>
      <c r="F1270" s="5" t="s">
        <v>223</v>
      </c>
      <c r="G1270" s="5" t="s">
        <v>224</v>
      </c>
      <c r="H1270" s="6">
        <f t="shared" si="255"/>
        <v>1.7368421051651239</v>
      </c>
      <c r="I1270" s="6">
        <f t="shared" si="250"/>
        <v>10958405.263157895</v>
      </c>
      <c r="J1270" s="6">
        <v>2082097</v>
      </c>
      <c r="K1270" s="6">
        <v>0</v>
      </c>
      <c r="L1270" s="6">
        <v>0</v>
      </c>
      <c r="M1270" s="6">
        <f t="shared" si="256"/>
        <v>10958407</v>
      </c>
      <c r="N1270" s="6">
        <f t="shared" si="257"/>
        <v>2082097</v>
      </c>
      <c r="O1270" s="6">
        <f t="shared" si="252"/>
        <v>13040504</v>
      </c>
      <c r="P1270" s="6">
        <v>13040504</v>
      </c>
      <c r="Q1270" s="6">
        <f t="shared" si="258"/>
        <v>10958407</v>
      </c>
      <c r="R1270" s="6">
        <f t="shared" si="254"/>
        <v>273960.17499999999</v>
      </c>
      <c r="T1270"/>
      <c r="U1270"/>
      <c r="V1270"/>
    </row>
    <row r="1271" spans="2:22" s="5" customFormat="1" x14ac:dyDescent="0.3">
      <c r="B1271" s="5" t="s">
        <v>16</v>
      </c>
      <c r="C1271" s="5" t="s">
        <v>2027</v>
      </c>
      <c r="D1271" s="5" t="s">
        <v>1250</v>
      </c>
      <c r="E1271" s="5" t="s">
        <v>994</v>
      </c>
      <c r="F1271" s="5" t="s">
        <v>223</v>
      </c>
      <c r="G1271" s="5" t="s">
        <v>2028</v>
      </c>
      <c r="H1271" s="6">
        <f t="shared" si="255"/>
        <v>1.3157894660253078E-2</v>
      </c>
      <c r="I1271" s="6">
        <f t="shared" si="250"/>
        <v>2010885.7368421054</v>
      </c>
      <c r="J1271" s="6">
        <v>382068.29</v>
      </c>
      <c r="K1271" s="6">
        <v>0</v>
      </c>
      <c r="L1271" s="6">
        <v>0</v>
      </c>
      <c r="M1271" s="6">
        <f t="shared" si="256"/>
        <v>2010885.75</v>
      </c>
      <c r="N1271" s="6">
        <f t="shared" si="257"/>
        <v>382068.29</v>
      </c>
      <c r="O1271" s="6">
        <f t="shared" si="252"/>
        <v>2392954.04</v>
      </c>
      <c r="P1271" s="6">
        <v>2392954.04</v>
      </c>
      <c r="Q1271" s="6">
        <f t="shared" si="258"/>
        <v>2010885.75</v>
      </c>
      <c r="R1271" s="6">
        <f t="shared" si="254"/>
        <v>50272.143750000003</v>
      </c>
      <c r="T1271"/>
      <c r="U1271" s="15"/>
      <c r="V1271" s="15"/>
    </row>
    <row r="1272" spans="2:22" s="5" customFormat="1" x14ac:dyDescent="0.3">
      <c r="B1272" s="5" t="s">
        <v>16</v>
      </c>
      <c r="C1272" s="5" t="s">
        <v>2029</v>
      </c>
      <c r="D1272" s="5" t="s">
        <v>1250</v>
      </c>
      <c r="E1272" s="5" t="s">
        <v>840</v>
      </c>
      <c r="F1272" s="5" t="s">
        <v>223</v>
      </c>
      <c r="G1272" s="5" t="s">
        <v>2028</v>
      </c>
      <c r="H1272" s="6">
        <f t="shared" si="255"/>
        <v>4168922.4</v>
      </c>
      <c r="I1272" s="6">
        <f t="shared" si="250"/>
        <v>0</v>
      </c>
      <c r="J1272" s="6">
        <v>0</v>
      </c>
      <c r="K1272" s="6">
        <v>0</v>
      </c>
      <c r="L1272" s="6">
        <v>0</v>
      </c>
      <c r="M1272" s="6">
        <f t="shared" si="256"/>
        <v>4168922.4</v>
      </c>
      <c r="N1272" s="6">
        <f t="shared" si="257"/>
        <v>0</v>
      </c>
      <c r="O1272" s="6">
        <f t="shared" si="252"/>
        <v>4168922.4</v>
      </c>
      <c r="P1272" s="6">
        <v>4168922.4</v>
      </c>
      <c r="Q1272" s="6">
        <f t="shared" si="258"/>
        <v>4168922.4</v>
      </c>
      <c r="R1272" s="6">
        <f t="shared" si="254"/>
        <v>104223.06</v>
      </c>
      <c r="T1272"/>
      <c r="U1272" s="15"/>
      <c r="V1272" s="15"/>
    </row>
    <row r="1273" spans="2:22" s="5" customFormat="1" x14ac:dyDescent="0.3">
      <c r="B1273" s="5" t="s">
        <v>16</v>
      </c>
      <c r="C1273" s="5" t="s">
        <v>2030</v>
      </c>
      <c r="D1273" s="5" t="s">
        <v>1250</v>
      </c>
      <c r="E1273" s="5" t="s">
        <v>994</v>
      </c>
      <c r="F1273" s="5" t="s">
        <v>223</v>
      </c>
      <c r="G1273" s="5" t="s">
        <v>2028</v>
      </c>
      <c r="H1273" s="6">
        <f t="shared" si="255"/>
        <v>3.6842107074335217E-3</v>
      </c>
      <c r="I1273" s="6">
        <f t="shared" si="250"/>
        <v>4882658.5263157897</v>
      </c>
      <c r="J1273" s="6">
        <v>927705.12</v>
      </c>
      <c r="K1273" s="6">
        <v>0</v>
      </c>
      <c r="L1273" s="6">
        <v>0</v>
      </c>
      <c r="M1273" s="6">
        <f t="shared" si="256"/>
        <v>4882658.53</v>
      </c>
      <c r="N1273" s="6">
        <f t="shared" si="257"/>
        <v>927705.12</v>
      </c>
      <c r="O1273" s="6">
        <f t="shared" si="252"/>
        <v>5810363.6500000004</v>
      </c>
      <c r="P1273" s="6">
        <v>5810363.6500000004</v>
      </c>
      <c r="Q1273" s="6">
        <f t="shared" si="258"/>
        <v>4882658.53</v>
      </c>
      <c r="R1273" s="6">
        <f t="shared" si="254"/>
        <v>122066.46325000002</v>
      </c>
      <c r="T1273"/>
      <c r="U1273"/>
      <c r="V1273"/>
    </row>
    <row r="1274" spans="2:22" s="5" customFormat="1" x14ac:dyDescent="0.3">
      <c r="B1274" s="5" t="s">
        <v>16</v>
      </c>
      <c r="C1274" s="5" t="s">
        <v>2031</v>
      </c>
      <c r="D1274" s="5" t="s">
        <v>1250</v>
      </c>
      <c r="E1274" s="5" t="s">
        <v>840</v>
      </c>
      <c r="F1274" s="5" t="s">
        <v>223</v>
      </c>
      <c r="G1274" s="5" t="s">
        <v>2028</v>
      </c>
      <c r="H1274" s="6">
        <f t="shared" si="255"/>
        <v>2.0000000018626451E-2</v>
      </c>
      <c r="I1274" s="6">
        <f t="shared" si="250"/>
        <v>14286203</v>
      </c>
      <c r="J1274" s="6">
        <v>2714378.57</v>
      </c>
      <c r="K1274" s="6">
        <v>0</v>
      </c>
      <c r="L1274" s="6">
        <v>0</v>
      </c>
      <c r="M1274" s="6">
        <f t="shared" si="256"/>
        <v>14286203.02</v>
      </c>
      <c r="N1274" s="6">
        <f t="shared" si="257"/>
        <v>2714378.57</v>
      </c>
      <c r="O1274" s="6">
        <f t="shared" si="252"/>
        <v>17000581.59</v>
      </c>
      <c r="P1274" s="6">
        <v>17000581.59</v>
      </c>
      <c r="Q1274" s="6">
        <f t="shared" si="258"/>
        <v>14286203.02</v>
      </c>
      <c r="R1274" s="6">
        <f t="shared" si="254"/>
        <v>357155.07549999998</v>
      </c>
      <c r="T1274"/>
    </row>
    <row r="1275" spans="2:22" s="5" customFormat="1" x14ac:dyDescent="0.3">
      <c r="B1275" s="5" t="s">
        <v>16</v>
      </c>
      <c r="C1275" s="5" t="s">
        <v>2032</v>
      </c>
      <c r="D1275" s="5" t="s">
        <v>1250</v>
      </c>
      <c r="E1275" s="5" t="s">
        <v>170</v>
      </c>
      <c r="F1275" s="5" t="s">
        <v>223</v>
      </c>
      <c r="G1275" s="5" t="s">
        <v>2028</v>
      </c>
      <c r="H1275" s="6">
        <f t="shared" si="255"/>
        <v>1.9473684020340443E-2</v>
      </c>
      <c r="I1275" s="6">
        <f t="shared" si="250"/>
        <v>14904900.210526315</v>
      </c>
      <c r="J1275" s="6">
        <v>2831931.04</v>
      </c>
      <c r="K1275" s="6">
        <v>0</v>
      </c>
      <c r="L1275" s="6">
        <v>0</v>
      </c>
      <c r="M1275" s="6">
        <f t="shared" si="256"/>
        <v>14904900.23</v>
      </c>
      <c r="N1275" s="6">
        <f t="shared" si="257"/>
        <v>2831931.04</v>
      </c>
      <c r="O1275" s="6">
        <f t="shared" si="252"/>
        <v>17736831.27</v>
      </c>
      <c r="P1275" s="6">
        <v>17736831.27</v>
      </c>
      <c r="Q1275" s="6">
        <v>0</v>
      </c>
      <c r="R1275" s="6">
        <f t="shared" si="254"/>
        <v>0</v>
      </c>
      <c r="T1275"/>
    </row>
    <row r="1276" spans="2:22" s="5" customFormat="1" x14ac:dyDescent="0.3">
      <c r="B1276" s="5" t="s">
        <v>16</v>
      </c>
      <c r="C1276" s="5" t="s">
        <v>2033</v>
      </c>
      <c r="D1276" s="5" t="s">
        <v>1250</v>
      </c>
      <c r="E1276" s="5" t="s">
        <v>397</v>
      </c>
      <c r="F1276" s="5" t="s">
        <v>223</v>
      </c>
      <c r="G1276" s="5" t="s">
        <v>2028</v>
      </c>
      <c r="H1276" s="6">
        <f t="shared" si="255"/>
        <v>1.9473684020340443E-2</v>
      </c>
      <c r="I1276" s="6">
        <f t="shared" si="250"/>
        <v>9329161.2105263155</v>
      </c>
      <c r="J1276" s="6">
        <v>1772540.63</v>
      </c>
      <c r="K1276" s="6">
        <v>0</v>
      </c>
      <c r="L1276" s="6">
        <v>0</v>
      </c>
      <c r="M1276" s="6">
        <f t="shared" si="256"/>
        <v>9329161.2300000004</v>
      </c>
      <c r="N1276" s="6">
        <f t="shared" si="257"/>
        <v>1772540.63</v>
      </c>
      <c r="O1276" s="6">
        <f t="shared" si="252"/>
        <v>11101701.859999999</v>
      </c>
      <c r="P1276" s="6">
        <v>11101701.859999999</v>
      </c>
      <c r="Q1276" s="6">
        <v>0</v>
      </c>
      <c r="R1276" s="6">
        <f t="shared" si="254"/>
        <v>0</v>
      </c>
      <c r="T1276"/>
    </row>
    <row r="1277" spans="2:22" s="5" customFormat="1" x14ac:dyDescent="0.3">
      <c r="B1277" s="5" t="s">
        <v>16</v>
      </c>
      <c r="C1277" s="5" t="s">
        <v>2034</v>
      </c>
      <c r="D1277" s="5" t="s">
        <v>1250</v>
      </c>
      <c r="E1277" s="5" t="s">
        <v>133</v>
      </c>
      <c r="F1277" s="5" t="s">
        <v>223</v>
      </c>
      <c r="G1277" s="5" t="s">
        <v>2028</v>
      </c>
      <c r="H1277" s="6">
        <f t="shared" si="255"/>
        <v>6.8421049509197474E-3</v>
      </c>
      <c r="I1277" s="6">
        <f t="shared" si="250"/>
        <v>8482919.2631578948</v>
      </c>
      <c r="J1277" s="6">
        <v>1611754.66</v>
      </c>
      <c r="K1277" s="6">
        <v>0</v>
      </c>
      <c r="L1277" s="6">
        <v>0</v>
      </c>
      <c r="M1277" s="6">
        <f t="shared" si="256"/>
        <v>8482919.2699999996</v>
      </c>
      <c r="N1277" s="6">
        <f t="shared" si="257"/>
        <v>1611754.66</v>
      </c>
      <c r="O1277" s="6">
        <f t="shared" si="252"/>
        <v>10094673.93</v>
      </c>
      <c r="P1277" s="6">
        <v>10094673.93</v>
      </c>
      <c r="Q1277" s="6">
        <v>0</v>
      </c>
      <c r="R1277" s="6">
        <f t="shared" si="254"/>
        <v>0</v>
      </c>
      <c r="T1277"/>
    </row>
    <row r="1278" spans="2:22" s="5" customFormat="1" x14ac:dyDescent="0.3">
      <c r="B1278" s="5" t="s">
        <v>16</v>
      </c>
      <c r="C1278" s="5" t="s">
        <v>2035</v>
      </c>
      <c r="D1278" s="5" t="s">
        <v>1250</v>
      </c>
      <c r="E1278" s="5" t="s">
        <v>30</v>
      </c>
      <c r="F1278" s="5" t="s">
        <v>223</v>
      </c>
      <c r="G1278" s="5" t="s">
        <v>2028</v>
      </c>
      <c r="H1278" s="6">
        <f t="shared" si="255"/>
        <v>-1.4736842073034495E-2</v>
      </c>
      <c r="I1278" s="6">
        <f t="shared" si="250"/>
        <v>1353377.894736842</v>
      </c>
      <c r="J1278" s="6">
        <v>257141.8</v>
      </c>
      <c r="K1278" s="6">
        <v>0</v>
      </c>
      <c r="L1278" s="6">
        <v>0</v>
      </c>
      <c r="M1278" s="6">
        <f t="shared" si="256"/>
        <v>1353377.88</v>
      </c>
      <c r="N1278" s="6">
        <f t="shared" si="257"/>
        <v>257141.8</v>
      </c>
      <c r="O1278" s="6">
        <f t="shared" si="252"/>
        <v>1610519.68</v>
      </c>
      <c r="P1278" s="6">
        <v>1610519.68</v>
      </c>
      <c r="Q1278" s="6">
        <f>+M1278</f>
        <v>1353377.88</v>
      </c>
      <c r="R1278" s="6">
        <f t="shared" si="254"/>
        <v>33834.447</v>
      </c>
      <c r="T1278"/>
    </row>
    <row r="1279" spans="2:22" s="5" customFormat="1" x14ac:dyDescent="0.3">
      <c r="B1279" s="5" t="s">
        <v>16</v>
      </c>
      <c r="C1279" s="5" t="s">
        <v>2036</v>
      </c>
      <c r="D1279" s="5" t="s">
        <v>1250</v>
      </c>
      <c r="E1279" s="5" t="s">
        <v>448</v>
      </c>
      <c r="F1279" s="5" t="s">
        <v>223</v>
      </c>
      <c r="G1279" s="5" t="s">
        <v>2028</v>
      </c>
      <c r="H1279" s="6">
        <f t="shared" si="255"/>
        <v>2.4736842198763043E-2</v>
      </c>
      <c r="I1279" s="6">
        <f t="shared" si="250"/>
        <v>1804091.1052631577</v>
      </c>
      <c r="J1279" s="6">
        <v>342777.31</v>
      </c>
      <c r="K1279" s="6">
        <v>0</v>
      </c>
      <c r="L1279" s="6">
        <v>0</v>
      </c>
      <c r="M1279" s="6">
        <f t="shared" si="256"/>
        <v>1804091.13</v>
      </c>
      <c r="N1279" s="6">
        <f t="shared" si="257"/>
        <v>342777.31</v>
      </c>
      <c r="O1279" s="6">
        <f t="shared" si="252"/>
        <v>2146868.44</v>
      </c>
      <c r="P1279" s="6">
        <v>2146868.44</v>
      </c>
      <c r="Q1279" s="6">
        <f>+M1279</f>
        <v>1804091.13</v>
      </c>
      <c r="R1279" s="6">
        <f t="shared" si="254"/>
        <v>45102.278249999996</v>
      </c>
      <c r="T1279"/>
    </row>
    <row r="1280" spans="2:22" s="5" customFormat="1" x14ac:dyDescent="0.3">
      <c r="B1280" s="5" t="s">
        <v>16</v>
      </c>
      <c r="C1280" s="5" t="s">
        <v>2037</v>
      </c>
      <c r="D1280" s="5" t="s">
        <v>1250</v>
      </c>
      <c r="E1280" s="5" t="s">
        <v>597</v>
      </c>
      <c r="F1280" s="5" t="s">
        <v>223</v>
      </c>
      <c r="G1280" s="5" t="s">
        <v>2028</v>
      </c>
      <c r="H1280" s="6">
        <f t="shared" si="255"/>
        <v>2.2105263313278556E-2</v>
      </c>
      <c r="I1280" s="6">
        <f t="shared" si="250"/>
        <v>2610126.1578947366</v>
      </c>
      <c r="J1280" s="6">
        <v>495923.97</v>
      </c>
      <c r="K1280" s="6">
        <v>0</v>
      </c>
      <c r="L1280" s="6">
        <v>0</v>
      </c>
      <c r="M1280" s="6">
        <f t="shared" si="256"/>
        <v>2610126.1799999997</v>
      </c>
      <c r="N1280" s="6">
        <f t="shared" si="257"/>
        <v>495923.97</v>
      </c>
      <c r="O1280" s="6">
        <f t="shared" si="252"/>
        <v>3106050.1499999994</v>
      </c>
      <c r="P1280" s="6">
        <v>3106050.15</v>
      </c>
      <c r="Q1280" s="6">
        <f>+M1280</f>
        <v>2610126.1799999997</v>
      </c>
      <c r="R1280" s="6">
        <f t="shared" si="254"/>
        <v>65253.15449999999</v>
      </c>
      <c r="T1280"/>
    </row>
    <row r="1281" spans="2:20" s="5" customFormat="1" x14ac:dyDescent="0.3">
      <c r="B1281" s="5" t="s">
        <v>16</v>
      </c>
      <c r="C1281" s="5" t="s">
        <v>2038</v>
      </c>
      <c r="D1281" s="5" t="s">
        <v>1250</v>
      </c>
      <c r="E1281" s="5" t="s">
        <v>869</v>
      </c>
      <c r="F1281" s="5" t="s">
        <v>223</v>
      </c>
      <c r="G1281" s="5" t="s">
        <v>2028</v>
      </c>
      <c r="H1281" s="6">
        <f t="shared" si="255"/>
        <v>1.5789468307048082E-3</v>
      </c>
      <c r="I1281" s="6">
        <f t="shared" si="250"/>
        <v>5521100.3684210535</v>
      </c>
      <c r="J1281" s="6">
        <v>1049009.07</v>
      </c>
      <c r="K1281" s="6">
        <v>0</v>
      </c>
      <c r="L1281" s="6">
        <v>0</v>
      </c>
      <c r="M1281" s="6">
        <f t="shared" si="256"/>
        <v>5521100.3700000001</v>
      </c>
      <c r="N1281" s="6">
        <f t="shared" si="257"/>
        <v>1049009.07</v>
      </c>
      <c r="O1281" s="6">
        <f t="shared" si="252"/>
        <v>6570109.4400000004</v>
      </c>
      <c r="P1281" s="6">
        <v>6570109.4400000004</v>
      </c>
      <c r="Q1281" s="6">
        <f>+M1281</f>
        <v>5521100.3700000001</v>
      </c>
      <c r="R1281" s="6">
        <f t="shared" si="254"/>
        <v>138027.50925</v>
      </c>
      <c r="T1281"/>
    </row>
    <row r="1282" spans="2:20" s="5" customFormat="1" x14ac:dyDescent="0.3">
      <c r="B1282" s="5" t="s">
        <v>16</v>
      </c>
      <c r="C1282" s="5" t="s">
        <v>2039</v>
      </c>
      <c r="D1282" s="5" t="s">
        <v>1250</v>
      </c>
      <c r="E1282" s="5" t="s">
        <v>30</v>
      </c>
      <c r="F1282" s="5" t="s">
        <v>223</v>
      </c>
      <c r="G1282" s="5" t="s">
        <v>2028</v>
      </c>
      <c r="H1282" s="6">
        <f t="shared" si="255"/>
        <v>-1.789473369717598E-2</v>
      </c>
      <c r="I1282" s="6">
        <f t="shared" si="250"/>
        <v>23911888.157894734</v>
      </c>
      <c r="J1282" s="6">
        <v>4543258.75</v>
      </c>
      <c r="K1282" s="6">
        <v>0</v>
      </c>
      <c r="L1282" s="6">
        <v>0</v>
      </c>
      <c r="M1282" s="6">
        <f t="shared" si="256"/>
        <v>23911888.140000001</v>
      </c>
      <c r="N1282" s="6">
        <f t="shared" si="257"/>
        <v>4543258.75</v>
      </c>
      <c r="O1282" s="6">
        <f t="shared" si="252"/>
        <v>28455146.890000001</v>
      </c>
      <c r="P1282" s="6">
        <v>28455146.890000001</v>
      </c>
      <c r="Q1282" s="6">
        <f>+M1282</f>
        <v>23911888.140000001</v>
      </c>
      <c r="R1282" s="6">
        <f t="shared" si="254"/>
        <v>597797.20350000006</v>
      </c>
      <c r="T1282"/>
    </row>
    <row r="1283" spans="2:20" s="5" customFormat="1" x14ac:dyDescent="0.3">
      <c r="B1283" s="5" t="s">
        <v>16</v>
      </c>
      <c r="C1283" s="5" t="s">
        <v>2040</v>
      </c>
      <c r="D1283" s="5" t="s">
        <v>1250</v>
      </c>
      <c r="E1283" s="5" t="s">
        <v>121</v>
      </c>
      <c r="F1283" s="5" t="s">
        <v>223</v>
      </c>
      <c r="G1283" s="5" t="s">
        <v>2028</v>
      </c>
      <c r="H1283" s="6">
        <f t="shared" si="255"/>
        <v>-2.3684210515057202E-2</v>
      </c>
      <c r="I1283" s="6">
        <f t="shared" si="250"/>
        <v>258293.47368421053</v>
      </c>
      <c r="J1283" s="6">
        <v>49075.76</v>
      </c>
      <c r="K1283" s="6">
        <v>0</v>
      </c>
      <c r="L1283" s="6">
        <v>0</v>
      </c>
      <c r="M1283" s="6">
        <f t="shared" si="256"/>
        <v>258293.45</v>
      </c>
      <c r="N1283" s="6">
        <f t="shared" si="257"/>
        <v>49075.76</v>
      </c>
      <c r="O1283" s="6">
        <f t="shared" si="252"/>
        <v>307369.21000000002</v>
      </c>
      <c r="P1283" s="6">
        <v>307369.21000000002</v>
      </c>
      <c r="Q1283" s="6">
        <v>0</v>
      </c>
      <c r="R1283" s="6">
        <f t="shared" si="254"/>
        <v>0</v>
      </c>
      <c r="T1283"/>
    </row>
    <row r="1284" spans="2:20" s="5" customFormat="1" x14ac:dyDescent="0.3">
      <c r="B1284" s="5" t="s">
        <v>16</v>
      </c>
      <c r="C1284" s="5" t="s">
        <v>2041</v>
      </c>
      <c r="D1284" s="5" t="s">
        <v>1250</v>
      </c>
      <c r="E1284" s="5" t="s">
        <v>413</v>
      </c>
      <c r="F1284" s="5" t="s">
        <v>223</v>
      </c>
      <c r="G1284" s="5" t="s">
        <v>2028</v>
      </c>
      <c r="H1284" s="6">
        <f t="shared" si="255"/>
        <v>8.9473682164680213E-3</v>
      </c>
      <c r="I1284" s="6">
        <f t="shared" si="250"/>
        <v>1123310.4210526317</v>
      </c>
      <c r="J1284" s="6">
        <v>213428.98</v>
      </c>
      <c r="K1284" s="6">
        <v>0</v>
      </c>
      <c r="L1284" s="6">
        <v>0</v>
      </c>
      <c r="M1284" s="6">
        <f t="shared" si="256"/>
        <v>1123310.43</v>
      </c>
      <c r="N1284" s="6">
        <f t="shared" si="257"/>
        <v>213428.98</v>
      </c>
      <c r="O1284" s="6">
        <f t="shared" si="252"/>
        <v>1336739.4099999999</v>
      </c>
      <c r="P1284" s="6">
        <v>1336739.4099999999</v>
      </c>
      <c r="Q1284" s="6">
        <f t="shared" ref="Q1284:Q1307" si="259">+M1284</f>
        <v>1123310.43</v>
      </c>
      <c r="R1284" s="6">
        <f t="shared" si="254"/>
        <v>28082.760749999998</v>
      </c>
      <c r="T1284"/>
    </row>
    <row r="1285" spans="2:20" s="5" customFormat="1" x14ac:dyDescent="0.3">
      <c r="B1285" s="5" t="s">
        <v>16</v>
      </c>
      <c r="C1285" s="5" t="s">
        <v>2042</v>
      </c>
      <c r="D1285" s="5" t="s">
        <v>1250</v>
      </c>
      <c r="E1285" s="5" t="s">
        <v>121</v>
      </c>
      <c r="F1285" s="5" t="s">
        <v>223</v>
      </c>
      <c r="G1285" s="5" t="s">
        <v>2028</v>
      </c>
      <c r="H1285" s="6">
        <f t="shared" si="255"/>
        <v>1.6842105134855956E-2</v>
      </c>
      <c r="I1285" s="6">
        <f t="shared" si="250"/>
        <v>2291694.2631578948</v>
      </c>
      <c r="J1285" s="6">
        <v>435421.91</v>
      </c>
      <c r="K1285" s="6">
        <v>0</v>
      </c>
      <c r="L1285" s="6">
        <v>0</v>
      </c>
      <c r="M1285" s="6">
        <f t="shared" si="256"/>
        <v>2291694.2799999998</v>
      </c>
      <c r="N1285" s="6">
        <f t="shared" si="257"/>
        <v>435421.91</v>
      </c>
      <c r="O1285" s="6">
        <f t="shared" si="252"/>
        <v>2727116.19</v>
      </c>
      <c r="P1285" s="6">
        <v>2727116.19</v>
      </c>
      <c r="Q1285" s="6">
        <f t="shared" si="259"/>
        <v>2291694.2799999998</v>
      </c>
      <c r="R1285" s="6">
        <f t="shared" si="254"/>
        <v>57292.356999999989</v>
      </c>
      <c r="S1285" s="7"/>
      <c r="T1285"/>
    </row>
    <row r="1286" spans="2:20" s="5" customFormat="1" x14ac:dyDescent="0.3">
      <c r="B1286" s="5" t="s">
        <v>16</v>
      </c>
      <c r="C1286" s="5" t="s">
        <v>2043</v>
      </c>
      <c r="D1286" s="5" t="s">
        <v>1250</v>
      </c>
      <c r="E1286" s="5" t="s">
        <v>544</v>
      </c>
      <c r="F1286" s="5" t="s">
        <v>223</v>
      </c>
      <c r="G1286" s="5" t="s">
        <v>2028</v>
      </c>
      <c r="H1286" s="6">
        <f t="shared" si="255"/>
        <v>6.3157903496176004E-3</v>
      </c>
      <c r="I1286" s="6">
        <f t="shared" si="250"/>
        <v>7055167.4736842103</v>
      </c>
      <c r="J1286" s="6">
        <v>1340481.82</v>
      </c>
      <c r="K1286" s="6">
        <v>0</v>
      </c>
      <c r="L1286" s="6">
        <v>0</v>
      </c>
      <c r="M1286" s="6">
        <f t="shared" si="256"/>
        <v>7055167.4800000004</v>
      </c>
      <c r="N1286" s="6">
        <f t="shared" si="257"/>
        <v>1340481.82</v>
      </c>
      <c r="O1286" s="6">
        <f t="shared" si="252"/>
        <v>8395649.3000000007</v>
      </c>
      <c r="P1286" s="6">
        <v>8395649.3000000007</v>
      </c>
      <c r="Q1286" s="6">
        <f t="shared" si="259"/>
        <v>7055167.4800000004</v>
      </c>
      <c r="R1286" s="6">
        <f t="shared" si="254"/>
        <v>176379.18700000003</v>
      </c>
      <c r="S1286" s="7"/>
      <c r="T1286"/>
    </row>
    <row r="1287" spans="2:20" s="5" customFormat="1" x14ac:dyDescent="0.3">
      <c r="B1287" s="5" t="s">
        <v>16</v>
      </c>
      <c r="C1287" s="5" t="s">
        <v>2044</v>
      </c>
      <c r="D1287" s="5" t="s">
        <v>1250</v>
      </c>
      <c r="E1287" s="5" t="s">
        <v>544</v>
      </c>
      <c r="F1287" s="5" t="s">
        <v>223</v>
      </c>
      <c r="G1287" s="5" t="s">
        <v>2028</v>
      </c>
      <c r="H1287" s="6">
        <f t="shared" si="255"/>
        <v>-2.1052623633295298E-3</v>
      </c>
      <c r="I1287" s="6">
        <f t="shared" si="250"/>
        <v>7093474.8421052629</v>
      </c>
      <c r="J1287" s="6">
        <v>1347760.22</v>
      </c>
      <c r="K1287" s="6">
        <v>0</v>
      </c>
      <c r="L1287" s="6">
        <v>0</v>
      </c>
      <c r="M1287" s="6">
        <f t="shared" si="256"/>
        <v>7093474.8400000008</v>
      </c>
      <c r="N1287" s="6">
        <f t="shared" si="257"/>
        <v>1347760.22</v>
      </c>
      <c r="O1287" s="6">
        <f t="shared" si="252"/>
        <v>8441235.0600000005</v>
      </c>
      <c r="P1287" s="6">
        <v>8441235.0600000005</v>
      </c>
      <c r="Q1287" s="6">
        <f t="shared" si="259"/>
        <v>7093474.8400000008</v>
      </c>
      <c r="R1287" s="6">
        <f t="shared" si="254"/>
        <v>177336.87100000001</v>
      </c>
      <c r="S1287" s="7"/>
      <c r="T1287"/>
    </row>
    <row r="1288" spans="2:20" s="5" customFormat="1" x14ac:dyDescent="0.3">
      <c r="B1288" s="5" t="s">
        <v>16</v>
      </c>
      <c r="C1288" s="5" t="s">
        <v>2045</v>
      </c>
      <c r="D1288" s="5" t="s">
        <v>1250</v>
      </c>
      <c r="E1288" s="5" t="s">
        <v>121</v>
      </c>
      <c r="F1288" s="5" t="s">
        <v>223</v>
      </c>
      <c r="G1288" s="5" t="s">
        <v>2028</v>
      </c>
      <c r="H1288" s="6">
        <f t="shared" si="255"/>
        <v>2.6842103805392981E-2</v>
      </c>
      <c r="I1288" s="6">
        <f t="shared" si="250"/>
        <v>16652988.263157895</v>
      </c>
      <c r="J1288" s="6">
        <v>3164067.77</v>
      </c>
      <c r="K1288" s="6">
        <v>0</v>
      </c>
      <c r="L1288" s="6">
        <v>0</v>
      </c>
      <c r="M1288" s="6">
        <f t="shared" si="256"/>
        <v>16652988.289999999</v>
      </c>
      <c r="N1288" s="6">
        <f t="shared" si="257"/>
        <v>3164067.77</v>
      </c>
      <c r="O1288" s="6">
        <f t="shared" si="252"/>
        <v>19817056.059999999</v>
      </c>
      <c r="P1288" s="6">
        <v>19817056.059999999</v>
      </c>
      <c r="Q1288" s="6">
        <f t="shared" si="259"/>
        <v>16652988.289999999</v>
      </c>
      <c r="R1288" s="6">
        <f t="shared" si="254"/>
        <v>416324.70724999992</v>
      </c>
      <c r="S1288"/>
      <c r="T1288"/>
    </row>
    <row r="1289" spans="2:20" s="5" customFormat="1" x14ac:dyDescent="0.3">
      <c r="B1289" s="5" t="s">
        <v>16</v>
      </c>
      <c r="C1289" s="5" t="s">
        <v>2046</v>
      </c>
      <c r="D1289" s="5" t="s">
        <v>1250</v>
      </c>
      <c r="E1289" s="5" t="s">
        <v>36</v>
      </c>
      <c r="F1289" s="5" t="s">
        <v>223</v>
      </c>
      <c r="G1289" s="5" t="s">
        <v>2028</v>
      </c>
      <c r="H1289" s="6">
        <f t="shared" si="255"/>
        <v>18456786.16</v>
      </c>
      <c r="I1289" s="6">
        <f t="shared" si="250"/>
        <v>0</v>
      </c>
      <c r="J1289" s="6">
        <v>0</v>
      </c>
      <c r="K1289" s="6">
        <v>0</v>
      </c>
      <c r="L1289" s="6">
        <v>0</v>
      </c>
      <c r="M1289" s="6">
        <f t="shared" si="256"/>
        <v>18456786.16</v>
      </c>
      <c r="N1289" s="6">
        <f t="shared" si="257"/>
        <v>0</v>
      </c>
      <c r="O1289" s="6">
        <f t="shared" si="252"/>
        <v>18456786.16</v>
      </c>
      <c r="P1289" s="6">
        <v>18456786.16</v>
      </c>
      <c r="Q1289" s="6">
        <f t="shared" si="259"/>
        <v>18456786.16</v>
      </c>
      <c r="R1289" s="6">
        <f t="shared" si="254"/>
        <v>461419.65399999998</v>
      </c>
      <c r="S1289"/>
      <c r="T1289"/>
    </row>
    <row r="1290" spans="2:20" s="5" customFormat="1" x14ac:dyDescent="0.3">
      <c r="B1290" s="5" t="s">
        <v>16</v>
      </c>
      <c r="C1290" s="5" t="s">
        <v>2047</v>
      </c>
      <c r="D1290" s="5" t="s">
        <v>1250</v>
      </c>
      <c r="E1290" s="5" t="s">
        <v>36</v>
      </c>
      <c r="F1290" s="5" t="s">
        <v>223</v>
      </c>
      <c r="G1290" s="5" t="s">
        <v>2028</v>
      </c>
      <c r="H1290" s="6">
        <f t="shared" si="255"/>
        <v>6.3157901167869568E-3</v>
      </c>
      <c r="I1290" s="6">
        <f t="shared" si="250"/>
        <v>108700598.47368421</v>
      </c>
      <c r="J1290" s="6">
        <v>20653113.710000001</v>
      </c>
      <c r="K1290" s="6">
        <v>0</v>
      </c>
      <c r="L1290" s="6">
        <v>0</v>
      </c>
      <c r="M1290" s="6">
        <f t="shared" si="256"/>
        <v>108700598.47999999</v>
      </c>
      <c r="N1290" s="6">
        <f t="shared" si="257"/>
        <v>20653113.710000001</v>
      </c>
      <c r="O1290" s="6">
        <f t="shared" si="252"/>
        <v>129353712.19</v>
      </c>
      <c r="P1290" s="6">
        <v>129353712.19</v>
      </c>
      <c r="Q1290" s="6">
        <f t="shared" si="259"/>
        <v>108700598.47999999</v>
      </c>
      <c r="R1290" s="6">
        <f t="shared" si="254"/>
        <v>2717514.9619999998</v>
      </c>
      <c r="S1290" s="7"/>
      <c r="T1290"/>
    </row>
    <row r="1291" spans="2:20" s="5" customFormat="1" x14ac:dyDescent="0.3">
      <c r="B1291" s="5" t="s">
        <v>16</v>
      </c>
      <c r="C1291" s="5" t="s">
        <v>2048</v>
      </c>
      <c r="D1291" s="5" t="s">
        <v>1250</v>
      </c>
      <c r="E1291" s="5" t="s">
        <v>1317</v>
      </c>
      <c r="F1291" s="5" t="s">
        <v>223</v>
      </c>
      <c r="G1291" s="5" t="s">
        <v>2028</v>
      </c>
      <c r="H1291" s="6">
        <f t="shared" ref="H1291:H1298" si="260">+P1291-I1291-J1291-K1291-L1291</f>
        <v>1760221.44</v>
      </c>
      <c r="I1291" s="6">
        <f t="shared" si="250"/>
        <v>0</v>
      </c>
      <c r="J1291" s="6">
        <v>0</v>
      </c>
      <c r="K1291" s="6">
        <v>0</v>
      </c>
      <c r="L1291" s="6">
        <v>0</v>
      </c>
      <c r="M1291" s="6">
        <f t="shared" si="256"/>
        <v>1760221.44</v>
      </c>
      <c r="N1291" s="6">
        <f t="shared" si="257"/>
        <v>0</v>
      </c>
      <c r="O1291" s="6">
        <f t="shared" si="252"/>
        <v>1760221.44</v>
      </c>
      <c r="P1291" s="6">
        <v>1760221.44</v>
      </c>
      <c r="Q1291" s="6">
        <f t="shared" si="259"/>
        <v>1760221.44</v>
      </c>
      <c r="R1291" s="6">
        <f t="shared" si="254"/>
        <v>44005.535999999993</v>
      </c>
      <c r="S1291"/>
      <c r="T1291"/>
    </row>
    <row r="1292" spans="2:20" s="5" customFormat="1" x14ac:dyDescent="0.3">
      <c r="B1292" s="5" t="s">
        <v>16</v>
      </c>
      <c r="C1292" s="5" t="s">
        <v>2049</v>
      </c>
      <c r="D1292" s="5" t="s">
        <v>1250</v>
      </c>
      <c r="E1292" s="5" t="s">
        <v>727</v>
      </c>
      <c r="F1292" s="5" t="s">
        <v>223</v>
      </c>
      <c r="G1292" s="5" t="s">
        <v>2028</v>
      </c>
      <c r="H1292" s="6">
        <f t="shared" si="260"/>
        <v>2327832</v>
      </c>
      <c r="I1292" s="6">
        <f t="shared" si="250"/>
        <v>0</v>
      </c>
      <c r="J1292" s="6">
        <v>0</v>
      </c>
      <c r="K1292" s="6">
        <v>0</v>
      </c>
      <c r="L1292" s="6">
        <v>0</v>
      </c>
      <c r="M1292" s="6">
        <f t="shared" si="256"/>
        <v>2327832</v>
      </c>
      <c r="N1292" s="6">
        <f t="shared" si="257"/>
        <v>0</v>
      </c>
      <c r="O1292" s="6">
        <f t="shared" si="252"/>
        <v>2327832</v>
      </c>
      <c r="P1292" s="6">
        <v>2327832</v>
      </c>
      <c r="Q1292" s="6">
        <f t="shared" si="259"/>
        <v>2327832</v>
      </c>
      <c r="R1292" s="6">
        <f t="shared" si="254"/>
        <v>58195.8</v>
      </c>
      <c r="T1292"/>
    </row>
    <row r="1293" spans="2:20" s="5" customFormat="1" x14ac:dyDescent="0.3">
      <c r="B1293" s="5" t="s">
        <v>16</v>
      </c>
      <c r="C1293" s="5" t="s">
        <v>2050</v>
      </c>
      <c r="D1293" s="5" t="s">
        <v>1250</v>
      </c>
      <c r="E1293" s="5" t="s">
        <v>337</v>
      </c>
      <c r="F1293" s="5" t="s">
        <v>223</v>
      </c>
      <c r="G1293" s="5" t="s">
        <v>2028</v>
      </c>
      <c r="H1293" s="6">
        <f t="shared" si="260"/>
        <v>2.5789473496843129E-2</v>
      </c>
      <c r="I1293" s="6">
        <f t="shared" si="250"/>
        <v>2328093.6842105263</v>
      </c>
      <c r="J1293" s="6">
        <v>442337.8</v>
      </c>
      <c r="K1293" s="6">
        <v>0</v>
      </c>
      <c r="L1293" s="6">
        <v>0</v>
      </c>
      <c r="M1293" s="6">
        <f t="shared" si="256"/>
        <v>2328093.71</v>
      </c>
      <c r="N1293" s="6">
        <f t="shared" si="257"/>
        <v>442337.8</v>
      </c>
      <c r="O1293" s="6">
        <f t="shared" si="252"/>
        <v>2770431.51</v>
      </c>
      <c r="P1293" s="6">
        <v>2770431.51</v>
      </c>
      <c r="Q1293" s="6">
        <f t="shared" si="259"/>
        <v>2328093.71</v>
      </c>
      <c r="R1293" s="6">
        <f t="shared" si="254"/>
        <v>58202.342750000003</v>
      </c>
      <c r="T1293"/>
    </row>
    <row r="1294" spans="2:20" s="5" customFormat="1" x14ac:dyDescent="0.3">
      <c r="B1294" s="5" t="s">
        <v>16</v>
      </c>
      <c r="C1294" s="5" t="s">
        <v>2051</v>
      </c>
      <c r="D1294" s="5" t="s">
        <v>1250</v>
      </c>
      <c r="E1294" s="5" t="s">
        <v>337</v>
      </c>
      <c r="F1294" s="5" t="s">
        <v>223</v>
      </c>
      <c r="G1294" s="5" t="s">
        <v>2028</v>
      </c>
      <c r="H1294" s="6">
        <f t="shared" si="260"/>
        <v>2604196</v>
      </c>
      <c r="I1294" s="6">
        <f t="shared" si="250"/>
        <v>0</v>
      </c>
      <c r="J1294" s="6">
        <v>0</v>
      </c>
      <c r="K1294" s="6">
        <v>0</v>
      </c>
      <c r="L1294" s="6">
        <v>0</v>
      </c>
      <c r="M1294" s="6">
        <f t="shared" si="256"/>
        <v>2604196</v>
      </c>
      <c r="N1294" s="6">
        <f t="shared" si="257"/>
        <v>0</v>
      </c>
      <c r="O1294" s="6">
        <f t="shared" si="252"/>
        <v>2604196</v>
      </c>
      <c r="P1294" s="6">
        <v>2604196</v>
      </c>
      <c r="Q1294" s="6">
        <f t="shared" si="259"/>
        <v>2604196</v>
      </c>
      <c r="R1294" s="6">
        <f t="shared" si="254"/>
        <v>65104.9</v>
      </c>
      <c r="T1294"/>
    </row>
    <row r="1295" spans="2:20" s="5" customFormat="1" x14ac:dyDescent="0.3">
      <c r="B1295" s="5" t="s">
        <v>16</v>
      </c>
      <c r="C1295" s="5" t="s">
        <v>2052</v>
      </c>
      <c r="D1295" s="5" t="s">
        <v>1250</v>
      </c>
      <c r="E1295" s="5" t="s">
        <v>1131</v>
      </c>
      <c r="F1295" s="5" t="s">
        <v>223</v>
      </c>
      <c r="G1295" s="5" t="s">
        <v>2028</v>
      </c>
      <c r="H1295" s="6">
        <f t="shared" si="260"/>
        <v>2933541.6</v>
      </c>
      <c r="I1295" s="6">
        <f t="shared" si="250"/>
        <v>0</v>
      </c>
      <c r="J1295" s="6">
        <v>0</v>
      </c>
      <c r="K1295" s="6">
        <v>0</v>
      </c>
      <c r="L1295" s="6">
        <v>0</v>
      </c>
      <c r="M1295" s="6">
        <f t="shared" si="256"/>
        <v>2933541.6</v>
      </c>
      <c r="N1295" s="6">
        <f t="shared" si="257"/>
        <v>0</v>
      </c>
      <c r="O1295" s="6">
        <f t="shared" si="252"/>
        <v>2933541.6</v>
      </c>
      <c r="P1295" s="6">
        <v>2933541.6</v>
      </c>
      <c r="Q1295" s="6">
        <f t="shared" si="259"/>
        <v>2933541.6</v>
      </c>
      <c r="R1295" s="6">
        <f t="shared" si="254"/>
        <v>73338.539999999994</v>
      </c>
      <c r="T1295"/>
    </row>
    <row r="1296" spans="2:20" s="5" customFormat="1" x14ac:dyDescent="0.3">
      <c r="B1296" s="5" t="s">
        <v>16</v>
      </c>
      <c r="C1296" s="5" t="s">
        <v>2053</v>
      </c>
      <c r="D1296" s="5" t="s">
        <v>1250</v>
      </c>
      <c r="E1296" s="5" t="s">
        <v>1131</v>
      </c>
      <c r="F1296" s="5" t="s">
        <v>223</v>
      </c>
      <c r="G1296" s="5" t="s">
        <v>2028</v>
      </c>
      <c r="H1296" s="6">
        <f t="shared" si="260"/>
        <v>-1.631578931119293E-2</v>
      </c>
      <c r="I1296" s="6">
        <f t="shared" si="250"/>
        <v>3054117.5263157892</v>
      </c>
      <c r="J1296" s="6">
        <v>580282.32999999996</v>
      </c>
      <c r="K1296" s="6">
        <v>0</v>
      </c>
      <c r="L1296" s="6">
        <v>0</v>
      </c>
      <c r="M1296" s="6">
        <f t="shared" si="256"/>
        <v>3054117.51</v>
      </c>
      <c r="N1296" s="6">
        <f t="shared" si="257"/>
        <v>580282.32999999996</v>
      </c>
      <c r="O1296" s="6">
        <f t="shared" si="252"/>
        <v>3634399.84</v>
      </c>
      <c r="P1296" s="6">
        <v>3634399.84</v>
      </c>
      <c r="Q1296" s="6">
        <f t="shared" si="259"/>
        <v>3054117.51</v>
      </c>
      <c r="R1296" s="6">
        <f t="shared" si="254"/>
        <v>76352.937749999997</v>
      </c>
      <c r="T1296"/>
    </row>
    <row r="1297" spans="2:22" s="5" customFormat="1" x14ac:dyDescent="0.3">
      <c r="B1297" s="5" t="s">
        <v>16</v>
      </c>
      <c r="C1297" s="5" t="s">
        <v>2054</v>
      </c>
      <c r="D1297" s="5" t="s">
        <v>1250</v>
      </c>
      <c r="E1297" s="5" t="s">
        <v>1131</v>
      </c>
      <c r="F1297" s="5" t="s">
        <v>223</v>
      </c>
      <c r="G1297" s="5" t="s">
        <v>2028</v>
      </c>
      <c r="H1297" s="6">
        <f t="shared" si="260"/>
        <v>2.4210526840761304E-2</v>
      </c>
      <c r="I1297" s="6">
        <f t="shared" si="250"/>
        <v>7384440.3157894732</v>
      </c>
      <c r="J1297" s="6">
        <v>1403043.66</v>
      </c>
      <c r="K1297" s="6">
        <v>0</v>
      </c>
      <c r="L1297" s="6">
        <v>0</v>
      </c>
      <c r="M1297" s="6">
        <f t="shared" si="256"/>
        <v>7384440.3399999999</v>
      </c>
      <c r="N1297" s="6">
        <f t="shared" si="257"/>
        <v>1403043.66</v>
      </c>
      <c r="O1297" s="6">
        <f t="shared" si="252"/>
        <v>8787484</v>
      </c>
      <c r="P1297" s="6">
        <v>8787484</v>
      </c>
      <c r="Q1297" s="6">
        <f t="shared" si="259"/>
        <v>7384440.3399999999</v>
      </c>
      <c r="R1297" s="6">
        <f t="shared" si="254"/>
        <v>184611.00850000003</v>
      </c>
      <c r="T1297"/>
    </row>
    <row r="1298" spans="2:22" s="5" customFormat="1" x14ac:dyDescent="0.3">
      <c r="B1298" s="5" t="s">
        <v>16</v>
      </c>
      <c r="C1298" s="5" t="s">
        <v>2055</v>
      </c>
      <c r="D1298" s="5" t="s">
        <v>1250</v>
      </c>
      <c r="E1298" s="5" t="s">
        <v>1639</v>
      </c>
      <c r="F1298" s="5" t="s">
        <v>223</v>
      </c>
      <c r="G1298" s="5" t="s">
        <v>2028</v>
      </c>
      <c r="H1298" s="6">
        <f t="shared" si="260"/>
        <v>3.1578948255628347E-3</v>
      </c>
      <c r="I1298" s="6">
        <f t="shared" si="250"/>
        <v>7603073.7368421052</v>
      </c>
      <c r="J1298" s="6">
        <v>1444584.01</v>
      </c>
      <c r="K1298" s="6">
        <v>0</v>
      </c>
      <c r="L1298" s="6">
        <v>0</v>
      </c>
      <c r="M1298" s="6">
        <f t="shared" si="256"/>
        <v>7603073.7400000002</v>
      </c>
      <c r="N1298" s="6">
        <f t="shared" si="257"/>
        <v>1444584.01</v>
      </c>
      <c r="O1298" s="6">
        <f t="shared" si="252"/>
        <v>9047657.75</v>
      </c>
      <c r="P1298" s="6">
        <v>9047657.75</v>
      </c>
      <c r="Q1298" s="6">
        <f t="shared" si="259"/>
        <v>7603073.7400000002</v>
      </c>
      <c r="R1298" s="6">
        <f t="shared" si="254"/>
        <v>190076.84350000002</v>
      </c>
      <c r="T1298"/>
    </row>
    <row r="1299" spans="2:22" s="5" customFormat="1" x14ac:dyDescent="0.3">
      <c r="B1299" s="5" t="s">
        <v>16</v>
      </c>
      <c r="C1299" s="5" t="s">
        <v>2056</v>
      </c>
      <c r="D1299" s="5" t="s">
        <v>1250</v>
      </c>
      <c r="E1299" s="5" t="s">
        <v>1328</v>
      </c>
      <c r="F1299" s="5" t="s">
        <v>223</v>
      </c>
      <c r="G1299" s="5" t="s">
        <v>2028</v>
      </c>
      <c r="H1299" s="6">
        <v>0</v>
      </c>
      <c r="I1299" s="6">
        <f t="shared" si="250"/>
        <v>688219.73684210528</v>
      </c>
      <c r="J1299" s="6">
        <v>130761.75</v>
      </c>
      <c r="K1299" s="6">
        <v>0</v>
      </c>
      <c r="L1299" s="6">
        <v>0</v>
      </c>
      <c r="M1299" s="6">
        <f t="shared" si="256"/>
        <v>688219.73684210528</v>
      </c>
      <c r="N1299" s="6">
        <f t="shared" si="257"/>
        <v>130761.75</v>
      </c>
      <c r="O1299" s="6">
        <f t="shared" si="252"/>
        <v>818981.48684210528</v>
      </c>
      <c r="P1299" s="6">
        <v>818981.49</v>
      </c>
      <c r="Q1299" s="6">
        <f t="shared" si="259"/>
        <v>688219.73684210528</v>
      </c>
      <c r="R1299" s="6">
        <f t="shared" si="254"/>
        <v>17205.49342105263</v>
      </c>
      <c r="T1299"/>
    </row>
    <row r="1300" spans="2:22" s="5" customFormat="1" x14ac:dyDescent="0.3">
      <c r="B1300" s="5" t="s">
        <v>16</v>
      </c>
      <c r="C1300" s="5" t="s">
        <v>2057</v>
      </c>
      <c r="D1300" s="5" t="s">
        <v>1250</v>
      </c>
      <c r="E1300" s="5" t="s">
        <v>102</v>
      </c>
      <c r="F1300" s="5" t="s">
        <v>223</v>
      </c>
      <c r="G1300" s="5" t="s">
        <v>2028</v>
      </c>
      <c r="H1300" s="6">
        <v>0</v>
      </c>
      <c r="I1300" s="6">
        <f t="shared" si="250"/>
        <v>735491.31578947371</v>
      </c>
      <c r="J1300" s="6">
        <v>139743.35</v>
      </c>
      <c r="K1300" s="6">
        <v>0</v>
      </c>
      <c r="L1300" s="6">
        <v>0</v>
      </c>
      <c r="M1300" s="6">
        <f t="shared" si="256"/>
        <v>735491.31578947371</v>
      </c>
      <c r="N1300" s="6">
        <f t="shared" si="257"/>
        <v>139743.35</v>
      </c>
      <c r="O1300" s="6">
        <f t="shared" si="252"/>
        <v>875234.66578947369</v>
      </c>
      <c r="P1300" s="6">
        <v>875234.68</v>
      </c>
      <c r="Q1300" s="6">
        <f t="shared" si="259"/>
        <v>735491.31578947371</v>
      </c>
      <c r="R1300" s="6">
        <f t="shared" si="254"/>
        <v>18387.282894736843</v>
      </c>
      <c r="T1300"/>
    </row>
    <row r="1301" spans="2:22" s="5" customFormat="1" x14ac:dyDescent="0.3">
      <c r="B1301" s="5" t="s">
        <v>16</v>
      </c>
      <c r="C1301" s="5" t="s">
        <v>2058</v>
      </c>
      <c r="D1301" s="5" t="s">
        <v>1250</v>
      </c>
      <c r="E1301" s="5" t="s">
        <v>890</v>
      </c>
      <c r="F1301" s="5" t="s">
        <v>223</v>
      </c>
      <c r="G1301" s="5" t="s">
        <v>2028</v>
      </c>
      <c r="H1301" s="6">
        <v>0</v>
      </c>
      <c r="I1301" s="6">
        <f t="shared" si="250"/>
        <v>779638.3684210527</v>
      </c>
      <c r="J1301" s="6">
        <v>148131.29</v>
      </c>
      <c r="K1301" s="6">
        <v>0</v>
      </c>
      <c r="L1301" s="6">
        <v>0</v>
      </c>
      <c r="M1301" s="6">
        <f t="shared" si="256"/>
        <v>779638.3684210527</v>
      </c>
      <c r="N1301" s="6">
        <f t="shared" si="257"/>
        <v>148131.29</v>
      </c>
      <c r="O1301" s="6">
        <f t="shared" si="252"/>
        <v>927769.65842105274</v>
      </c>
      <c r="P1301" s="6">
        <v>927769.67</v>
      </c>
      <c r="Q1301" s="6">
        <f t="shared" si="259"/>
        <v>779638.3684210527</v>
      </c>
      <c r="R1301" s="6">
        <f t="shared" si="254"/>
        <v>19490.959210526318</v>
      </c>
      <c r="T1301"/>
    </row>
    <row r="1302" spans="2:22" s="5" customFormat="1" x14ac:dyDescent="0.3">
      <c r="B1302" s="5" t="s">
        <v>16</v>
      </c>
      <c r="C1302" s="5" t="s">
        <v>2059</v>
      </c>
      <c r="D1302" s="5" t="s">
        <v>1250</v>
      </c>
      <c r="E1302" s="5" t="s">
        <v>1617</v>
      </c>
      <c r="F1302" s="5" t="s">
        <v>223</v>
      </c>
      <c r="G1302" s="5" t="s">
        <v>2028</v>
      </c>
      <c r="H1302" s="6">
        <v>0</v>
      </c>
      <c r="I1302" s="6">
        <f t="shared" si="250"/>
        <v>2041162.1052631577</v>
      </c>
      <c r="J1302" s="6">
        <v>387820.79999999999</v>
      </c>
      <c r="K1302" s="6">
        <v>0</v>
      </c>
      <c r="L1302" s="6">
        <v>0</v>
      </c>
      <c r="M1302" s="6">
        <f t="shared" si="256"/>
        <v>2041162.1052631577</v>
      </c>
      <c r="N1302" s="6">
        <f t="shared" si="257"/>
        <v>387820.79999999999</v>
      </c>
      <c r="O1302" s="6">
        <f t="shared" si="252"/>
        <v>2428982.9052631576</v>
      </c>
      <c r="P1302" s="6">
        <v>2428982.89</v>
      </c>
      <c r="Q1302" s="6">
        <f t="shared" si="259"/>
        <v>2041162.1052631577</v>
      </c>
      <c r="R1302" s="6">
        <f t="shared" si="254"/>
        <v>51029.052631578947</v>
      </c>
      <c r="T1302"/>
      <c r="U1302" s="7"/>
      <c r="V1302" s="7"/>
    </row>
    <row r="1303" spans="2:22" s="5" customFormat="1" x14ac:dyDescent="0.3">
      <c r="B1303" s="5" t="s">
        <v>16</v>
      </c>
      <c r="C1303" s="5" t="s">
        <v>2060</v>
      </c>
      <c r="D1303" s="5" t="s">
        <v>1250</v>
      </c>
      <c r="E1303" s="5" t="s">
        <v>486</v>
      </c>
      <c r="F1303" s="5" t="s">
        <v>223</v>
      </c>
      <c r="G1303" s="5" t="s">
        <v>2028</v>
      </c>
      <c r="H1303" s="6">
        <v>0</v>
      </c>
      <c r="I1303" s="6">
        <f t="shared" si="250"/>
        <v>2650935.5789473685</v>
      </c>
      <c r="J1303" s="6">
        <v>503677.76</v>
      </c>
      <c r="K1303" s="6">
        <v>0</v>
      </c>
      <c r="L1303" s="6">
        <v>0</v>
      </c>
      <c r="M1303" s="6">
        <f t="shared" si="256"/>
        <v>2650935.5789473685</v>
      </c>
      <c r="N1303" s="6">
        <f t="shared" si="257"/>
        <v>503677.76</v>
      </c>
      <c r="O1303" s="6">
        <f t="shared" si="252"/>
        <v>3154613.3389473688</v>
      </c>
      <c r="P1303" s="6">
        <v>3154613.36</v>
      </c>
      <c r="Q1303" s="6">
        <f t="shared" si="259"/>
        <v>2650935.5789473685</v>
      </c>
      <c r="R1303" s="6">
        <f t="shared" si="254"/>
        <v>66273.389473684219</v>
      </c>
      <c r="T1303"/>
      <c r="U1303" s="7"/>
      <c r="V1303" s="7"/>
    </row>
    <row r="1304" spans="2:22" s="5" customFormat="1" x14ac:dyDescent="0.3">
      <c r="B1304" s="5" t="s">
        <v>16</v>
      </c>
      <c r="C1304" s="5" t="s">
        <v>2061</v>
      </c>
      <c r="D1304" s="5" t="s">
        <v>1250</v>
      </c>
      <c r="E1304" s="5" t="s">
        <v>102</v>
      </c>
      <c r="F1304" s="5" t="s">
        <v>223</v>
      </c>
      <c r="G1304" s="5" t="s">
        <v>2028</v>
      </c>
      <c r="H1304" s="6">
        <v>0</v>
      </c>
      <c r="I1304" s="6">
        <f t="shared" si="250"/>
        <v>7450767.1578947371</v>
      </c>
      <c r="J1304" s="6">
        <v>1415645.76</v>
      </c>
      <c r="K1304" s="6">
        <v>0</v>
      </c>
      <c r="L1304" s="6">
        <v>0</v>
      </c>
      <c r="M1304" s="6">
        <f t="shared" si="256"/>
        <v>7450767.1578947371</v>
      </c>
      <c r="N1304" s="6">
        <f t="shared" si="257"/>
        <v>1415645.76</v>
      </c>
      <c r="O1304" s="6">
        <f t="shared" si="252"/>
        <v>8866412.9178947378</v>
      </c>
      <c r="P1304" s="6">
        <v>8866412.9199999999</v>
      </c>
      <c r="Q1304" s="6">
        <f t="shared" si="259"/>
        <v>7450767.1578947371</v>
      </c>
      <c r="R1304" s="6">
        <f t="shared" si="254"/>
        <v>186269.1789473684</v>
      </c>
      <c r="T1304"/>
      <c r="U1304" s="7"/>
      <c r="V1304" s="7"/>
    </row>
    <row r="1305" spans="2:22" s="5" customFormat="1" x14ac:dyDescent="0.3">
      <c r="B1305" s="5" t="s">
        <v>16</v>
      </c>
      <c r="C1305" s="5" t="s">
        <v>2062</v>
      </c>
      <c r="D1305" s="5" t="s">
        <v>1250</v>
      </c>
      <c r="E1305" s="5" t="s">
        <v>890</v>
      </c>
      <c r="F1305" s="5" t="s">
        <v>223</v>
      </c>
      <c r="G1305" s="5" t="s">
        <v>2028</v>
      </c>
      <c r="H1305" s="6">
        <v>0</v>
      </c>
      <c r="I1305" s="6">
        <f t="shared" si="250"/>
        <v>7893248.3157894732</v>
      </c>
      <c r="J1305" s="6">
        <v>1499717.18</v>
      </c>
      <c r="K1305" s="6">
        <v>0</v>
      </c>
      <c r="L1305" s="6">
        <v>0</v>
      </c>
      <c r="M1305" s="6">
        <f t="shared" si="256"/>
        <v>7893248.3157894732</v>
      </c>
      <c r="N1305" s="6">
        <f t="shared" si="257"/>
        <v>1499717.18</v>
      </c>
      <c r="O1305" s="6">
        <f t="shared" si="252"/>
        <v>9392965.4957894739</v>
      </c>
      <c r="P1305" s="6">
        <v>9392965.4900000002</v>
      </c>
      <c r="Q1305" s="6">
        <f t="shared" si="259"/>
        <v>7893248.3157894732</v>
      </c>
      <c r="R1305" s="6">
        <f t="shared" si="254"/>
        <v>197331.20789473681</v>
      </c>
      <c r="T1305"/>
      <c r="U1305" s="7"/>
      <c r="V1305" s="7"/>
    </row>
    <row r="1306" spans="2:22" s="5" customFormat="1" x14ac:dyDescent="0.3">
      <c r="B1306" s="5" t="s">
        <v>16</v>
      </c>
      <c r="C1306" s="5" t="s">
        <v>1616</v>
      </c>
      <c r="D1306" s="5" t="s">
        <v>1250</v>
      </c>
      <c r="E1306" s="5" t="s">
        <v>102</v>
      </c>
      <c r="F1306" s="5" t="s">
        <v>223</v>
      </c>
      <c r="G1306" s="5" t="s">
        <v>2028</v>
      </c>
      <c r="H1306" s="6">
        <v>0</v>
      </c>
      <c r="I1306" s="6">
        <f t="shared" si="250"/>
        <v>13172434.210526314</v>
      </c>
      <c r="J1306" s="6">
        <v>2502762.5</v>
      </c>
      <c r="K1306" s="6">
        <v>0</v>
      </c>
      <c r="L1306" s="6">
        <v>0</v>
      </c>
      <c r="M1306" s="6">
        <f t="shared" si="256"/>
        <v>13172434.210526314</v>
      </c>
      <c r="N1306" s="6">
        <f t="shared" si="257"/>
        <v>2502762.5</v>
      </c>
      <c r="O1306" s="6">
        <f t="shared" si="252"/>
        <v>15675196.710526314</v>
      </c>
      <c r="P1306" s="6">
        <v>15675196.68</v>
      </c>
      <c r="Q1306" s="6">
        <f t="shared" si="259"/>
        <v>13172434.210526314</v>
      </c>
      <c r="R1306" s="6">
        <f t="shared" si="254"/>
        <v>329310.85526315786</v>
      </c>
      <c r="T1306"/>
    </row>
    <row r="1307" spans="2:22" s="5" customFormat="1" x14ac:dyDescent="0.3">
      <c r="B1307" s="5" t="s">
        <v>16</v>
      </c>
      <c r="C1307" s="5" t="s">
        <v>2063</v>
      </c>
      <c r="D1307" s="5" t="s">
        <v>1250</v>
      </c>
      <c r="E1307" s="5" t="s">
        <v>249</v>
      </c>
      <c r="F1307" s="5" t="s">
        <v>223</v>
      </c>
      <c r="G1307" s="5" t="s">
        <v>2028</v>
      </c>
      <c r="H1307" s="6">
        <f>+P1307-I1307-J1307</f>
        <v>-2.9473684087861329E-2</v>
      </c>
      <c r="I1307" s="6">
        <f t="shared" si="250"/>
        <v>764685.78947368416</v>
      </c>
      <c r="J1307" s="6">
        <v>145290.29999999999</v>
      </c>
      <c r="K1307" s="6">
        <v>0</v>
      </c>
      <c r="L1307" s="6">
        <v>0</v>
      </c>
      <c r="M1307" s="6">
        <f t="shared" si="256"/>
        <v>764685.76</v>
      </c>
      <c r="N1307" s="6">
        <f t="shared" si="257"/>
        <v>145290.29999999999</v>
      </c>
      <c r="O1307" s="6">
        <f t="shared" si="252"/>
        <v>909976.06</v>
      </c>
      <c r="P1307" s="6">
        <v>909976.06</v>
      </c>
      <c r="Q1307" s="6">
        <f t="shared" si="259"/>
        <v>764685.76</v>
      </c>
      <c r="R1307" s="6">
        <f t="shared" si="254"/>
        <v>19117.144</v>
      </c>
      <c r="T1307"/>
    </row>
    <row r="1308" spans="2:22" s="5" customFormat="1" x14ac:dyDescent="0.3">
      <c r="B1308" s="5" t="s">
        <v>16</v>
      </c>
      <c r="C1308" s="5" t="s">
        <v>2064</v>
      </c>
      <c r="D1308" s="5" t="s">
        <v>2065</v>
      </c>
      <c r="E1308" s="5" t="s">
        <v>795</v>
      </c>
      <c r="F1308" s="5" t="s">
        <v>213</v>
      </c>
      <c r="G1308" s="5" t="s">
        <v>214</v>
      </c>
      <c r="H1308" s="6">
        <v>2.9473684029653668E-2</v>
      </c>
      <c r="I1308" s="6">
        <f t="shared" si="250"/>
        <v>1290762.210526316</v>
      </c>
      <c r="J1308" s="6">
        <v>245244.82</v>
      </c>
      <c r="K1308" s="6">
        <v>0</v>
      </c>
      <c r="L1308" s="6">
        <v>0</v>
      </c>
      <c r="M1308" s="6">
        <f t="shared" si="256"/>
        <v>1290762.24</v>
      </c>
      <c r="N1308" s="6">
        <f t="shared" si="257"/>
        <v>245244.82</v>
      </c>
      <c r="O1308" s="6">
        <f t="shared" si="252"/>
        <v>1536007.06</v>
      </c>
      <c r="P1308" s="6">
        <v>1536007.06</v>
      </c>
      <c r="Q1308" s="6">
        <f>+P1308-O1308</f>
        <v>0</v>
      </c>
      <c r="R1308" s="6">
        <f t="shared" si="254"/>
        <v>0</v>
      </c>
      <c r="T1308"/>
    </row>
    <row r="1309" spans="2:22" s="5" customFormat="1" x14ac:dyDescent="0.3">
      <c r="B1309" s="5" t="s">
        <v>16</v>
      </c>
      <c r="C1309" s="5" t="s">
        <v>2066</v>
      </c>
      <c r="D1309" s="5" t="s">
        <v>2065</v>
      </c>
      <c r="E1309" s="5" t="s">
        <v>230</v>
      </c>
      <c r="F1309" s="5" t="s">
        <v>213</v>
      </c>
      <c r="G1309" s="5" t="s">
        <v>214</v>
      </c>
      <c r="H1309" s="6">
        <v>0</v>
      </c>
      <c r="I1309" s="6">
        <f t="shared" si="250"/>
        <v>1068930</v>
      </c>
      <c r="J1309" s="6">
        <v>203096.7</v>
      </c>
      <c r="K1309" s="6">
        <v>0</v>
      </c>
      <c r="L1309" s="6">
        <v>0</v>
      </c>
      <c r="M1309" s="6">
        <f t="shared" si="256"/>
        <v>1068930</v>
      </c>
      <c r="N1309" s="6">
        <f t="shared" si="257"/>
        <v>203096.7</v>
      </c>
      <c r="O1309" s="6">
        <f t="shared" si="252"/>
        <v>1272026.7</v>
      </c>
      <c r="P1309" s="6">
        <v>1272026.7</v>
      </c>
      <c r="Q1309" s="6">
        <f>+P1309-O1309</f>
        <v>0</v>
      </c>
      <c r="R1309" s="6">
        <f t="shared" si="254"/>
        <v>0</v>
      </c>
      <c r="T1309"/>
    </row>
    <row r="1310" spans="2:22" s="5" customFormat="1" x14ac:dyDescent="0.3">
      <c r="B1310" s="5" t="s">
        <v>16</v>
      </c>
      <c r="C1310" s="5" t="s">
        <v>2067</v>
      </c>
      <c r="D1310" s="5" t="s">
        <v>2068</v>
      </c>
      <c r="E1310" s="5" t="s">
        <v>204</v>
      </c>
      <c r="F1310" s="5" t="s">
        <v>213</v>
      </c>
      <c r="G1310" s="5" t="s">
        <v>214</v>
      </c>
      <c r="H1310" s="6">
        <v>0</v>
      </c>
      <c r="I1310" s="6">
        <f t="shared" ref="I1310:I1373" si="261">+J1310/19*100</f>
        <v>260171.99999999997</v>
      </c>
      <c r="J1310" s="6">
        <v>49432.68</v>
      </c>
      <c r="K1310" s="6">
        <v>0</v>
      </c>
      <c r="L1310" s="6">
        <v>0</v>
      </c>
      <c r="M1310" s="6">
        <f t="shared" si="256"/>
        <v>260171.99999999997</v>
      </c>
      <c r="N1310" s="6">
        <f t="shared" si="257"/>
        <v>49432.68</v>
      </c>
      <c r="O1310" s="6">
        <f t="shared" ref="O1310:O1373" si="262">+M1310+N1310</f>
        <v>309604.68</v>
      </c>
      <c r="P1310" s="6">
        <v>309604.68</v>
      </c>
      <c r="Q1310" s="6">
        <v>0</v>
      </c>
      <c r="R1310" s="6">
        <f t="shared" si="254"/>
        <v>0</v>
      </c>
      <c r="T1310"/>
    </row>
    <row r="1311" spans="2:22" s="5" customFormat="1" x14ac:dyDescent="0.3">
      <c r="B1311" s="5" t="s">
        <v>16</v>
      </c>
      <c r="C1311" s="5" t="s">
        <v>2069</v>
      </c>
      <c r="D1311" s="5" t="s">
        <v>2065</v>
      </c>
      <c r="E1311" s="5" t="s">
        <v>230</v>
      </c>
      <c r="F1311" s="5" t="s">
        <v>213</v>
      </c>
      <c r="G1311" s="5" t="s">
        <v>214</v>
      </c>
      <c r="H1311" s="6">
        <v>2.9473684262484312E-2</v>
      </c>
      <c r="I1311" s="6">
        <f t="shared" si="261"/>
        <v>1398840.2105263157</v>
      </c>
      <c r="J1311" s="6">
        <v>265779.64</v>
      </c>
      <c r="K1311" s="6">
        <v>0</v>
      </c>
      <c r="L1311" s="6">
        <v>0</v>
      </c>
      <c r="M1311" s="6">
        <f t="shared" si="256"/>
        <v>1398840.24</v>
      </c>
      <c r="N1311" s="6">
        <f t="shared" si="257"/>
        <v>265779.64</v>
      </c>
      <c r="O1311" s="6">
        <f t="shared" si="262"/>
        <v>1664619.88</v>
      </c>
      <c r="P1311" s="6">
        <v>1664619.88</v>
      </c>
      <c r="Q1311" s="6">
        <f>+M1311</f>
        <v>1398840.24</v>
      </c>
      <c r="R1311" s="6">
        <f t="shared" si="254"/>
        <v>34971.006000000001</v>
      </c>
      <c r="T1311"/>
    </row>
    <row r="1312" spans="2:22" s="5" customFormat="1" x14ac:dyDescent="0.3">
      <c r="B1312" s="5" t="s">
        <v>16</v>
      </c>
      <c r="C1312" s="5" t="s">
        <v>2070</v>
      </c>
      <c r="D1312" s="5" t="s">
        <v>2065</v>
      </c>
      <c r="E1312" s="5" t="s">
        <v>230</v>
      </c>
      <c r="F1312" s="5" t="s">
        <v>213</v>
      </c>
      <c r="G1312" s="5" t="s">
        <v>214</v>
      </c>
      <c r="H1312" s="6">
        <v>0</v>
      </c>
      <c r="I1312" s="6">
        <f t="shared" si="261"/>
        <v>2051866</v>
      </c>
      <c r="J1312" s="6">
        <v>389854.54</v>
      </c>
      <c r="K1312" s="6">
        <v>0</v>
      </c>
      <c r="L1312" s="6">
        <v>0</v>
      </c>
      <c r="M1312" s="6">
        <f t="shared" si="256"/>
        <v>2051866</v>
      </c>
      <c r="N1312" s="6">
        <f t="shared" si="257"/>
        <v>389854.54</v>
      </c>
      <c r="O1312" s="6">
        <f t="shared" si="262"/>
        <v>2441720.54</v>
      </c>
      <c r="P1312" s="6">
        <v>2441720.54</v>
      </c>
      <c r="Q1312" s="6">
        <f>+M1312</f>
        <v>2051866</v>
      </c>
      <c r="R1312" s="6">
        <f t="shared" si="254"/>
        <v>51296.65</v>
      </c>
      <c r="T1312"/>
    </row>
    <row r="1313" spans="2:20" s="5" customFormat="1" x14ac:dyDescent="0.3">
      <c r="B1313" s="5" t="s">
        <v>16</v>
      </c>
      <c r="C1313" s="5" t="s">
        <v>2071</v>
      </c>
      <c r="D1313" s="5" t="s">
        <v>2065</v>
      </c>
      <c r="E1313" s="5" t="s">
        <v>533</v>
      </c>
      <c r="F1313" s="5" t="s">
        <v>213</v>
      </c>
      <c r="G1313" s="5" t="s">
        <v>214</v>
      </c>
      <c r="H1313" s="6">
        <v>0.26368421036750078</v>
      </c>
      <c r="I1313" s="6">
        <f t="shared" si="261"/>
        <v>5229082.5263157897</v>
      </c>
      <c r="J1313" s="6">
        <v>993525.68</v>
      </c>
      <c r="K1313" s="6">
        <v>0</v>
      </c>
      <c r="L1313" s="6">
        <v>0</v>
      </c>
      <c r="M1313" s="6">
        <f t="shared" si="256"/>
        <v>5229082.79</v>
      </c>
      <c r="N1313" s="6">
        <f t="shared" si="257"/>
        <v>993525.68</v>
      </c>
      <c r="O1313" s="6">
        <f t="shared" si="262"/>
        <v>6222608.4699999997</v>
      </c>
      <c r="P1313" s="6">
        <v>6222608.4699999997</v>
      </c>
      <c r="Q1313" s="6">
        <f>+M1313</f>
        <v>5229082.79</v>
      </c>
      <c r="R1313" s="6">
        <f t="shared" si="254"/>
        <v>130727.06975</v>
      </c>
      <c r="T1313"/>
    </row>
    <row r="1314" spans="2:20" s="5" customFormat="1" x14ac:dyDescent="0.3">
      <c r="B1314" s="5" t="s">
        <v>16</v>
      </c>
      <c r="C1314" s="5" t="s">
        <v>2072</v>
      </c>
      <c r="D1314" s="5" t="s">
        <v>2065</v>
      </c>
      <c r="E1314" s="5" t="s">
        <v>230</v>
      </c>
      <c r="F1314" s="5" t="s">
        <v>213</v>
      </c>
      <c r="G1314" s="5" t="s">
        <v>214</v>
      </c>
      <c r="H1314" s="6">
        <v>0</v>
      </c>
      <c r="I1314" s="6">
        <f t="shared" si="261"/>
        <v>6511680</v>
      </c>
      <c r="J1314" s="6">
        <v>1237219.2</v>
      </c>
      <c r="K1314" s="6">
        <v>0</v>
      </c>
      <c r="L1314" s="6">
        <v>0</v>
      </c>
      <c r="M1314" s="6">
        <f t="shared" si="256"/>
        <v>6511680</v>
      </c>
      <c r="N1314" s="6">
        <f t="shared" si="257"/>
        <v>1237219.2</v>
      </c>
      <c r="O1314" s="6">
        <f t="shared" si="262"/>
        <v>7748899.2000000002</v>
      </c>
      <c r="P1314" s="6">
        <v>7748899.2000000002</v>
      </c>
      <c r="Q1314" s="6">
        <f>+M1314</f>
        <v>6511680</v>
      </c>
      <c r="R1314" s="6">
        <f t="shared" si="254"/>
        <v>162792</v>
      </c>
      <c r="T1314"/>
    </row>
    <row r="1315" spans="2:20" s="5" customFormat="1" x14ac:dyDescent="0.3">
      <c r="B1315" s="5" t="s">
        <v>16</v>
      </c>
      <c r="C1315" s="5" t="s">
        <v>2073</v>
      </c>
      <c r="D1315" s="5" t="s">
        <v>2065</v>
      </c>
      <c r="E1315" s="5" t="s">
        <v>1271</v>
      </c>
      <c r="F1315" s="5" t="s">
        <v>213</v>
      </c>
      <c r="G1315" s="5" t="s">
        <v>214</v>
      </c>
      <c r="H1315" s="6">
        <v>4.2105263128178194E-2</v>
      </c>
      <c r="I1315" s="6">
        <f t="shared" si="261"/>
        <v>883825.15789473685</v>
      </c>
      <c r="J1315" s="6">
        <v>167926.78</v>
      </c>
      <c r="K1315" s="6"/>
      <c r="L1315" s="6"/>
      <c r="M1315" s="6">
        <f t="shared" ref="M1315:M1320" si="263">+H1315+I1315</f>
        <v>883825.2</v>
      </c>
      <c r="N1315" s="6">
        <f t="shared" ref="N1315:N1320" si="264">+J1315</f>
        <v>167926.78</v>
      </c>
      <c r="O1315" s="6">
        <f t="shared" si="262"/>
        <v>1051751.98</v>
      </c>
      <c r="P1315" s="6">
        <v>1051751.98</v>
      </c>
      <c r="Q1315" s="6"/>
      <c r="R1315" s="6">
        <f t="shared" si="254"/>
        <v>0</v>
      </c>
      <c r="T1315"/>
    </row>
    <row r="1316" spans="2:20" s="5" customFormat="1" x14ac:dyDescent="0.3">
      <c r="B1316" s="5" t="s">
        <v>16</v>
      </c>
      <c r="C1316" s="5" t="s">
        <v>2074</v>
      </c>
      <c r="D1316" s="5" t="s">
        <v>2068</v>
      </c>
      <c r="E1316" s="5" t="s">
        <v>550</v>
      </c>
      <c r="F1316" s="5" t="s">
        <v>213</v>
      </c>
      <c r="G1316" s="5" t="s">
        <v>214</v>
      </c>
      <c r="H1316" s="6">
        <v>8.7311491370201111E-11</v>
      </c>
      <c r="I1316" s="6">
        <f t="shared" si="261"/>
        <v>269435.99999999994</v>
      </c>
      <c r="J1316" s="6">
        <v>51192.84</v>
      </c>
      <c r="K1316" s="6"/>
      <c r="L1316" s="6"/>
      <c r="M1316" s="6">
        <f t="shared" si="263"/>
        <v>269436</v>
      </c>
      <c r="N1316" s="6">
        <f t="shared" si="264"/>
        <v>51192.84</v>
      </c>
      <c r="O1316" s="6">
        <f t="shared" si="262"/>
        <v>320628.83999999997</v>
      </c>
      <c r="P1316" s="6">
        <v>320628.84000000003</v>
      </c>
      <c r="Q1316" s="6"/>
      <c r="R1316" s="6">
        <f t="shared" ref="R1316:R1347" si="265">+Q1316*2.5/100</f>
        <v>0</v>
      </c>
      <c r="T1316"/>
    </row>
    <row r="1317" spans="2:20" s="5" customFormat="1" x14ac:dyDescent="0.3">
      <c r="B1317" s="5" t="s">
        <v>16</v>
      </c>
      <c r="C1317" s="5" t="s">
        <v>2075</v>
      </c>
      <c r="D1317" s="5" t="s">
        <v>2068</v>
      </c>
      <c r="E1317" s="5" t="s">
        <v>938</v>
      </c>
      <c r="F1317" s="5" t="s">
        <v>213</v>
      </c>
      <c r="G1317" s="5" t="s">
        <v>214</v>
      </c>
      <c r="H1317" s="6">
        <v>0</v>
      </c>
      <c r="I1317" s="6">
        <f t="shared" si="261"/>
        <v>151260</v>
      </c>
      <c r="J1317" s="6">
        <v>28739.4</v>
      </c>
      <c r="K1317" s="6"/>
      <c r="L1317" s="6"/>
      <c r="M1317" s="6">
        <f t="shared" si="263"/>
        <v>151260</v>
      </c>
      <c r="N1317" s="6">
        <f t="shared" si="264"/>
        <v>28739.4</v>
      </c>
      <c r="O1317" s="6">
        <f t="shared" si="262"/>
        <v>179999.4</v>
      </c>
      <c r="P1317" s="6">
        <v>179999.4</v>
      </c>
      <c r="Q1317" s="6"/>
      <c r="R1317" s="6">
        <f t="shared" si="265"/>
        <v>0</v>
      </c>
      <c r="S1317"/>
      <c r="T1317"/>
    </row>
    <row r="1318" spans="2:20" s="5" customFormat="1" x14ac:dyDescent="0.3">
      <c r="B1318" s="5" t="s">
        <v>16</v>
      </c>
      <c r="C1318" s="5" t="s">
        <v>2076</v>
      </c>
      <c r="D1318" s="5" t="s">
        <v>2065</v>
      </c>
      <c r="E1318" s="5" t="s">
        <v>694</v>
      </c>
      <c r="F1318" s="5" t="s">
        <v>213</v>
      </c>
      <c r="G1318" s="5" t="s">
        <v>214</v>
      </c>
      <c r="H1318" s="6">
        <v>0.11052631580969319</v>
      </c>
      <c r="I1318" s="6">
        <f t="shared" si="261"/>
        <v>1783320.7894736843</v>
      </c>
      <c r="J1318" s="6">
        <v>338830.95</v>
      </c>
      <c r="K1318" s="6"/>
      <c r="L1318" s="6"/>
      <c r="M1318" s="6">
        <f t="shared" si="263"/>
        <v>1783320.9000000001</v>
      </c>
      <c r="N1318" s="6">
        <f t="shared" si="264"/>
        <v>338830.95</v>
      </c>
      <c r="O1318" s="6">
        <f t="shared" si="262"/>
        <v>2122151.85</v>
      </c>
      <c r="P1318" s="6">
        <v>2122151.85</v>
      </c>
      <c r="Q1318" s="6">
        <f>+M1318</f>
        <v>1783320.9000000001</v>
      </c>
      <c r="R1318" s="6">
        <f t="shared" si="265"/>
        <v>44583.022499999999</v>
      </c>
      <c r="S1318"/>
      <c r="T1318"/>
    </row>
    <row r="1319" spans="2:20" s="5" customFormat="1" x14ac:dyDescent="0.3">
      <c r="B1319" s="5" t="s">
        <v>16</v>
      </c>
      <c r="C1319" s="5" t="s">
        <v>2077</v>
      </c>
      <c r="D1319" s="5" t="s">
        <v>2065</v>
      </c>
      <c r="E1319" s="5" t="s">
        <v>809</v>
      </c>
      <c r="F1319" s="5" t="s">
        <v>213</v>
      </c>
      <c r="G1319" s="5" t="s">
        <v>214</v>
      </c>
      <c r="H1319" s="6">
        <v>3.2105263322591782E-2</v>
      </c>
      <c r="I1319" s="6">
        <f t="shared" si="261"/>
        <v>1805534.1578947369</v>
      </c>
      <c r="J1319" s="6">
        <v>343051.49</v>
      </c>
      <c r="K1319" s="6"/>
      <c r="L1319" s="6"/>
      <c r="M1319" s="6">
        <f t="shared" si="263"/>
        <v>1805534.1900000002</v>
      </c>
      <c r="N1319" s="6">
        <f t="shared" si="264"/>
        <v>343051.49</v>
      </c>
      <c r="O1319" s="6">
        <f t="shared" si="262"/>
        <v>2148585.6800000002</v>
      </c>
      <c r="P1319" s="6">
        <v>2148585.6800000002</v>
      </c>
      <c r="Q1319" s="6">
        <f>+M1319</f>
        <v>1805534.1900000002</v>
      </c>
      <c r="R1319" s="6">
        <f t="shared" si="265"/>
        <v>45138.354750000006</v>
      </c>
      <c r="S1319" s="15"/>
      <c r="T1319"/>
    </row>
    <row r="1320" spans="2:20" s="5" customFormat="1" x14ac:dyDescent="0.3">
      <c r="B1320" s="5" t="s">
        <v>16</v>
      </c>
      <c r="C1320" s="5" t="s">
        <v>2078</v>
      </c>
      <c r="D1320" s="5" t="s">
        <v>2065</v>
      </c>
      <c r="E1320" s="5" t="s">
        <v>807</v>
      </c>
      <c r="F1320" s="5" t="s">
        <v>213</v>
      </c>
      <c r="G1320" s="5" t="s">
        <v>214</v>
      </c>
      <c r="H1320" s="6">
        <v>7.0526313036680222E-2</v>
      </c>
      <c r="I1320" s="6">
        <f t="shared" si="261"/>
        <v>15678340.789473686</v>
      </c>
      <c r="J1320" s="6">
        <v>2978884.75</v>
      </c>
      <c r="K1320" s="6"/>
      <c r="L1320" s="6"/>
      <c r="M1320" s="6">
        <f t="shared" si="263"/>
        <v>15678340.859999999</v>
      </c>
      <c r="N1320" s="6">
        <f t="shared" si="264"/>
        <v>2978884.75</v>
      </c>
      <c r="O1320" s="6">
        <f t="shared" si="262"/>
        <v>18657225.609999999</v>
      </c>
      <c r="P1320" s="6">
        <v>18657225.609999999</v>
      </c>
      <c r="Q1320" s="6">
        <f>+M1320</f>
        <v>15678340.859999999</v>
      </c>
      <c r="R1320" s="6">
        <f t="shared" si="265"/>
        <v>391958.52149999997</v>
      </c>
      <c r="S1320" s="15"/>
      <c r="T1320"/>
    </row>
    <row r="1321" spans="2:20" s="5" customFormat="1" x14ac:dyDescent="0.3">
      <c r="B1321" s="7" t="s">
        <v>16</v>
      </c>
      <c r="C1321" s="7" t="s">
        <v>2079</v>
      </c>
      <c r="D1321" s="7" t="s">
        <v>2068</v>
      </c>
      <c r="E1321" s="7" t="s">
        <v>238</v>
      </c>
      <c r="F1321" s="7" t="s">
        <v>213</v>
      </c>
      <c r="G1321" s="7" t="s">
        <v>214</v>
      </c>
      <c r="H1321" s="8">
        <f t="shared" ref="H1321:H1369" si="266">+P1321-I1321-J1321</f>
        <v>336930.56842105259</v>
      </c>
      <c r="I1321" s="8">
        <f t="shared" si="261"/>
        <v>461805.63157894742</v>
      </c>
      <c r="J1321" s="8">
        <v>87743.07</v>
      </c>
      <c r="K1321" s="8">
        <v>0</v>
      </c>
      <c r="L1321" s="8">
        <v>0</v>
      </c>
      <c r="M1321" s="8">
        <f t="shared" ref="M1321:M1327" si="267">+I1321+H1321</f>
        <v>798736.2</v>
      </c>
      <c r="N1321" s="8">
        <f t="shared" ref="N1321:N1344" si="268">+J1321+L1321</f>
        <v>87743.07</v>
      </c>
      <c r="O1321" s="8">
        <f t="shared" si="262"/>
        <v>886479.27</v>
      </c>
      <c r="P1321" s="8">
        <v>886479.27</v>
      </c>
      <c r="Q1321" s="8">
        <v>0</v>
      </c>
      <c r="R1321" s="8">
        <f t="shared" si="265"/>
        <v>0</v>
      </c>
      <c r="S1321"/>
      <c r="T1321"/>
    </row>
    <row r="1322" spans="2:20" s="5" customFormat="1" x14ac:dyDescent="0.3">
      <c r="B1322" s="7" t="s">
        <v>16</v>
      </c>
      <c r="C1322" s="7" t="s">
        <v>2080</v>
      </c>
      <c r="D1322" s="7" t="s">
        <v>2068</v>
      </c>
      <c r="E1322" s="7" t="s">
        <v>105</v>
      </c>
      <c r="F1322" s="7" t="s">
        <v>213</v>
      </c>
      <c r="G1322" s="7" t="s">
        <v>214</v>
      </c>
      <c r="H1322" s="8">
        <f t="shared" si="266"/>
        <v>0</v>
      </c>
      <c r="I1322" s="8">
        <f t="shared" si="261"/>
        <v>299538</v>
      </c>
      <c r="J1322" s="8">
        <v>56912.22</v>
      </c>
      <c r="K1322" s="8">
        <v>0</v>
      </c>
      <c r="L1322" s="8">
        <v>0</v>
      </c>
      <c r="M1322" s="8">
        <f t="shared" si="267"/>
        <v>299538</v>
      </c>
      <c r="N1322" s="8">
        <f t="shared" si="268"/>
        <v>56912.22</v>
      </c>
      <c r="O1322" s="8">
        <f t="shared" si="262"/>
        <v>356450.22</v>
      </c>
      <c r="P1322" s="8">
        <v>356450.22</v>
      </c>
      <c r="Q1322" s="8">
        <v>0</v>
      </c>
      <c r="R1322" s="8">
        <f t="shared" si="265"/>
        <v>0</v>
      </c>
      <c r="T1322"/>
    </row>
    <row r="1323" spans="2:20" s="5" customFormat="1" x14ac:dyDescent="0.3">
      <c r="B1323" s="7" t="s">
        <v>16</v>
      </c>
      <c r="C1323" s="7" t="s">
        <v>2081</v>
      </c>
      <c r="D1323" s="7" t="s">
        <v>2065</v>
      </c>
      <c r="E1323" s="7" t="s">
        <v>700</v>
      </c>
      <c r="F1323" s="7" t="s">
        <v>213</v>
      </c>
      <c r="G1323" s="7" t="s">
        <v>214</v>
      </c>
      <c r="H1323" s="8">
        <f t="shared" si="266"/>
        <v>3.1578947440721095E-2</v>
      </c>
      <c r="I1323" s="8">
        <f t="shared" si="261"/>
        <v>5132912.3684210526</v>
      </c>
      <c r="J1323" s="8">
        <v>975253.35</v>
      </c>
      <c r="K1323" s="8">
        <v>0</v>
      </c>
      <c r="L1323" s="8">
        <v>0</v>
      </c>
      <c r="M1323" s="8">
        <f t="shared" si="267"/>
        <v>5132912.4000000004</v>
      </c>
      <c r="N1323" s="8">
        <f t="shared" si="268"/>
        <v>975253.35</v>
      </c>
      <c r="O1323" s="8">
        <f t="shared" si="262"/>
        <v>6108165.75</v>
      </c>
      <c r="P1323" s="8">
        <v>6108165.75</v>
      </c>
      <c r="Q1323" s="8">
        <f>+M1323</f>
        <v>5132912.4000000004</v>
      </c>
      <c r="R1323" s="8">
        <f t="shared" si="265"/>
        <v>128322.81</v>
      </c>
      <c r="T1323"/>
    </row>
    <row r="1324" spans="2:20" s="5" customFormat="1" x14ac:dyDescent="0.3">
      <c r="B1324" s="7" t="s">
        <v>16</v>
      </c>
      <c r="C1324" s="7" t="s">
        <v>2082</v>
      </c>
      <c r="D1324" s="7" t="s">
        <v>2065</v>
      </c>
      <c r="E1324" s="7" t="s">
        <v>1278</v>
      </c>
      <c r="F1324" s="7" t="s">
        <v>213</v>
      </c>
      <c r="G1324" s="7" t="s">
        <v>214</v>
      </c>
      <c r="H1324" s="8">
        <f t="shared" si="266"/>
        <v>5.0526315346360207E-2</v>
      </c>
      <c r="I1324" s="8">
        <f t="shared" si="261"/>
        <v>5458131.7894736845</v>
      </c>
      <c r="J1324" s="8">
        <v>1037045.04</v>
      </c>
      <c r="K1324" s="8">
        <v>0</v>
      </c>
      <c r="L1324" s="8">
        <v>0</v>
      </c>
      <c r="M1324" s="8">
        <f t="shared" si="267"/>
        <v>5458131.8399999999</v>
      </c>
      <c r="N1324" s="8">
        <f t="shared" si="268"/>
        <v>1037045.04</v>
      </c>
      <c r="O1324" s="8">
        <f t="shared" si="262"/>
        <v>6495176.8799999999</v>
      </c>
      <c r="P1324" s="8">
        <v>6495176.8799999999</v>
      </c>
      <c r="Q1324" s="8">
        <f>+M1324</f>
        <v>5458131.8399999999</v>
      </c>
      <c r="R1324" s="8">
        <f t="shared" si="265"/>
        <v>136453.296</v>
      </c>
      <c r="T1324"/>
    </row>
    <row r="1325" spans="2:20" s="5" customFormat="1" x14ac:dyDescent="0.3">
      <c r="B1325" s="7" t="s">
        <v>16</v>
      </c>
      <c r="C1325" s="7" t="s">
        <v>2083</v>
      </c>
      <c r="D1325" s="7" t="s">
        <v>2065</v>
      </c>
      <c r="E1325" s="7" t="s">
        <v>941</v>
      </c>
      <c r="F1325" s="7" t="s">
        <v>213</v>
      </c>
      <c r="G1325" s="7" t="s">
        <v>214</v>
      </c>
      <c r="H1325" s="8">
        <f t="shared" si="266"/>
        <v>8.4210525965318084E-2</v>
      </c>
      <c r="I1325" s="8">
        <f t="shared" si="261"/>
        <v>7231457.3157894732</v>
      </c>
      <c r="J1325" s="8">
        <v>1373976.89</v>
      </c>
      <c r="K1325" s="8">
        <v>0</v>
      </c>
      <c r="L1325" s="8">
        <v>0</v>
      </c>
      <c r="M1325" s="8">
        <f t="shared" si="267"/>
        <v>7231457.3999999994</v>
      </c>
      <c r="N1325" s="8">
        <f t="shared" si="268"/>
        <v>1373976.89</v>
      </c>
      <c r="O1325" s="8">
        <f t="shared" si="262"/>
        <v>8605434.2899999991</v>
      </c>
      <c r="P1325" s="8">
        <v>8605434.2899999991</v>
      </c>
      <c r="Q1325" s="8">
        <f>+M1325</f>
        <v>7231457.3999999994</v>
      </c>
      <c r="R1325" s="8">
        <f t="shared" si="265"/>
        <v>180786.435</v>
      </c>
      <c r="T1325"/>
    </row>
    <row r="1326" spans="2:20" s="5" customFormat="1" x14ac:dyDescent="0.3">
      <c r="B1326" s="7" t="s">
        <v>16</v>
      </c>
      <c r="C1326" s="7" t="s">
        <v>2084</v>
      </c>
      <c r="D1326" s="7" t="s">
        <v>2065</v>
      </c>
      <c r="E1326" s="7" t="s">
        <v>464</v>
      </c>
      <c r="F1326" s="7" t="s">
        <v>213</v>
      </c>
      <c r="G1326" s="7" t="s">
        <v>214</v>
      </c>
      <c r="H1326" s="8">
        <f t="shared" si="266"/>
        <v>2.7368421433493495E-2</v>
      </c>
      <c r="I1326" s="8">
        <f t="shared" si="261"/>
        <v>7839168.0526315784</v>
      </c>
      <c r="J1326" s="8">
        <v>1489441.93</v>
      </c>
      <c r="K1326" s="8">
        <v>0</v>
      </c>
      <c r="L1326" s="8">
        <v>0</v>
      </c>
      <c r="M1326" s="8">
        <f t="shared" si="267"/>
        <v>7839168.0800000001</v>
      </c>
      <c r="N1326" s="8">
        <f t="shared" si="268"/>
        <v>1489441.93</v>
      </c>
      <c r="O1326" s="8">
        <f t="shared" si="262"/>
        <v>9328610.0099999998</v>
      </c>
      <c r="P1326" s="8">
        <v>9328610.0099999998</v>
      </c>
      <c r="Q1326" s="8">
        <f>+M1326</f>
        <v>7839168.0800000001</v>
      </c>
      <c r="R1326" s="8">
        <f t="shared" si="265"/>
        <v>195979.20199999999</v>
      </c>
      <c r="T1326"/>
    </row>
    <row r="1327" spans="2:20" s="5" customFormat="1" x14ac:dyDescent="0.3">
      <c r="B1327" s="7" t="s">
        <v>16</v>
      </c>
      <c r="C1327" s="7" t="s">
        <v>2085</v>
      </c>
      <c r="D1327" s="7" t="s">
        <v>2065</v>
      </c>
      <c r="E1327" s="7" t="s">
        <v>1278</v>
      </c>
      <c r="F1327" s="7" t="s">
        <v>213</v>
      </c>
      <c r="G1327" s="7" t="s">
        <v>214</v>
      </c>
      <c r="H1327" s="8">
        <f t="shared" si="266"/>
        <v>1.4052631566300988</v>
      </c>
      <c r="I1327" s="8">
        <f t="shared" si="261"/>
        <v>23610269.894736841</v>
      </c>
      <c r="J1327" s="8">
        <v>4485951.28</v>
      </c>
      <c r="K1327" s="8">
        <v>0</v>
      </c>
      <c r="L1327" s="8">
        <v>0</v>
      </c>
      <c r="M1327" s="8">
        <f t="shared" si="267"/>
        <v>23610271.299999997</v>
      </c>
      <c r="N1327" s="8">
        <f t="shared" si="268"/>
        <v>4485951.28</v>
      </c>
      <c r="O1327" s="8">
        <f t="shared" si="262"/>
        <v>28096222.579999998</v>
      </c>
      <c r="P1327" s="8">
        <v>28096222.579999998</v>
      </c>
      <c r="Q1327" s="8">
        <f>+M1327-547040</f>
        <v>23063231.299999997</v>
      </c>
      <c r="R1327" s="8">
        <f t="shared" si="265"/>
        <v>576580.78249999997</v>
      </c>
      <c r="T1327"/>
    </row>
    <row r="1328" spans="2:20" s="5" customFormat="1" x14ac:dyDescent="0.3">
      <c r="B1328" s="5" t="s">
        <v>16</v>
      </c>
      <c r="C1328" s="5" t="s">
        <v>2086</v>
      </c>
      <c r="D1328" s="5" t="s">
        <v>2065</v>
      </c>
      <c r="E1328" s="5" t="s">
        <v>357</v>
      </c>
      <c r="F1328" s="5" t="s">
        <v>213</v>
      </c>
      <c r="G1328" s="5" t="s">
        <v>214</v>
      </c>
      <c r="H1328" s="6">
        <f t="shared" si="266"/>
        <v>8.0000000016298145E-2</v>
      </c>
      <c r="I1328" s="6">
        <f t="shared" si="261"/>
        <v>695374</v>
      </c>
      <c r="J1328" s="6">
        <v>132121.06</v>
      </c>
      <c r="K1328" s="6">
        <v>0</v>
      </c>
      <c r="L1328" s="6">
        <v>0</v>
      </c>
      <c r="M1328" s="6">
        <f t="shared" ref="M1328:M1383" si="269">+H1328+I1328+K1328</f>
        <v>695374.08000000007</v>
      </c>
      <c r="N1328" s="6">
        <f t="shared" si="268"/>
        <v>132121.06</v>
      </c>
      <c r="O1328" s="6">
        <f t="shared" si="262"/>
        <v>827495.14000000013</v>
      </c>
      <c r="P1328" s="6">
        <v>827495.14</v>
      </c>
      <c r="Q1328" s="6"/>
      <c r="R1328" s="6">
        <f t="shared" si="265"/>
        <v>0</v>
      </c>
      <c r="T1328"/>
    </row>
    <row r="1329" spans="2:22" s="5" customFormat="1" x14ac:dyDescent="0.3">
      <c r="B1329" s="5" t="s">
        <v>16</v>
      </c>
      <c r="C1329" s="5" t="s">
        <v>2087</v>
      </c>
      <c r="D1329" s="5" t="s">
        <v>2065</v>
      </c>
      <c r="E1329" s="5" t="s">
        <v>357</v>
      </c>
      <c r="F1329" s="5" t="s">
        <v>213</v>
      </c>
      <c r="G1329" s="5" t="s">
        <v>214</v>
      </c>
      <c r="H1329" s="6">
        <f t="shared" si="266"/>
        <v>0.12105263161356561</v>
      </c>
      <c r="I1329" s="6">
        <f t="shared" si="261"/>
        <v>215205.5789473684</v>
      </c>
      <c r="J1329" s="6">
        <v>40889.06</v>
      </c>
      <c r="K1329" s="6">
        <v>0</v>
      </c>
      <c r="L1329" s="6">
        <v>0</v>
      </c>
      <c r="M1329" s="6">
        <f t="shared" si="269"/>
        <v>215205.7</v>
      </c>
      <c r="N1329" s="6">
        <f t="shared" si="268"/>
        <v>40889.06</v>
      </c>
      <c r="O1329" s="6">
        <f t="shared" si="262"/>
        <v>256094.76</v>
      </c>
      <c r="P1329" s="6">
        <v>256094.76</v>
      </c>
      <c r="Q1329" s="6"/>
      <c r="R1329" s="6">
        <f t="shared" si="265"/>
        <v>0</v>
      </c>
      <c r="T1329"/>
    </row>
    <row r="1330" spans="2:22" s="5" customFormat="1" x14ac:dyDescent="0.3">
      <c r="B1330" s="5" t="s">
        <v>16</v>
      </c>
      <c r="C1330" s="5" t="s">
        <v>2088</v>
      </c>
      <c r="D1330" s="5" t="s">
        <v>2065</v>
      </c>
      <c r="E1330" s="5" t="s">
        <v>357</v>
      </c>
      <c r="F1330" s="5" t="s">
        <v>213</v>
      </c>
      <c r="G1330" s="5" t="s">
        <v>214</v>
      </c>
      <c r="H1330" s="6">
        <f t="shared" si="266"/>
        <v>4.0000000095460564E-2</v>
      </c>
      <c r="I1330" s="6">
        <f t="shared" si="261"/>
        <v>1048274</v>
      </c>
      <c r="J1330" s="6">
        <v>199172.06</v>
      </c>
      <c r="K1330" s="6">
        <v>0</v>
      </c>
      <c r="L1330" s="6">
        <v>0</v>
      </c>
      <c r="M1330" s="6">
        <f t="shared" si="269"/>
        <v>1048274.04</v>
      </c>
      <c r="N1330" s="6">
        <f t="shared" si="268"/>
        <v>199172.06</v>
      </c>
      <c r="O1330" s="6">
        <f t="shared" si="262"/>
        <v>1247446.1000000001</v>
      </c>
      <c r="P1330" s="6">
        <v>1247446.1000000001</v>
      </c>
      <c r="Q1330" s="6"/>
      <c r="R1330" s="6">
        <f t="shared" si="265"/>
        <v>0</v>
      </c>
      <c r="T1330"/>
    </row>
    <row r="1331" spans="2:22" s="5" customFormat="1" x14ac:dyDescent="0.3">
      <c r="B1331" s="5" t="s">
        <v>16</v>
      </c>
      <c r="C1331" s="5" t="s">
        <v>2089</v>
      </c>
      <c r="D1331" s="5" t="s">
        <v>2065</v>
      </c>
      <c r="E1331" s="5" t="s">
        <v>554</v>
      </c>
      <c r="F1331" s="5" t="s">
        <v>213</v>
      </c>
      <c r="G1331" s="5" t="s">
        <v>214</v>
      </c>
      <c r="H1331" s="6">
        <f t="shared" si="266"/>
        <v>4.842105254647322E-2</v>
      </c>
      <c r="I1331" s="6">
        <f t="shared" si="261"/>
        <v>1235293.6315789474</v>
      </c>
      <c r="J1331" s="6">
        <v>234705.79</v>
      </c>
      <c r="K1331" s="6">
        <v>0</v>
      </c>
      <c r="L1331" s="6">
        <v>0</v>
      </c>
      <c r="M1331" s="6">
        <f t="shared" si="269"/>
        <v>1235293.68</v>
      </c>
      <c r="N1331" s="6">
        <f t="shared" si="268"/>
        <v>234705.79</v>
      </c>
      <c r="O1331" s="6">
        <f t="shared" si="262"/>
        <v>1469999.47</v>
      </c>
      <c r="P1331" s="6">
        <v>1469999.47</v>
      </c>
      <c r="Q1331" s="6"/>
      <c r="R1331" s="6">
        <f t="shared" si="265"/>
        <v>0</v>
      </c>
      <c r="T1331"/>
    </row>
    <row r="1332" spans="2:22" s="5" customFormat="1" x14ac:dyDescent="0.3">
      <c r="B1332" s="5" t="s">
        <v>16</v>
      </c>
      <c r="C1332" s="5" t="s">
        <v>2090</v>
      </c>
      <c r="D1332" s="5" t="s">
        <v>2068</v>
      </c>
      <c r="E1332" s="5" t="s">
        <v>738</v>
      </c>
      <c r="F1332" s="5" t="s">
        <v>213</v>
      </c>
      <c r="G1332" s="5" t="s">
        <v>214</v>
      </c>
      <c r="H1332" s="6">
        <f t="shared" si="266"/>
        <v>79200</v>
      </c>
      <c r="I1332" s="6">
        <f t="shared" si="261"/>
        <v>276948</v>
      </c>
      <c r="J1332" s="6">
        <v>52620.12</v>
      </c>
      <c r="K1332" s="6">
        <v>0</v>
      </c>
      <c r="L1332" s="6">
        <v>0</v>
      </c>
      <c r="M1332" s="6">
        <f t="shared" si="269"/>
        <v>356148</v>
      </c>
      <c r="N1332" s="6">
        <f t="shared" si="268"/>
        <v>52620.12</v>
      </c>
      <c r="O1332" s="6">
        <f t="shared" si="262"/>
        <v>408768.12</v>
      </c>
      <c r="P1332" s="6">
        <v>408768.12</v>
      </c>
      <c r="Q1332" s="6"/>
      <c r="R1332" s="6">
        <f t="shared" si="265"/>
        <v>0</v>
      </c>
      <c r="T1332"/>
    </row>
    <row r="1333" spans="2:22" s="5" customFormat="1" x14ac:dyDescent="0.3">
      <c r="B1333" s="5" t="s">
        <v>16</v>
      </c>
      <c r="C1333" s="5" t="s">
        <v>2091</v>
      </c>
      <c r="D1333" s="5" t="s">
        <v>2065</v>
      </c>
      <c r="E1333" s="5" t="s">
        <v>357</v>
      </c>
      <c r="F1333" s="5" t="s">
        <v>213</v>
      </c>
      <c r="G1333" s="5" t="s">
        <v>214</v>
      </c>
      <c r="H1333" s="6">
        <f t="shared" si="266"/>
        <v>9.0526315674651414E-2</v>
      </c>
      <c r="I1333" s="6">
        <f t="shared" si="261"/>
        <v>1355093.7894736843</v>
      </c>
      <c r="J1333" s="6">
        <v>257467.82</v>
      </c>
      <c r="K1333" s="6">
        <v>0</v>
      </c>
      <c r="L1333" s="6">
        <v>0</v>
      </c>
      <c r="M1333" s="6">
        <f t="shared" si="269"/>
        <v>1355093.88</v>
      </c>
      <c r="N1333" s="6">
        <f t="shared" si="268"/>
        <v>257467.82</v>
      </c>
      <c r="O1333" s="6">
        <f t="shared" si="262"/>
        <v>1612561.7</v>
      </c>
      <c r="P1333" s="6">
        <v>1612561.7</v>
      </c>
      <c r="Q1333" s="6">
        <f t="shared" ref="Q1333:Q1340" si="270">+M1333</f>
        <v>1355093.88</v>
      </c>
      <c r="R1333" s="6">
        <f t="shared" si="265"/>
        <v>33877.346999999994</v>
      </c>
      <c r="T1333"/>
    </row>
    <row r="1334" spans="2:22" s="5" customFormat="1" x14ac:dyDescent="0.3">
      <c r="B1334" s="5" t="s">
        <v>16</v>
      </c>
      <c r="C1334" s="5" t="s">
        <v>2092</v>
      </c>
      <c r="D1334" s="5" t="s">
        <v>2065</v>
      </c>
      <c r="E1334" s="5" t="s">
        <v>357</v>
      </c>
      <c r="F1334" s="5" t="s">
        <v>213</v>
      </c>
      <c r="G1334" s="5" t="s">
        <v>214</v>
      </c>
      <c r="H1334" s="6">
        <f t="shared" si="266"/>
        <v>0</v>
      </c>
      <c r="I1334" s="6">
        <f t="shared" si="261"/>
        <v>1529025</v>
      </c>
      <c r="J1334" s="6">
        <v>290514.75</v>
      </c>
      <c r="K1334" s="6">
        <v>0</v>
      </c>
      <c r="L1334" s="6">
        <v>0</v>
      </c>
      <c r="M1334" s="6">
        <f t="shared" si="269"/>
        <v>1529025</v>
      </c>
      <c r="N1334" s="6">
        <f t="shared" si="268"/>
        <v>290514.75</v>
      </c>
      <c r="O1334" s="6">
        <f t="shared" si="262"/>
        <v>1819539.75</v>
      </c>
      <c r="P1334" s="6">
        <v>1819539.75</v>
      </c>
      <c r="Q1334" s="6">
        <f t="shared" si="270"/>
        <v>1529025</v>
      </c>
      <c r="R1334" s="6">
        <f t="shared" si="265"/>
        <v>38225.625</v>
      </c>
      <c r="T1334"/>
    </row>
    <row r="1335" spans="2:22" s="5" customFormat="1" x14ac:dyDescent="0.3">
      <c r="B1335" s="5" t="s">
        <v>16</v>
      </c>
      <c r="C1335" s="5" t="s">
        <v>2093</v>
      </c>
      <c r="D1335" s="5" t="s">
        <v>2065</v>
      </c>
      <c r="E1335" s="5" t="s">
        <v>1091</v>
      </c>
      <c r="F1335" s="5" t="s">
        <v>213</v>
      </c>
      <c r="G1335" s="5" t="s">
        <v>214</v>
      </c>
      <c r="H1335" s="6">
        <f t="shared" si="266"/>
        <v>4.0000000095460564E-2</v>
      </c>
      <c r="I1335" s="6">
        <f t="shared" si="261"/>
        <v>1689341</v>
      </c>
      <c r="J1335" s="6">
        <v>320974.78999999998</v>
      </c>
      <c r="K1335" s="6">
        <v>0</v>
      </c>
      <c r="L1335" s="6">
        <v>0</v>
      </c>
      <c r="M1335" s="6">
        <f t="shared" si="269"/>
        <v>1689341.04</v>
      </c>
      <c r="N1335" s="6">
        <f t="shared" si="268"/>
        <v>320974.78999999998</v>
      </c>
      <c r="O1335" s="6">
        <f t="shared" si="262"/>
        <v>2010315.83</v>
      </c>
      <c r="P1335" s="6">
        <v>2010315.83</v>
      </c>
      <c r="Q1335" s="6">
        <f t="shared" si="270"/>
        <v>1689341.04</v>
      </c>
      <c r="R1335" s="6">
        <f t="shared" si="265"/>
        <v>42233.525999999998</v>
      </c>
      <c r="T1335"/>
    </row>
    <row r="1336" spans="2:22" s="5" customFormat="1" x14ac:dyDescent="0.3">
      <c r="B1336" s="5" t="s">
        <v>16</v>
      </c>
      <c r="C1336" s="5" t="s">
        <v>2094</v>
      </c>
      <c r="D1336" s="5" t="s">
        <v>2065</v>
      </c>
      <c r="E1336" s="5" t="s">
        <v>554</v>
      </c>
      <c r="F1336" s="5" t="s">
        <v>213</v>
      </c>
      <c r="G1336" s="5" t="s">
        <v>214</v>
      </c>
      <c r="H1336" s="6">
        <f t="shared" si="266"/>
        <v>0.21894736832473427</v>
      </c>
      <c r="I1336" s="6">
        <f t="shared" si="261"/>
        <v>2325216.4210526315</v>
      </c>
      <c r="J1336" s="6">
        <v>441791.12</v>
      </c>
      <c r="K1336" s="6">
        <v>0</v>
      </c>
      <c r="L1336" s="6">
        <v>0</v>
      </c>
      <c r="M1336" s="6">
        <f t="shared" si="269"/>
        <v>2325216.6399999997</v>
      </c>
      <c r="N1336" s="6">
        <f t="shared" si="268"/>
        <v>441791.12</v>
      </c>
      <c r="O1336" s="6">
        <f t="shared" si="262"/>
        <v>2767007.76</v>
      </c>
      <c r="P1336" s="6">
        <v>2767007.76</v>
      </c>
      <c r="Q1336" s="6">
        <f t="shared" si="270"/>
        <v>2325216.6399999997</v>
      </c>
      <c r="R1336" s="6">
        <f t="shared" si="265"/>
        <v>58130.415999999997</v>
      </c>
      <c r="T1336"/>
    </row>
    <row r="1337" spans="2:22" s="5" customFormat="1" x14ac:dyDescent="0.3">
      <c r="B1337" s="5" t="s">
        <v>16</v>
      </c>
      <c r="C1337" s="5" t="s">
        <v>2095</v>
      </c>
      <c r="D1337" s="5" t="s">
        <v>2065</v>
      </c>
      <c r="E1337" s="5" t="s">
        <v>357</v>
      </c>
      <c r="F1337" s="5" t="s">
        <v>213</v>
      </c>
      <c r="G1337" s="5" t="s">
        <v>214</v>
      </c>
      <c r="H1337" s="6">
        <f t="shared" si="266"/>
        <v>7.3684210423380136E-2</v>
      </c>
      <c r="I1337" s="6">
        <f t="shared" si="261"/>
        <v>2361518.5263157897</v>
      </c>
      <c r="J1337" s="6">
        <v>448688.52</v>
      </c>
      <c r="K1337" s="6">
        <v>0</v>
      </c>
      <c r="L1337" s="6">
        <v>0</v>
      </c>
      <c r="M1337" s="6">
        <f t="shared" si="269"/>
        <v>2361518.6</v>
      </c>
      <c r="N1337" s="6">
        <f t="shared" si="268"/>
        <v>448688.52</v>
      </c>
      <c r="O1337" s="6">
        <f t="shared" si="262"/>
        <v>2810207.12</v>
      </c>
      <c r="P1337" s="6">
        <v>2810207.12</v>
      </c>
      <c r="Q1337" s="6">
        <f t="shared" si="270"/>
        <v>2361518.6</v>
      </c>
      <c r="R1337" s="6">
        <f t="shared" si="265"/>
        <v>59037.964999999997</v>
      </c>
      <c r="T1337"/>
    </row>
    <row r="1338" spans="2:22" s="9" customFormat="1" x14ac:dyDescent="0.3">
      <c r="B1338" s="5" t="s">
        <v>16</v>
      </c>
      <c r="C1338" s="5" t="s">
        <v>2096</v>
      </c>
      <c r="D1338" s="5" t="s">
        <v>2065</v>
      </c>
      <c r="E1338" s="5" t="s">
        <v>1284</v>
      </c>
      <c r="F1338" s="5" t="s">
        <v>213</v>
      </c>
      <c r="G1338" s="5" t="s">
        <v>214</v>
      </c>
      <c r="H1338" s="6">
        <f t="shared" si="266"/>
        <v>2.9473684378899634E-2</v>
      </c>
      <c r="I1338" s="6">
        <f t="shared" si="261"/>
        <v>4692090.2105263155</v>
      </c>
      <c r="J1338" s="6">
        <v>891497.14</v>
      </c>
      <c r="K1338" s="6">
        <v>0</v>
      </c>
      <c r="L1338" s="6">
        <v>0</v>
      </c>
      <c r="M1338" s="6">
        <f t="shared" si="269"/>
        <v>4692090.24</v>
      </c>
      <c r="N1338" s="6">
        <f t="shared" si="268"/>
        <v>891497.14</v>
      </c>
      <c r="O1338" s="6">
        <f t="shared" si="262"/>
        <v>5583587.3799999999</v>
      </c>
      <c r="P1338" s="6">
        <v>5583587.3799999999</v>
      </c>
      <c r="Q1338" s="6">
        <f t="shared" si="270"/>
        <v>4692090.24</v>
      </c>
      <c r="R1338" s="6">
        <f t="shared" si="265"/>
        <v>117302.25600000001</v>
      </c>
      <c r="S1338" s="5"/>
      <c r="T1338"/>
      <c r="U1338" s="5"/>
      <c r="V1338" s="5"/>
    </row>
    <row r="1339" spans="2:22" s="9" customFormat="1" x14ac:dyDescent="0.3">
      <c r="B1339" s="5" t="s">
        <v>16</v>
      </c>
      <c r="C1339" s="5" t="s">
        <v>2097</v>
      </c>
      <c r="D1339" s="5" t="s">
        <v>2065</v>
      </c>
      <c r="E1339" s="5" t="s">
        <v>1091</v>
      </c>
      <c r="F1339" s="5" t="s">
        <v>213</v>
      </c>
      <c r="G1339" s="5" t="s">
        <v>214</v>
      </c>
      <c r="H1339" s="6">
        <f t="shared" si="266"/>
        <v>0</v>
      </c>
      <c r="I1339" s="6">
        <f t="shared" si="261"/>
        <v>10418688</v>
      </c>
      <c r="J1339" s="6">
        <v>1979550.72</v>
      </c>
      <c r="K1339" s="6">
        <v>0</v>
      </c>
      <c r="L1339" s="6">
        <v>0</v>
      </c>
      <c r="M1339" s="6">
        <f t="shared" si="269"/>
        <v>10418688</v>
      </c>
      <c r="N1339" s="6">
        <f t="shared" si="268"/>
        <v>1979550.72</v>
      </c>
      <c r="O1339" s="6">
        <f t="shared" si="262"/>
        <v>12398238.720000001</v>
      </c>
      <c r="P1339" s="6">
        <v>12398238.720000001</v>
      </c>
      <c r="Q1339" s="6">
        <f t="shared" si="270"/>
        <v>10418688</v>
      </c>
      <c r="R1339" s="6">
        <f t="shared" si="265"/>
        <v>260467.20000000001</v>
      </c>
      <c r="S1339" s="5"/>
      <c r="T1339"/>
      <c r="U1339" s="5"/>
      <c r="V1339" s="5"/>
    </row>
    <row r="1340" spans="2:22" s="9" customFormat="1" x14ac:dyDescent="0.3">
      <c r="B1340" s="5" t="s">
        <v>16</v>
      </c>
      <c r="C1340" s="5" t="s">
        <v>2098</v>
      </c>
      <c r="D1340" s="5" t="s">
        <v>2065</v>
      </c>
      <c r="E1340" s="5" t="s">
        <v>673</v>
      </c>
      <c r="F1340" s="5" t="s">
        <v>213</v>
      </c>
      <c r="G1340" s="5" t="s">
        <v>214</v>
      </c>
      <c r="H1340" s="6">
        <f t="shared" si="266"/>
        <v>0.43684210674837232</v>
      </c>
      <c r="I1340" s="6">
        <f t="shared" si="261"/>
        <v>12930140.263157893</v>
      </c>
      <c r="J1340" s="6">
        <v>2456726.65</v>
      </c>
      <c r="K1340" s="6">
        <v>0</v>
      </c>
      <c r="L1340" s="6">
        <v>0</v>
      </c>
      <c r="M1340" s="6">
        <f t="shared" si="269"/>
        <v>12930140.699999999</v>
      </c>
      <c r="N1340" s="6">
        <f t="shared" si="268"/>
        <v>2456726.65</v>
      </c>
      <c r="O1340" s="6">
        <f t="shared" si="262"/>
        <v>15386867.35</v>
      </c>
      <c r="P1340" s="6">
        <v>15386867.35</v>
      </c>
      <c r="Q1340" s="6">
        <f t="shared" si="270"/>
        <v>12930140.699999999</v>
      </c>
      <c r="R1340" s="6">
        <f t="shared" si="265"/>
        <v>323253.51750000002</v>
      </c>
      <c r="S1340" s="5"/>
      <c r="T1340"/>
      <c r="U1340" s="5"/>
      <c r="V1340" s="5"/>
    </row>
    <row r="1341" spans="2:22" s="9" customFormat="1" x14ac:dyDescent="0.3">
      <c r="B1341" s="5" t="s">
        <v>16</v>
      </c>
      <c r="C1341" s="5" t="s">
        <v>2099</v>
      </c>
      <c r="D1341" s="5" t="s">
        <v>2068</v>
      </c>
      <c r="E1341" s="5" t="s">
        <v>992</v>
      </c>
      <c r="F1341" s="5" t="s">
        <v>213</v>
      </c>
      <c r="G1341" s="5" t="s">
        <v>214</v>
      </c>
      <c r="H1341" s="6">
        <f t="shared" si="266"/>
        <v>270374.40000000002</v>
      </c>
      <c r="I1341" s="6">
        <f t="shared" si="261"/>
        <v>177462</v>
      </c>
      <c r="J1341" s="6">
        <v>33717.78</v>
      </c>
      <c r="K1341" s="6">
        <v>0</v>
      </c>
      <c r="L1341" s="6">
        <v>0</v>
      </c>
      <c r="M1341" s="6">
        <f t="shared" si="269"/>
        <v>447836.4</v>
      </c>
      <c r="N1341" s="6">
        <f t="shared" si="268"/>
        <v>33717.78</v>
      </c>
      <c r="O1341" s="6">
        <f t="shared" si="262"/>
        <v>481554.18000000005</v>
      </c>
      <c r="P1341" s="6">
        <v>481554.18</v>
      </c>
      <c r="Q1341" s="6">
        <v>0</v>
      </c>
      <c r="R1341" s="6">
        <f t="shared" si="265"/>
        <v>0</v>
      </c>
      <c r="S1341" s="5"/>
      <c r="T1341"/>
      <c r="U1341" s="5"/>
      <c r="V1341" s="5"/>
    </row>
    <row r="1342" spans="2:22" s="9" customFormat="1" x14ac:dyDescent="0.3">
      <c r="B1342" s="5" t="s">
        <v>16</v>
      </c>
      <c r="C1342" s="5" t="s">
        <v>2100</v>
      </c>
      <c r="D1342" s="5" t="s">
        <v>2065</v>
      </c>
      <c r="E1342" s="5" t="s">
        <v>561</v>
      </c>
      <c r="F1342" s="5" t="s">
        <v>213</v>
      </c>
      <c r="G1342" s="5" t="s">
        <v>214</v>
      </c>
      <c r="H1342" s="6">
        <f t="shared" si="266"/>
        <v>3.789473682991229E-2</v>
      </c>
      <c r="I1342" s="6">
        <f t="shared" si="261"/>
        <v>976968.84210526315</v>
      </c>
      <c r="J1342" s="6">
        <v>185624.08</v>
      </c>
      <c r="K1342" s="6">
        <v>0</v>
      </c>
      <c r="L1342" s="6">
        <v>0</v>
      </c>
      <c r="M1342" s="6">
        <f t="shared" si="269"/>
        <v>976968.88</v>
      </c>
      <c r="N1342" s="6">
        <f t="shared" si="268"/>
        <v>185624.08</v>
      </c>
      <c r="O1342" s="6">
        <f t="shared" si="262"/>
        <v>1162592.96</v>
      </c>
      <c r="P1342" s="6">
        <v>1162592.96</v>
      </c>
      <c r="Q1342" s="6">
        <v>0</v>
      </c>
      <c r="R1342" s="6">
        <f t="shared" si="265"/>
        <v>0</v>
      </c>
      <c r="S1342" s="5"/>
      <c r="T1342"/>
      <c r="U1342"/>
      <c r="V1342"/>
    </row>
    <row r="1343" spans="2:22" s="9" customFormat="1" x14ac:dyDescent="0.3">
      <c r="B1343" s="5" t="s">
        <v>16</v>
      </c>
      <c r="C1343" s="5" t="s">
        <v>2101</v>
      </c>
      <c r="D1343" s="5" t="s">
        <v>2068</v>
      </c>
      <c r="E1343" s="5" t="s">
        <v>994</v>
      </c>
      <c r="F1343" s="5" t="s">
        <v>213</v>
      </c>
      <c r="G1343" s="5" t="s">
        <v>214</v>
      </c>
      <c r="H1343" s="6">
        <f t="shared" si="266"/>
        <v>0</v>
      </c>
      <c r="I1343" s="6">
        <f t="shared" si="261"/>
        <v>546204</v>
      </c>
      <c r="J1343" s="6">
        <v>103778.76</v>
      </c>
      <c r="K1343" s="6">
        <v>0</v>
      </c>
      <c r="L1343" s="6">
        <v>0</v>
      </c>
      <c r="M1343" s="6">
        <f t="shared" si="269"/>
        <v>546204</v>
      </c>
      <c r="N1343" s="6">
        <f t="shared" si="268"/>
        <v>103778.76</v>
      </c>
      <c r="O1343" s="6">
        <f t="shared" si="262"/>
        <v>649982.76</v>
      </c>
      <c r="P1343" s="6">
        <v>649982.76</v>
      </c>
      <c r="Q1343" s="6">
        <v>0</v>
      </c>
      <c r="R1343" s="6">
        <f t="shared" si="265"/>
        <v>0</v>
      </c>
      <c r="S1343" s="5"/>
      <c r="T1343"/>
      <c r="U1343" s="5"/>
      <c r="V1343" s="5"/>
    </row>
    <row r="1344" spans="2:22" s="9" customFormat="1" x14ac:dyDescent="0.3">
      <c r="B1344" s="5" t="s">
        <v>16</v>
      </c>
      <c r="C1344" s="5" t="s">
        <v>2102</v>
      </c>
      <c r="D1344" s="5" t="s">
        <v>2068</v>
      </c>
      <c r="E1344" s="5" t="s">
        <v>537</v>
      </c>
      <c r="F1344" s="5" t="s">
        <v>213</v>
      </c>
      <c r="G1344" s="5" t="s">
        <v>214</v>
      </c>
      <c r="H1344" s="6">
        <f t="shared" si="266"/>
        <v>79199.999999999884</v>
      </c>
      <c r="I1344" s="6">
        <f t="shared" si="261"/>
        <v>411228.00000000006</v>
      </c>
      <c r="J1344" s="6">
        <v>78133.320000000007</v>
      </c>
      <c r="K1344" s="6">
        <v>0</v>
      </c>
      <c r="L1344" s="6">
        <v>0</v>
      </c>
      <c r="M1344" s="6">
        <f t="shared" si="269"/>
        <v>490427.99999999994</v>
      </c>
      <c r="N1344" s="6">
        <f t="shared" si="268"/>
        <v>78133.320000000007</v>
      </c>
      <c r="O1344" s="6">
        <f t="shared" si="262"/>
        <v>568561.31999999995</v>
      </c>
      <c r="P1344" s="6">
        <v>568561.31999999995</v>
      </c>
      <c r="Q1344" s="6">
        <v>0</v>
      </c>
      <c r="R1344" s="6">
        <f t="shared" si="265"/>
        <v>0</v>
      </c>
      <c r="S1344" s="5"/>
      <c r="T1344"/>
      <c r="U1344" s="5"/>
      <c r="V1344" s="5"/>
    </row>
    <row r="1345" spans="2:22" s="9" customFormat="1" x14ac:dyDescent="0.3">
      <c r="B1345" s="5" t="s">
        <v>16</v>
      </c>
      <c r="C1345" s="5" t="s">
        <v>2103</v>
      </c>
      <c r="D1345" s="5" t="s">
        <v>2065</v>
      </c>
      <c r="E1345" s="5" t="s">
        <v>944</v>
      </c>
      <c r="F1345" s="5" t="s">
        <v>213</v>
      </c>
      <c r="G1345" s="5" t="s">
        <v>214</v>
      </c>
      <c r="H1345" s="6">
        <f t="shared" si="266"/>
        <v>4.1052631568163633E-2</v>
      </c>
      <c r="I1345" s="6">
        <f t="shared" si="261"/>
        <v>818433.57894736843</v>
      </c>
      <c r="J1345" s="6">
        <v>155502.38</v>
      </c>
      <c r="K1345" s="6">
        <v>0</v>
      </c>
      <c r="L1345" s="6">
        <v>0</v>
      </c>
      <c r="M1345" s="6">
        <f t="shared" si="269"/>
        <v>818433.62</v>
      </c>
      <c r="N1345" s="6">
        <f>J1345+L1345</f>
        <v>155502.38</v>
      </c>
      <c r="O1345" s="6">
        <f t="shared" si="262"/>
        <v>973936</v>
      </c>
      <c r="P1345" s="6">
        <v>973936</v>
      </c>
      <c r="Q1345" s="6">
        <v>0</v>
      </c>
      <c r="R1345" s="6">
        <f t="shared" si="265"/>
        <v>0</v>
      </c>
      <c r="S1345" s="5"/>
      <c r="T1345"/>
      <c r="U1345" s="5"/>
      <c r="V1345" s="5"/>
    </row>
    <row r="1346" spans="2:22" s="9" customFormat="1" x14ac:dyDescent="0.3">
      <c r="B1346" s="5" t="s">
        <v>16</v>
      </c>
      <c r="C1346" s="5" t="s">
        <v>2104</v>
      </c>
      <c r="D1346" s="5" t="s">
        <v>2065</v>
      </c>
      <c r="E1346" s="5" t="s">
        <v>999</v>
      </c>
      <c r="F1346" s="5" t="s">
        <v>213</v>
      </c>
      <c r="G1346" s="5" t="s">
        <v>214</v>
      </c>
      <c r="H1346" s="6">
        <f t="shared" si="266"/>
        <v>0.12000000022817403</v>
      </c>
      <c r="I1346" s="6">
        <f t="shared" si="261"/>
        <v>5230182</v>
      </c>
      <c r="J1346" s="6">
        <v>993734.58</v>
      </c>
      <c r="K1346" s="6">
        <v>0</v>
      </c>
      <c r="L1346" s="6">
        <v>0</v>
      </c>
      <c r="M1346" s="6">
        <f t="shared" si="269"/>
        <v>5230182.12</v>
      </c>
      <c r="N1346" s="6">
        <f>J1346+L1346</f>
        <v>993734.58</v>
      </c>
      <c r="O1346" s="6">
        <f t="shared" si="262"/>
        <v>6223916.7000000002</v>
      </c>
      <c r="P1346" s="6">
        <v>6223916.7000000002</v>
      </c>
      <c r="Q1346" s="6">
        <f>+M1346</f>
        <v>5230182.12</v>
      </c>
      <c r="R1346" s="6">
        <f t="shared" si="265"/>
        <v>130754.55300000001</v>
      </c>
      <c r="S1346" s="5"/>
      <c r="T1346"/>
      <c r="U1346" s="7"/>
      <c r="V1346" s="7"/>
    </row>
    <row r="1347" spans="2:22" s="9" customFormat="1" x14ac:dyDescent="0.3">
      <c r="B1347" s="5" t="s">
        <v>16</v>
      </c>
      <c r="C1347" s="5" t="s">
        <v>2105</v>
      </c>
      <c r="D1347" s="5" t="s">
        <v>2065</v>
      </c>
      <c r="E1347" s="5" t="s">
        <v>840</v>
      </c>
      <c r="F1347" s="5" t="s">
        <v>213</v>
      </c>
      <c r="G1347" s="5" t="s">
        <v>214</v>
      </c>
      <c r="H1347" s="6">
        <f t="shared" si="266"/>
        <v>0.27578947343863547</v>
      </c>
      <c r="I1347" s="6">
        <f t="shared" si="261"/>
        <v>8333992.6842105268</v>
      </c>
      <c r="J1347" s="6">
        <v>1583458.61</v>
      </c>
      <c r="K1347" s="6">
        <v>0</v>
      </c>
      <c r="L1347" s="6">
        <v>0</v>
      </c>
      <c r="M1347" s="6">
        <f t="shared" si="269"/>
        <v>8333992.96</v>
      </c>
      <c r="N1347" s="6">
        <f t="shared" ref="N1347:N1379" si="271">+J1347+L1347</f>
        <v>1583458.61</v>
      </c>
      <c r="O1347" s="6">
        <f t="shared" si="262"/>
        <v>9917451.5700000003</v>
      </c>
      <c r="P1347" s="6">
        <v>9917451.5700000003</v>
      </c>
      <c r="Q1347" s="6">
        <f>+M1347</f>
        <v>8333992.96</v>
      </c>
      <c r="R1347" s="6">
        <f t="shared" si="265"/>
        <v>208349.82399999999</v>
      </c>
      <c r="S1347" s="5"/>
      <c r="T1347"/>
      <c r="U1347" s="7"/>
      <c r="V1347" s="7"/>
    </row>
    <row r="1348" spans="2:22" s="9" customFormat="1" x14ac:dyDescent="0.3">
      <c r="B1348" s="5" t="s">
        <v>16</v>
      </c>
      <c r="C1348" s="5" t="s">
        <v>2106</v>
      </c>
      <c r="D1348" s="5" t="s">
        <v>2068</v>
      </c>
      <c r="E1348" s="5" t="s">
        <v>749</v>
      </c>
      <c r="F1348" s="5" t="s">
        <v>213</v>
      </c>
      <c r="G1348" s="5" t="s">
        <v>214</v>
      </c>
      <c r="H1348" s="6">
        <f t="shared" si="266"/>
        <v>852480.06315789488</v>
      </c>
      <c r="I1348" s="6">
        <f t="shared" si="261"/>
        <v>268318.73684210528</v>
      </c>
      <c r="J1348" s="6">
        <v>50980.56</v>
      </c>
      <c r="K1348" s="6">
        <v>0</v>
      </c>
      <c r="L1348" s="6">
        <v>0</v>
      </c>
      <c r="M1348" s="6">
        <f t="shared" si="269"/>
        <v>1120798.8000000003</v>
      </c>
      <c r="N1348" s="6">
        <f t="shared" si="271"/>
        <v>50980.56</v>
      </c>
      <c r="O1348" s="6">
        <f t="shared" si="262"/>
        <v>1171779.3600000003</v>
      </c>
      <c r="P1348" s="6">
        <v>1171779.3600000001</v>
      </c>
      <c r="Q1348" s="6">
        <v>0</v>
      </c>
      <c r="R1348" s="6">
        <v>0</v>
      </c>
      <c r="S1348" s="5"/>
      <c r="T1348"/>
      <c r="U1348" s="5"/>
      <c r="V1348" s="5"/>
    </row>
    <row r="1349" spans="2:22" s="9" customFormat="1" x14ac:dyDescent="0.3">
      <c r="B1349" s="5" t="s">
        <v>16</v>
      </c>
      <c r="C1349" s="5" t="s">
        <v>2107</v>
      </c>
      <c r="D1349" s="5" t="s">
        <v>2068</v>
      </c>
      <c r="E1349" s="5" t="s">
        <v>577</v>
      </c>
      <c r="F1349" s="5" t="s">
        <v>213</v>
      </c>
      <c r="G1349" s="5" t="s">
        <v>214</v>
      </c>
      <c r="H1349" s="6">
        <f t="shared" si="266"/>
        <v>596736</v>
      </c>
      <c r="I1349" s="6">
        <f t="shared" si="261"/>
        <v>0</v>
      </c>
      <c r="J1349" s="6">
        <v>0</v>
      </c>
      <c r="K1349" s="6">
        <v>0</v>
      </c>
      <c r="L1349" s="6">
        <v>0</v>
      </c>
      <c r="M1349" s="6">
        <f t="shared" si="269"/>
        <v>596736</v>
      </c>
      <c r="N1349" s="6">
        <f t="shared" si="271"/>
        <v>0</v>
      </c>
      <c r="O1349" s="6">
        <f t="shared" si="262"/>
        <v>596736</v>
      </c>
      <c r="P1349" s="6">
        <v>596736</v>
      </c>
      <c r="Q1349" s="6">
        <f>+M1349</f>
        <v>596736</v>
      </c>
      <c r="R1349" s="6">
        <f t="shared" ref="R1349:R1412" si="272">+Q1349*2.5/100</f>
        <v>14918.4</v>
      </c>
      <c r="S1349" s="5"/>
      <c r="T1349"/>
      <c r="U1349"/>
      <c r="V1349"/>
    </row>
    <row r="1350" spans="2:22" s="9" customFormat="1" x14ac:dyDescent="0.3">
      <c r="B1350" s="5" t="s">
        <v>16</v>
      </c>
      <c r="C1350" s="5" t="s">
        <v>2108</v>
      </c>
      <c r="D1350" s="5" t="s">
        <v>2065</v>
      </c>
      <c r="E1350" s="5" t="s">
        <v>713</v>
      </c>
      <c r="F1350" s="5" t="s">
        <v>213</v>
      </c>
      <c r="G1350" s="5" t="s">
        <v>214</v>
      </c>
      <c r="H1350" s="6">
        <f t="shared" si="266"/>
        <v>3.6315789679065347E-2</v>
      </c>
      <c r="I1350" s="6">
        <f t="shared" si="261"/>
        <v>1142460.4736842103</v>
      </c>
      <c r="J1350" s="6">
        <v>217067.49</v>
      </c>
      <c r="K1350" s="6">
        <v>0</v>
      </c>
      <c r="L1350" s="6">
        <v>0</v>
      </c>
      <c r="M1350" s="6">
        <f t="shared" si="269"/>
        <v>1142460.51</v>
      </c>
      <c r="N1350" s="6">
        <f t="shared" si="271"/>
        <v>217067.49</v>
      </c>
      <c r="O1350" s="6">
        <f t="shared" si="262"/>
        <v>1359528</v>
      </c>
      <c r="P1350" s="6">
        <v>1359528</v>
      </c>
      <c r="Q1350" s="6">
        <f>+M1350</f>
        <v>1142460.51</v>
      </c>
      <c r="R1350" s="6">
        <f t="shared" si="272"/>
        <v>28561.512749999998</v>
      </c>
      <c r="S1350" s="7"/>
      <c r="T1350"/>
      <c r="U1350" s="5"/>
      <c r="V1350" s="5"/>
    </row>
    <row r="1351" spans="2:22" s="5" customFormat="1" x14ac:dyDescent="0.3">
      <c r="B1351" s="5" t="s">
        <v>16</v>
      </c>
      <c r="C1351" s="5" t="s">
        <v>2109</v>
      </c>
      <c r="D1351" s="5" t="s">
        <v>2065</v>
      </c>
      <c r="E1351" s="5" t="s">
        <v>298</v>
      </c>
      <c r="F1351" s="5" t="s">
        <v>213</v>
      </c>
      <c r="G1351" s="5" t="s">
        <v>214</v>
      </c>
      <c r="H1351" s="6">
        <f t="shared" si="266"/>
        <v>0.11789473693352193</v>
      </c>
      <c r="I1351" s="6">
        <f t="shared" si="261"/>
        <v>1340484.8421052631</v>
      </c>
      <c r="J1351" s="6">
        <v>254692.12</v>
      </c>
      <c r="K1351" s="6">
        <v>0</v>
      </c>
      <c r="L1351" s="6">
        <v>0</v>
      </c>
      <c r="M1351" s="6">
        <f t="shared" si="269"/>
        <v>1340484.96</v>
      </c>
      <c r="N1351" s="6">
        <f t="shared" si="271"/>
        <v>254692.12</v>
      </c>
      <c r="O1351" s="6">
        <f t="shared" si="262"/>
        <v>1595177.08</v>
      </c>
      <c r="P1351" s="6">
        <v>1595177.08</v>
      </c>
      <c r="Q1351" s="6">
        <f>+M1351</f>
        <v>1340484.96</v>
      </c>
      <c r="R1351" s="6">
        <f t="shared" si="272"/>
        <v>33512.123999999996</v>
      </c>
      <c r="S1351" s="7"/>
      <c r="T1351"/>
    </row>
    <row r="1352" spans="2:22" s="5" customFormat="1" x14ac:dyDescent="0.3">
      <c r="B1352" s="5" t="s">
        <v>16</v>
      </c>
      <c r="C1352" s="5" t="s">
        <v>2110</v>
      </c>
      <c r="D1352" s="5" t="s">
        <v>2065</v>
      </c>
      <c r="E1352" s="5" t="s">
        <v>84</v>
      </c>
      <c r="F1352" s="5" t="s">
        <v>213</v>
      </c>
      <c r="G1352" s="5" t="s">
        <v>214</v>
      </c>
      <c r="H1352" s="6">
        <f t="shared" si="266"/>
        <v>6.3157894648611546E-2</v>
      </c>
      <c r="I1352" s="6">
        <f t="shared" si="261"/>
        <v>6952003.7368421052</v>
      </c>
      <c r="J1352" s="6">
        <v>1320880.71</v>
      </c>
      <c r="K1352" s="6">
        <v>0</v>
      </c>
      <c r="L1352" s="6">
        <v>0</v>
      </c>
      <c r="M1352" s="6">
        <f t="shared" si="269"/>
        <v>6952003.7999999998</v>
      </c>
      <c r="N1352" s="6">
        <f t="shared" si="271"/>
        <v>1320880.71</v>
      </c>
      <c r="O1352" s="6">
        <f t="shared" si="262"/>
        <v>8272884.5099999998</v>
      </c>
      <c r="P1352" s="6">
        <v>8272884.5099999998</v>
      </c>
      <c r="Q1352" s="6">
        <f>+M1352</f>
        <v>6952003.7999999998</v>
      </c>
      <c r="R1352" s="6">
        <f t="shared" si="272"/>
        <v>173800.095</v>
      </c>
      <c r="S1352" s="7"/>
      <c r="T1352"/>
    </row>
    <row r="1353" spans="2:22" s="5" customFormat="1" x14ac:dyDescent="0.3">
      <c r="B1353" s="5" t="s">
        <v>16</v>
      </c>
      <c r="C1353" s="5" t="s">
        <v>2111</v>
      </c>
      <c r="D1353" s="5" t="s">
        <v>2068</v>
      </c>
      <c r="E1353" s="5" t="s">
        <v>379</v>
      </c>
      <c r="F1353" s="5" t="s">
        <v>213</v>
      </c>
      <c r="G1353" s="5" t="s">
        <v>214</v>
      </c>
      <c r="H1353" s="6">
        <f t="shared" si="266"/>
        <v>79199.999999999956</v>
      </c>
      <c r="I1353" s="6">
        <f t="shared" si="261"/>
        <v>251220.00000000003</v>
      </c>
      <c r="J1353" s="6">
        <v>47731.8</v>
      </c>
      <c r="K1353" s="6">
        <v>0</v>
      </c>
      <c r="L1353" s="6">
        <v>0</v>
      </c>
      <c r="M1353" s="6">
        <f t="shared" si="269"/>
        <v>330420</v>
      </c>
      <c r="N1353" s="6">
        <f t="shared" si="271"/>
        <v>47731.8</v>
      </c>
      <c r="O1353" s="6">
        <f t="shared" si="262"/>
        <v>378151.8</v>
      </c>
      <c r="P1353" s="6">
        <v>378151.8</v>
      </c>
      <c r="Q1353" s="6">
        <v>0</v>
      </c>
      <c r="R1353" s="6">
        <f t="shared" si="272"/>
        <v>0</v>
      </c>
      <c r="S1353" s="7"/>
      <c r="T1353"/>
    </row>
    <row r="1354" spans="2:22" s="5" customFormat="1" x14ac:dyDescent="0.3">
      <c r="B1354" s="5" t="s">
        <v>16</v>
      </c>
      <c r="C1354" s="5" t="s">
        <v>2112</v>
      </c>
      <c r="D1354" s="5" t="s">
        <v>2065</v>
      </c>
      <c r="E1354" s="5" t="s">
        <v>681</v>
      </c>
      <c r="F1354" s="5" t="s">
        <v>213</v>
      </c>
      <c r="G1354" s="5" t="s">
        <v>214</v>
      </c>
      <c r="H1354" s="6">
        <f t="shared" si="266"/>
        <v>4.2631578835425898E-2</v>
      </c>
      <c r="I1354" s="6">
        <f t="shared" si="261"/>
        <v>866593.94736842113</v>
      </c>
      <c r="J1354" s="6">
        <v>164652.85</v>
      </c>
      <c r="K1354" s="6">
        <v>0</v>
      </c>
      <c r="L1354" s="6">
        <v>0</v>
      </c>
      <c r="M1354" s="6">
        <f t="shared" si="269"/>
        <v>866593.99</v>
      </c>
      <c r="N1354" s="6">
        <f t="shared" si="271"/>
        <v>164652.85</v>
      </c>
      <c r="O1354" s="6">
        <f t="shared" si="262"/>
        <v>1031246.84</v>
      </c>
      <c r="P1354" s="6">
        <v>1031246.84</v>
      </c>
      <c r="Q1354" s="6">
        <f t="shared" ref="Q1354:Q1369" si="273">+M1354</f>
        <v>866593.99</v>
      </c>
      <c r="R1354" s="6">
        <f t="shared" si="272"/>
        <v>21664.849750000001</v>
      </c>
      <c r="T1354"/>
    </row>
    <row r="1355" spans="2:22" s="5" customFormat="1" x14ac:dyDescent="0.3">
      <c r="B1355" s="5" t="s">
        <v>16</v>
      </c>
      <c r="C1355" s="5" t="s">
        <v>2113</v>
      </c>
      <c r="D1355" s="5" t="s">
        <v>2068</v>
      </c>
      <c r="E1355" s="5" t="s">
        <v>397</v>
      </c>
      <c r="F1355" s="5" t="s">
        <v>213</v>
      </c>
      <c r="G1355" s="5" t="s">
        <v>214</v>
      </c>
      <c r="H1355" s="6">
        <f t="shared" si="266"/>
        <v>437241.66105263145</v>
      </c>
      <c r="I1355" s="6">
        <f t="shared" si="261"/>
        <v>1654668.5789473685</v>
      </c>
      <c r="J1355" s="6">
        <v>314387.03000000003</v>
      </c>
      <c r="K1355" s="6">
        <v>0</v>
      </c>
      <c r="L1355" s="6">
        <v>0</v>
      </c>
      <c r="M1355" s="6">
        <f t="shared" si="269"/>
        <v>2091910.24</v>
      </c>
      <c r="N1355" s="6">
        <f t="shared" si="271"/>
        <v>314387.03000000003</v>
      </c>
      <c r="O1355" s="6">
        <f t="shared" si="262"/>
        <v>2406297.27</v>
      </c>
      <c r="P1355" s="6">
        <v>2406297.27</v>
      </c>
      <c r="Q1355" s="6">
        <f t="shared" si="273"/>
        <v>2091910.24</v>
      </c>
      <c r="R1355" s="6">
        <f t="shared" si="272"/>
        <v>52297.755999999994</v>
      </c>
      <c r="T1355"/>
    </row>
    <row r="1356" spans="2:22" s="5" customFormat="1" x14ac:dyDescent="0.3">
      <c r="B1356" s="5" t="s">
        <v>16</v>
      </c>
      <c r="C1356" s="5" t="s">
        <v>2114</v>
      </c>
      <c r="D1356" s="5" t="s">
        <v>2065</v>
      </c>
      <c r="E1356" s="5" t="s">
        <v>117</v>
      </c>
      <c r="F1356" s="5" t="s">
        <v>213</v>
      </c>
      <c r="G1356" s="5" t="s">
        <v>214</v>
      </c>
      <c r="H1356" s="6">
        <f t="shared" si="266"/>
        <v>0.36210526328068227</v>
      </c>
      <c r="I1356" s="6">
        <f t="shared" si="261"/>
        <v>4579840.1578947371</v>
      </c>
      <c r="J1356" s="6">
        <v>870169.63</v>
      </c>
      <c r="K1356" s="6">
        <v>0</v>
      </c>
      <c r="L1356" s="6">
        <v>0</v>
      </c>
      <c r="M1356" s="6">
        <f t="shared" si="269"/>
        <v>4579840.5200000005</v>
      </c>
      <c r="N1356" s="6">
        <f t="shared" si="271"/>
        <v>870169.63</v>
      </c>
      <c r="O1356" s="6">
        <f t="shared" si="262"/>
        <v>5450010.1500000004</v>
      </c>
      <c r="P1356" s="6">
        <v>5450010.1500000004</v>
      </c>
      <c r="Q1356" s="6">
        <f t="shared" si="273"/>
        <v>4579840.5200000005</v>
      </c>
      <c r="R1356" s="6">
        <f t="shared" si="272"/>
        <v>114496.01300000001</v>
      </c>
      <c r="T1356"/>
    </row>
    <row r="1357" spans="2:22" s="5" customFormat="1" x14ac:dyDescent="0.3">
      <c r="B1357" s="5" t="s">
        <v>16</v>
      </c>
      <c r="C1357" s="5" t="s">
        <v>2115</v>
      </c>
      <c r="D1357" s="5" t="s">
        <v>2065</v>
      </c>
      <c r="E1357" s="5" t="s">
        <v>1713</v>
      </c>
      <c r="F1357" s="5" t="s">
        <v>213</v>
      </c>
      <c r="G1357" s="5" t="s">
        <v>214</v>
      </c>
      <c r="H1357" s="6">
        <f t="shared" si="266"/>
        <v>8.8421052438206971E-2</v>
      </c>
      <c r="I1357" s="6">
        <f t="shared" si="261"/>
        <v>4665366.6315789474</v>
      </c>
      <c r="J1357" s="6">
        <v>886419.66</v>
      </c>
      <c r="K1357" s="6">
        <v>0</v>
      </c>
      <c r="L1357" s="6">
        <v>0</v>
      </c>
      <c r="M1357" s="6">
        <f t="shared" si="269"/>
        <v>4665366.72</v>
      </c>
      <c r="N1357" s="6">
        <f t="shared" si="271"/>
        <v>886419.66</v>
      </c>
      <c r="O1357" s="6">
        <f t="shared" si="262"/>
        <v>5551786.3799999999</v>
      </c>
      <c r="P1357" s="6">
        <v>5551786.3799999999</v>
      </c>
      <c r="Q1357" s="6">
        <f t="shared" si="273"/>
        <v>4665366.72</v>
      </c>
      <c r="R1357" s="6">
        <f t="shared" si="272"/>
        <v>116634.16799999999</v>
      </c>
      <c r="T1357"/>
    </row>
    <row r="1358" spans="2:22" s="5" customFormat="1" x14ac:dyDescent="0.3">
      <c r="B1358" s="5" t="s">
        <v>16</v>
      </c>
      <c r="C1358" s="5" t="s">
        <v>2116</v>
      </c>
      <c r="D1358" s="5" t="s">
        <v>2068</v>
      </c>
      <c r="E1358" s="5" t="s">
        <v>599</v>
      </c>
      <c r="F1358" s="5" t="s">
        <v>213</v>
      </c>
      <c r="G1358" s="5" t="s">
        <v>214</v>
      </c>
      <c r="H1358" s="6">
        <f t="shared" si="266"/>
        <v>6.3157894794130698E-2</v>
      </c>
      <c r="I1358" s="6">
        <f t="shared" si="261"/>
        <v>743254.73684210517</v>
      </c>
      <c r="J1358" s="6">
        <v>141218.4</v>
      </c>
      <c r="K1358" s="6">
        <v>0</v>
      </c>
      <c r="L1358" s="6">
        <v>0</v>
      </c>
      <c r="M1358" s="6">
        <f t="shared" si="269"/>
        <v>743254.79999999993</v>
      </c>
      <c r="N1358" s="6">
        <f t="shared" si="271"/>
        <v>141218.4</v>
      </c>
      <c r="O1358" s="6">
        <f t="shared" si="262"/>
        <v>884473.2</v>
      </c>
      <c r="P1358" s="6">
        <v>884473.2</v>
      </c>
      <c r="Q1358" s="6">
        <f t="shared" si="273"/>
        <v>743254.79999999993</v>
      </c>
      <c r="R1358" s="6">
        <f t="shared" si="272"/>
        <v>18581.37</v>
      </c>
      <c r="T1358"/>
    </row>
    <row r="1359" spans="2:22" s="9" customFormat="1" x14ac:dyDescent="0.3">
      <c r="B1359" s="5" t="s">
        <v>16</v>
      </c>
      <c r="C1359" s="5" t="s">
        <v>2117</v>
      </c>
      <c r="D1359" s="5" t="s">
        <v>2065</v>
      </c>
      <c r="E1359" s="5" t="s">
        <v>784</v>
      </c>
      <c r="F1359" s="5" t="s">
        <v>213</v>
      </c>
      <c r="G1359" s="5" t="s">
        <v>214</v>
      </c>
      <c r="H1359" s="6">
        <f t="shared" si="266"/>
        <v>1.9999999999126885</v>
      </c>
      <c r="I1359" s="6">
        <f t="shared" si="261"/>
        <v>789916.00000000012</v>
      </c>
      <c r="J1359" s="6">
        <v>150084.04</v>
      </c>
      <c r="K1359" s="6">
        <v>0</v>
      </c>
      <c r="L1359" s="6">
        <v>0</v>
      </c>
      <c r="M1359" s="6">
        <f t="shared" si="269"/>
        <v>789918</v>
      </c>
      <c r="N1359" s="6">
        <f t="shared" si="271"/>
        <v>150084.04</v>
      </c>
      <c r="O1359" s="6">
        <f t="shared" si="262"/>
        <v>940002.04</v>
      </c>
      <c r="P1359" s="6">
        <v>940002.04</v>
      </c>
      <c r="Q1359" s="6">
        <f t="shared" si="273"/>
        <v>789918</v>
      </c>
      <c r="R1359" s="6">
        <f t="shared" si="272"/>
        <v>19747.95</v>
      </c>
      <c r="S1359" s="5"/>
      <c r="T1359"/>
      <c r="U1359"/>
      <c r="V1359"/>
    </row>
    <row r="1360" spans="2:22" s="9" customFormat="1" x14ac:dyDescent="0.3">
      <c r="B1360" s="5" t="s">
        <v>16</v>
      </c>
      <c r="C1360" s="5" t="s">
        <v>2118</v>
      </c>
      <c r="D1360" s="5" t="s">
        <v>2065</v>
      </c>
      <c r="E1360" s="5" t="s">
        <v>784</v>
      </c>
      <c r="F1360" s="5" t="s">
        <v>213</v>
      </c>
      <c r="G1360" s="5" t="s">
        <v>214</v>
      </c>
      <c r="H1360" s="6">
        <f t="shared" si="266"/>
        <v>2.3231578951235861</v>
      </c>
      <c r="I1360" s="6">
        <f t="shared" si="261"/>
        <v>6538107.7368421052</v>
      </c>
      <c r="J1360" s="6">
        <v>1242240.47</v>
      </c>
      <c r="K1360" s="6">
        <v>0</v>
      </c>
      <c r="L1360" s="6">
        <v>0</v>
      </c>
      <c r="M1360" s="6">
        <f t="shared" si="269"/>
        <v>6538110.0600000005</v>
      </c>
      <c r="N1360" s="6">
        <f t="shared" si="271"/>
        <v>1242240.47</v>
      </c>
      <c r="O1360" s="6">
        <f t="shared" si="262"/>
        <v>7780350.5300000003</v>
      </c>
      <c r="P1360" s="6">
        <v>7780350.5300000003</v>
      </c>
      <c r="Q1360" s="6">
        <f t="shared" si="273"/>
        <v>6538110.0600000005</v>
      </c>
      <c r="R1360" s="6">
        <f t="shared" si="272"/>
        <v>163452.75150000001</v>
      </c>
      <c r="S1360" s="5"/>
      <c r="T1360"/>
      <c r="U1360" s="5"/>
      <c r="V1360" s="5"/>
    </row>
    <row r="1361" spans="2:22" s="9" customFormat="1" x14ac:dyDescent="0.3">
      <c r="B1361" s="5" t="s">
        <v>16</v>
      </c>
      <c r="C1361" s="5" t="s">
        <v>2119</v>
      </c>
      <c r="D1361" s="5" t="s">
        <v>2065</v>
      </c>
      <c r="E1361" s="5" t="s">
        <v>1555</v>
      </c>
      <c r="F1361" s="5" t="s">
        <v>213</v>
      </c>
      <c r="G1361" s="5" t="s">
        <v>214</v>
      </c>
      <c r="H1361" s="6">
        <f t="shared" si="266"/>
        <v>4.2105261236429214E-2</v>
      </c>
      <c r="I1361" s="6">
        <f t="shared" si="261"/>
        <v>9436263.157894738</v>
      </c>
      <c r="J1361" s="6">
        <v>1792890</v>
      </c>
      <c r="K1361" s="6">
        <v>0</v>
      </c>
      <c r="L1361" s="6">
        <v>0</v>
      </c>
      <c r="M1361" s="6">
        <f t="shared" si="269"/>
        <v>9436263.1999999993</v>
      </c>
      <c r="N1361" s="6">
        <f t="shared" si="271"/>
        <v>1792890</v>
      </c>
      <c r="O1361" s="6">
        <f t="shared" si="262"/>
        <v>11229153.199999999</v>
      </c>
      <c r="P1361" s="6">
        <v>11229153.199999999</v>
      </c>
      <c r="Q1361" s="6">
        <f t="shared" si="273"/>
        <v>9436263.1999999993</v>
      </c>
      <c r="R1361" s="6">
        <f t="shared" si="272"/>
        <v>235906.58</v>
      </c>
      <c r="S1361" s="5"/>
      <c r="T1361"/>
      <c r="U1361" s="5"/>
      <c r="V1361" s="5"/>
    </row>
    <row r="1362" spans="2:22" s="9" customFormat="1" x14ac:dyDescent="0.3">
      <c r="B1362" s="5" t="s">
        <v>16</v>
      </c>
      <c r="C1362" s="5" t="s">
        <v>2120</v>
      </c>
      <c r="D1362" s="5" t="s">
        <v>2065</v>
      </c>
      <c r="E1362" s="5" t="s">
        <v>404</v>
      </c>
      <c r="F1362" s="5" t="s">
        <v>213</v>
      </c>
      <c r="G1362" s="5" t="s">
        <v>214</v>
      </c>
      <c r="H1362" s="6">
        <f t="shared" si="266"/>
        <v>0.18631578795611858</v>
      </c>
      <c r="I1362" s="6">
        <f t="shared" si="261"/>
        <v>15728503.473684212</v>
      </c>
      <c r="J1362" s="6">
        <v>2988415.66</v>
      </c>
      <c r="K1362" s="6">
        <v>0</v>
      </c>
      <c r="L1362" s="6">
        <v>0</v>
      </c>
      <c r="M1362" s="6">
        <f t="shared" si="269"/>
        <v>15728503.66</v>
      </c>
      <c r="N1362" s="6">
        <f t="shared" si="271"/>
        <v>2988415.66</v>
      </c>
      <c r="O1362" s="6">
        <f t="shared" si="262"/>
        <v>18716919.32</v>
      </c>
      <c r="P1362" s="6">
        <v>18716919.32</v>
      </c>
      <c r="Q1362" s="6">
        <f t="shared" si="273"/>
        <v>15728503.66</v>
      </c>
      <c r="R1362" s="6">
        <f t="shared" si="272"/>
        <v>393212.59149999998</v>
      </c>
      <c r="S1362" s="5"/>
      <c r="T1362"/>
      <c r="U1362"/>
      <c r="V1362"/>
    </row>
    <row r="1363" spans="2:22" s="9" customFormat="1" x14ac:dyDescent="0.3">
      <c r="B1363" s="5" t="s">
        <v>16</v>
      </c>
      <c r="C1363" s="5" t="s">
        <v>2121</v>
      </c>
      <c r="D1363" s="5" t="s">
        <v>2068</v>
      </c>
      <c r="E1363" s="5" t="s">
        <v>435</v>
      </c>
      <c r="F1363" s="5" t="s">
        <v>213</v>
      </c>
      <c r="G1363" s="5" t="s">
        <v>214</v>
      </c>
      <c r="H1363" s="6">
        <f t="shared" si="266"/>
        <v>0</v>
      </c>
      <c r="I1363" s="6">
        <f t="shared" si="261"/>
        <v>704000</v>
      </c>
      <c r="J1363" s="6">
        <v>133760</v>
      </c>
      <c r="K1363" s="6">
        <v>0</v>
      </c>
      <c r="L1363" s="6">
        <v>0</v>
      </c>
      <c r="M1363" s="6">
        <f t="shared" si="269"/>
        <v>704000</v>
      </c>
      <c r="N1363" s="6">
        <f t="shared" si="271"/>
        <v>133760</v>
      </c>
      <c r="O1363" s="6">
        <f t="shared" si="262"/>
        <v>837760</v>
      </c>
      <c r="P1363" s="6">
        <v>837760</v>
      </c>
      <c r="Q1363" s="6">
        <f t="shared" si="273"/>
        <v>704000</v>
      </c>
      <c r="R1363" s="6">
        <f t="shared" si="272"/>
        <v>17600</v>
      </c>
      <c r="S1363" s="5"/>
      <c r="T1363"/>
      <c r="U1363"/>
      <c r="V1363"/>
    </row>
    <row r="1364" spans="2:22" s="9" customFormat="1" x14ac:dyDescent="0.3">
      <c r="B1364" s="5" t="s">
        <v>16</v>
      </c>
      <c r="C1364" s="5" t="s">
        <v>2122</v>
      </c>
      <c r="D1364" s="5" t="s">
        <v>2068</v>
      </c>
      <c r="E1364" s="5" t="s">
        <v>607</v>
      </c>
      <c r="F1364" s="5" t="s">
        <v>213</v>
      </c>
      <c r="G1364" s="5" t="s">
        <v>214</v>
      </c>
      <c r="H1364" s="6">
        <f t="shared" si="266"/>
        <v>512144.4</v>
      </c>
      <c r="I1364" s="6">
        <f t="shared" si="261"/>
        <v>209310</v>
      </c>
      <c r="J1364" s="6">
        <v>39768.9</v>
      </c>
      <c r="K1364" s="6">
        <v>0</v>
      </c>
      <c r="L1364" s="6">
        <v>0</v>
      </c>
      <c r="M1364" s="6">
        <f t="shared" si="269"/>
        <v>721454.4</v>
      </c>
      <c r="N1364" s="6">
        <f t="shared" si="271"/>
        <v>39768.9</v>
      </c>
      <c r="O1364" s="6">
        <f t="shared" si="262"/>
        <v>761223.3</v>
      </c>
      <c r="P1364" s="6">
        <v>761223.3</v>
      </c>
      <c r="Q1364" s="6">
        <f t="shared" si="273"/>
        <v>721454.4</v>
      </c>
      <c r="R1364" s="6">
        <f t="shared" si="272"/>
        <v>18036.36</v>
      </c>
      <c r="S1364" s="5"/>
      <c r="T1364"/>
      <c r="U1364"/>
      <c r="V1364"/>
    </row>
    <row r="1365" spans="2:22" s="9" customFormat="1" x14ac:dyDescent="0.3">
      <c r="B1365" s="5" t="s">
        <v>16</v>
      </c>
      <c r="C1365" s="5" t="s">
        <v>2123</v>
      </c>
      <c r="D1365" s="5" t="s">
        <v>2068</v>
      </c>
      <c r="E1365" s="5" t="s">
        <v>610</v>
      </c>
      <c r="F1365" s="5" t="s">
        <v>213</v>
      </c>
      <c r="G1365" s="5" t="s">
        <v>214</v>
      </c>
      <c r="H1365" s="6">
        <f t="shared" si="266"/>
        <v>516230.39999999997</v>
      </c>
      <c r="I1365" s="6">
        <f t="shared" si="261"/>
        <v>251220.00000000003</v>
      </c>
      <c r="J1365" s="6">
        <v>47731.8</v>
      </c>
      <c r="K1365" s="6">
        <v>0</v>
      </c>
      <c r="L1365" s="6">
        <v>0</v>
      </c>
      <c r="M1365" s="6">
        <f t="shared" si="269"/>
        <v>767450.4</v>
      </c>
      <c r="N1365" s="6">
        <f t="shared" si="271"/>
        <v>47731.8</v>
      </c>
      <c r="O1365" s="6">
        <f t="shared" si="262"/>
        <v>815182.20000000007</v>
      </c>
      <c r="P1365" s="6">
        <v>815182.2</v>
      </c>
      <c r="Q1365" s="6">
        <f t="shared" si="273"/>
        <v>767450.4</v>
      </c>
      <c r="R1365" s="6">
        <f t="shared" si="272"/>
        <v>19186.259999999998</v>
      </c>
      <c r="S1365" s="5"/>
      <c r="T1365"/>
      <c r="U1365" s="5"/>
      <c r="V1365" s="5"/>
    </row>
    <row r="1366" spans="2:22" s="9" customFormat="1" x14ac:dyDescent="0.3">
      <c r="B1366" s="5" t="s">
        <v>16</v>
      </c>
      <c r="C1366" s="5" t="s">
        <v>2124</v>
      </c>
      <c r="D1366" s="5" t="s">
        <v>2065</v>
      </c>
      <c r="E1366" s="5" t="s">
        <v>413</v>
      </c>
      <c r="F1366" s="5" t="s">
        <v>213</v>
      </c>
      <c r="G1366" s="5" t="s">
        <v>214</v>
      </c>
      <c r="H1366" s="6">
        <f t="shared" si="266"/>
        <v>2.0210526317241602</v>
      </c>
      <c r="I1366" s="6">
        <f t="shared" si="261"/>
        <v>1760295.5789473683</v>
      </c>
      <c r="J1366" s="6">
        <v>334456.15999999997</v>
      </c>
      <c r="K1366" s="6">
        <v>0</v>
      </c>
      <c r="L1366" s="6">
        <v>0</v>
      </c>
      <c r="M1366" s="6">
        <f t="shared" si="269"/>
        <v>1760297.6</v>
      </c>
      <c r="N1366" s="6">
        <f t="shared" si="271"/>
        <v>334456.15999999997</v>
      </c>
      <c r="O1366" s="6">
        <f t="shared" si="262"/>
        <v>2094753.76</v>
      </c>
      <c r="P1366" s="6">
        <v>2094753.76</v>
      </c>
      <c r="Q1366" s="6">
        <f t="shared" si="273"/>
        <v>1760297.6</v>
      </c>
      <c r="R1366" s="6">
        <f t="shared" si="272"/>
        <v>44007.44</v>
      </c>
      <c r="S1366" s="5"/>
      <c r="T1366"/>
      <c r="U1366" s="5"/>
      <c r="V1366" s="5"/>
    </row>
    <row r="1367" spans="2:22" s="9" customFormat="1" x14ac:dyDescent="0.3">
      <c r="B1367" s="5" t="s">
        <v>16</v>
      </c>
      <c r="C1367" s="5" t="s">
        <v>2125</v>
      </c>
      <c r="D1367" s="5" t="s">
        <v>2065</v>
      </c>
      <c r="E1367" s="5" t="s">
        <v>212</v>
      </c>
      <c r="F1367" s="5" t="s">
        <v>213</v>
      </c>
      <c r="G1367" s="5" t="s">
        <v>214</v>
      </c>
      <c r="H1367" s="6">
        <f t="shared" si="266"/>
        <v>0</v>
      </c>
      <c r="I1367" s="6">
        <f t="shared" si="261"/>
        <v>5707500</v>
      </c>
      <c r="J1367" s="6">
        <v>1084425</v>
      </c>
      <c r="K1367" s="6">
        <v>0</v>
      </c>
      <c r="L1367" s="6">
        <v>0</v>
      </c>
      <c r="M1367" s="6">
        <f t="shared" si="269"/>
        <v>5707500</v>
      </c>
      <c r="N1367" s="6">
        <f t="shared" si="271"/>
        <v>1084425</v>
      </c>
      <c r="O1367" s="6">
        <f t="shared" si="262"/>
        <v>6791925</v>
      </c>
      <c r="P1367" s="6">
        <v>6791925</v>
      </c>
      <c r="Q1367" s="6">
        <f t="shared" si="273"/>
        <v>5707500</v>
      </c>
      <c r="R1367" s="6">
        <f t="shared" si="272"/>
        <v>142687.5</v>
      </c>
      <c r="S1367" s="5"/>
      <c r="T1367"/>
      <c r="U1367" s="5"/>
      <c r="V1367" s="5"/>
    </row>
    <row r="1368" spans="2:22" s="9" customFormat="1" x14ac:dyDescent="0.3">
      <c r="B1368" s="5" t="s">
        <v>16</v>
      </c>
      <c r="C1368" s="5" t="s">
        <v>2126</v>
      </c>
      <c r="D1368" s="5" t="s">
        <v>2065</v>
      </c>
      <c r="E1368" s="5" t="s">
        <v>607</v>
      </c>
      <c r="F1368" s="5" t="s">
        <v>213</v>
      </c>
      <c r="G1368" s="5" t="s">
        <v>214</v>
      </c>
      <c r="H1368" s="6">
        <f t="shared" si="266"/>
        <v>3.8947369437664747E-2</v>
      </c>
      <c r="I1368" s="6">
        <f t="shared" si="261"/>
        <v>10838308.421052631</v>
      </c>
      <c r="J1368" s="6">
        <v>2059278.6</v>
      </c>
      <c r="K1368" s="6">
        <v>0</v>
      </c>
      <c r="L1368" s="6">
        <v>0</v>
      </c>
      <c r="M1368" s="6">
        <f t="shared" si="269"/>
        <v>10838308.460000001</v>
      </c>
      <c r="N1368" s="6">
        <f t="shared" si="271"/>
        <v>2059278.6</v>
      </c>
      <c r="O1368" s="6">
        <f t="shared" si="262"/>
        <v>12897587.060000001</v>
      </c>
      <c r="P1368" s="6">
        <v>12897587.060000001</v>
      </c>
      <c r="Q1368" s="6">
        <f t="shared" si="273"/>
        <v>10838308.460000001</v>
      </c>
      <c r="R1368" s="6">
        <f t="shared" si="272"/>
        <v>270957.71150000003</v>
      </c>
      <c r="S1368" s="5"/>
      <c r="T1368"/>
      <c r="U1368" s="5"/>
      <c r="V1368" s="5"/>
    </row>
    <row r="1369" spans="2:22" s="9" customFormat="1" x14ac:dyDescent="0.3">
      <c r="B1369" s="5" t="s">
        <v>16</v>
      </c>
      <c r="C1369" s="5" t="s">
        <v>2127</v>
      </c>
      <c r="D1369" s="5" t="s">
        <v>2065</v>
      </c>
      <c r="E1369" s="5" t="s">
        <v>607</v>
      </c>
      <c r="F1369" s="5" t="s">
        <v>213</v>
      </c>
      <c r="G1369" s="5" t="s">
        <v>214</v>
      </c>
      <c r="H1369" s="6">
        <f t="shared" si="266"/>
        <v>5.6315787136554718E-2</v>
      </c>
      <c r="I1369" s="6">
        <f t="shared" si="261"/>
        <v>15957085.473684212</v>
      </c>
      <c r="J1369" s="6">
        <v>3031846.24</v>
      </c>
      <c r="K1369" s="6">
        <v>0</v>
      </c>
      <c r="L1369" s="6">
        <v>0</v>
      </c>
      <c r="M1369" s="6">
        <f t="shared" si="269"/>
        <v>15957085.529999999</v>
      </c>
      <c r="N1369" s="6">
        <f t="shared" si="271"/>
        <v>3031846.24</v>
      </c>
      <c r="O1369" s="6">
        <f t="shared" si="262"/>
        <v>18988931.77</v>
      </c>
      <c r="P1369" s="6">
        <v>18988931.77</v>
      </c>
      <c r="Q1369" s="6">
        <f t="shared" si="273"/>
        <v>15957085.529999999</v>
      </c>
      <c r="R1369" s="6">
        <f t="shared" si="272"/>
        <v>398927.13824999996</v>
      </c>
      <c r="S1369" s="5"/>
      <c r="T1369"/>
      <c r="U1369" s="5"/>
      <c r="V1369" s="5"/>
    </row>
    <row r="1370" spans="2:22" s="9" customFormat="1" x14ac:dyDescent="0.3">
      <c r="B1370" s="5" t="s">
        <v>16</v>
      </c>
      <c r="C1370" s="5" t="s">
        <v>2128</v>
      </c>
      <c r="D1370" s="5" t="s">
        <v>2065</v>
      </c>
      <c r="E1370" s="5" t="s">
        <v>126</v>
      </c>
      <c r="F1370" s="5" t="s">
        <v>213</v>
      </c>
      <c r="G1370" s="5" t="s">
        <v>214</v>
      </c>
      <c r="H1370" s="6">
        <f>+P1370-I1370-J1370-K1370-L1370</f>
        <v>4.842105257557705E-2</v>
      </c>
      <c r="I1370" s="6">
        <f t="shared" si="261"/>
        <v>1670359.6315789474</v>
      </c>
      <c r="J1370" s="6">
        <v>317368.33</v>
      </c>
      <c r="K1370" s="6">
        <v>0</v>
      </c>
      <c r="L1370" s="6">
        <v>0</v>
      </c>
      <c r="M1370" s="6">
        <f t="shared" si="269"/>
        <v>1670359.68</v>
      </c>
      <c r="N1370" s="6">
        <f t="shared" si="271"/>
        <v>317368.33</v>
      </c>
      <c r="O1370" s="6">
        <f t="shared" si="262"/>
        <v>1987728.01</v>
      </c>
      <c r="P1370" s="6">
        <v>1987728.01</v>
      </c>
      <c r="Q1370" s="6">
        <f>+M1370-1670360</f>
        <v>-0.32000000006519258</v>
      </c>
      <c r="R1370" s="6">
        <f t="shared" si="272"/>
        <v>-8.0000000016298145E-3</v>
      </c>
      <c r="S1370" s="5"/>
      <c r="T1370"/>
      <c r="U1370"/>
      <c r="V1370"/>
    </row>
    <row r="1371" spans="2:22" s="9" customFormat="1" x14ac:dyDescent="0.3">
      <c r="B1371" s="5" t="s">
        <v>16</v>
      </c>
      <c r="C1371" s="5" t="s">
        <v>2129</v>
      </c>
      <c r="D1371" s="5" t="s">
        <v>2068</v>
      </c>
      <c r="E1371" s="5" t="s">
        <v>1254</v>
      </c>
      <c r="F1371" s="5" t="s">
        <v>213</v>
      </c>
      <c r="G1371" s="5" t="s">
        <v>214</v>
      </c>
      <c r="H1371" s="6">
        <f>+P1371-I1371-J1371-K1371-L1371</f>
        <v>0.13578947371570393</v>
      </c>
      <c r="I1371" s="6">
        <f t="shared" si="261"/>
        <v>1676457.6842105263</v>
      </c>
      <c r="J1371" s="6">
        <v>318526.96000000002</v>
      </c>
      <c r="K1371" s="6">
        <v>0</v>
      </c>
      <c r="L1371" s="6">
        <v>0</v>
      </c>
      <c r="M1371" s="6">
        <f t="shared" si="269"/>
        <v>1676457.82</v>
      </c>
      <c r="N1371" s="6">
        <f t="shared" si="271"/>
        <v>318526.96000000002</v>
      </c>
      <c r="O1371" s="6">
        <f t="shared" si="262"/>
        <v>1994984.78</v>
      </c>
      <c r="P1371" s="6">
        <v>1994984.78</v>
      </c>
      <c r="Q1371" s="6">
        <f>+M1371</f>
        <v>1676457.82</v>
      </c>
      <c r="R1371" s="6">
        <f t="shared" si="272"/>
        <v>41911.445500000002</v>
      </c>
      <c r="S1371" s="5"/>
      <c r="T1371"/>
      <c r="U1371"/>
      <c r="V1371"/>
    </row>
    <row r="1372" spans="2:22" s="9" customFormat="1" x14ac:dyDescent="0.3">
      <c r="B1372" s="5" t="s">
        <v>16</v>
      </c>
      <c r="C1372" s="5" t="s">
        <v>2130</v>
      </c>
      <c r="D1372" s="5" t="s">
        <v>2065</v>
      </c>
      <c r="E1372" s="5" t="s">
        <v>1044</v>
      </c>
      <c r="F1372" s="5" t="s">
        <v>213</v>
      </c>
      <c r="G1372" s="5" t="s">
        <v>214</v>
      </c>
      <c r="H1372" s="6">
        <f>+P1372-I1372-J1372-K1372-L1372</f>
        <v>1.0526319034397602E-2</v>
      </c>
      <c r="I1372" s="6">
        <f t="shared" si="261"/>
        <v>15408313.789473683</v>
      </c>
      <c r="J1372" s="6">
        <v>2927579.62</v>
      </c>
      <c r="K1372" s="6">
        <v>0</v>
      </c>
      <c r="L1372" s="6">
        <v>0</v>
      </c>
      <c r="M1372" s="6">
        <f t="shared" si="269"/>
        <v>15408313.800000001</v>
      </c>
      <c r="N1372" s="6">
        <f t="shared" si="271"/>
        <v>2927579.62</v>
      </c>
      <c r="O1372" s="6">
        <f t="shared" si="262"/>
        <v>18335893.420000002</v>
      </c>
      <c r="P1372" s="6">
        <v>18335893.420000002</v>
      </c>
      <c r="Q1372" s="6">
        <f>+M1372</f>
        <v>15408313.800000001</v>
      </c>
      <c r="R1372" s="6">
        <f t="shared" si="272"/>
        <v>385207.84499999997</v>
      </c>
      <c r="S1372" s="5"/>
      <c r="T1372"/>
      <c r="U1372" s="5"/>
      <c r="V1372" s="5"/>
    </row>
    <row r="1373" spans="2:22" s="5" customFormat="1" x14ac:dyDescent="0.3">
      <c r="B1373" s="5" t="s">
        <v>16</v>
      </c>
      <c r="C1373" s="5" t="s">
        <v>2131</v>
      </c>
      <c r="D1373" s="5" t="s">
        <v>2068</v>
      </c>
      <c r="E1373" s="5" t="s">
        <v>1122</v>
      </c>
      <c r="F1373" s="5" t="s">
        <v>213</v>
      </c>
      <c r="G1373" s="5" t="s">
        <v>214</v>
      </c>
      <c r="H1373" s="6">
        <v>0</v>
      </c>
      <c r="I1373" s="6">
        <f t="shared" si="261"/>
        <v>1815649.6315789474</v>
      </c>
      <c r="J1373" s="6">
        <v>344973.43</v>
      </c>
      <c r="K1373" s="6">
        <v>0</v>
      </c>
      <c r="L1373" s="6">
        <v>0</v>
      </c>
      <c r="M1373" s="6">
        <f t="shared" si="269"/>
        <v>1815649.6315789474</v>
      </c>
      <c r="N1373" s="6">
        <f t="shared" si="271"/>
        <v>344973.43</v>
      </c>
      <c r="O1373" s="6">
        <f t="shared" si="262"/>
        <v>2160623.0615789476</v>
      </c>
      <c r="P1373" s="6">
        <v>2160623.15</v>
      </c>
      <c r="Q1373" s="6">
        <f>+M1373</f>
        <v>1815649.6315789474</v>
      </c>
      <c r="R1373" s="6">
        <f t="shared" si="272"/>
        <v>45391.24078947369</v>
      </c>
      <c r="T1373"/>
    </row>
    <row r="1374" spans="2:22" s="5" customFormat="1" x14ac:dyDescent="0.3">
      <c r="B1374" s="5" t="s">
        <v>16</v>
      </c>
      <c r="C1374" s="5" t="s">
        <v>2132</v>
      </c>
      <c r="D1374" s="5" t="s">
        <v>2065</v>
      </c>
      <c r="E1374" s="5" t="s">
        <v>2133</v>
      </c>
      <c r="F1374" s="5" t="s">
        <v>213</v>
      </c>
      <c r="G1374" s="5" t="s">
        <v>214</v>
      </c>
      <c r="H1374" s="6">
        <v>0</v>
      </c>
      <c r="I1374" s="6">
        <f t="shared" ref="I1374:I1437" si="274">+J1374/19*100</f>
        <v>6290100.7894736836</v>
      </c>
      <c r="J1374" s="6">
        <v>1195119.1499999999</v>
      </c>
      <c r="K1374" s="6">
        <v>0</v>
      </c>
      <c r="L1374" s="6">
        <v>0</v>
      </c>
      <c r="M1374" s="6">
        <f t="shared" si="269"/>
        <v>6290100.7894736836</v>
      </c>
      <c r="N1374" s="6">
        <f t="shared" si="271"/>
        <v>1195119.1499999999</v>
      </c>
      <c r="O1374" s="6">
        <f t="shared" ref="O1374:O1437" si="275">+M1374+N1374</f>
        <v>7485219.939473683</v>
      </c>
      <c r="P1374" s="6">
        <v>7485222.3200000003</v>
      </c>
      <c r="Q1374" s="6">
        <f>+M1374</f>
        <v>6290100.7894736836</v>
      </c>
      <c r="R1374" s="6">
        <f t="shared" si="272"/>
        <v>157252.51973684208</v>
      </c>
      <c r="T1374"/>
    </row>
    <row r="1375" spans="2:22" s="5" customFormat="1" x14ac:dyDescent="0.3">
      <c r="B1375" s="5" t="s">
        <v>16</v>
      </c>
      <c r="C1375" s="5" t="s">
        <v>2134</v>
      </c>
      <c r="D1375" s="5" t="s">
        <v>2065</v>
      </c>
      <c r="E1375" s="5" t="s">
        <v>42</v>
      </c>
      <c r="F1375" s="5" t="s">
        <v>213</v>
      </c>
      <c r="G1375" s="5" t="s">
        <v>214</v>
      </c>
      <c r="H1375" s="6">
        <v>0</v>
      </c>
      <c r="I1375" s="6">
        <f t="shared" si="274"/>
        <v>21586169.578947369</v>
      </c>
      <c r="J1375" s="6">
        <v>4101372.22</v>
      </c>
      <c r="K1375" s="6">
        <v>0</v>
      </c>
      <c r="L1375" s="6">
        <v>0</v>
      </c>
      <c r="M1375" s="6">
        <f t="shared" si="269"/>
        <v>21586169.578947369</v>
      </c>
      <c r="N1375" s="6">
        <f t="shared" si="271"/>
        <v>4101372.22</v>
      </c>
      <c r="O1375" s="6">
        <f t="shared" si="275"/>
        <v>25687541.798947368</v>
      </c>
      <c r="P1375" s="6">
        <v>25687541.920000002</v>
      </c>
      <c r="Q1375" s="6">
        <f>+M1375</f>
        <v>21586169.578947369</v>
      </c>
      <c r="R1375" s="6">
        <f t="shared" si="272"/>
        <v>539654.23947368423</v>
      </c>
      <c r="T1375"/>
    </row>
    <row r="1376" spans="2:22" s="5" customFormat="1" x14ac:dyDescent="0.3">
      <c r="B1376" s="5" t="s">
        <v>16</v>
      </c>
      <c r="C1376" s="5" t="s">
        <v>2135</v>
      </c>
      <c r="D1376" s="5" t="s">
        <v>2068</v>
      </c>
      <c r="E1376" s="5" t="s">
        <v>1188</v>
      </c>
      <c r="F1376" s="5" t="s">
        <v>213</v>
      </c>
      <c r="G1376" s="5" t="s">
        <v>214</v>
      </c>
      <c r="H1376" s="6">
        <f>+P1376-I1376-J1376</f>
        <v>8.7368420980055816E-2</v>
      </c>
      <c r="I1376" s="6">
        <f t="shared" si="274"/>
        <v>473578.05263157899</v>
      </c>
      <c r="J1376" s="6">
        <v>89979.83</v>
      </c>
      <c r="K1376" s="6">
        <v>0</v>
      </c>
      <c r="L1376" s="6">
        <v>0</v>
      </c>
      <c r="M1376" s="6">
        <f t="shared" si="269"/>
        <v>473578.13999999996</v>
      </c>
      <c r="N1376" s="6">
        <f t="shared" si="271"/>
        <v>89979.83</v>
      </c>
      <c r="O1376" s="6">
        <f t="shared" si="275"/>
        <v>563557.97</v>
      </c>
      <c r="P1376" s="6">
        <v>563557.97</v>
      </c>
      <c r="Q1376" s="6">
        <v>0</v>
      </c>
      <c r="R1376" s="6">
        <f t="shared" si="272"/>
        <v>0</v>
      </c>
      <c r="T1376"/>
      <c r="U1376" s="7"/>
      <c r="V1376" s="7"/>
    </row>
    <row r="1377" spans="2:22" s="5" customFormat="1" x14ac:dyDescent="0.3">
      <c r="B1377" s="5" t="s">
        <v>16</v>
      </c>
      <c r="C1377" s="5" t="s">
        <v>2136</v>
      </c>
      <c r="D1377" s="5" t="s">
        <v>2068</v>
      </c>
      <c r="E1377" s="5" t="s">
        <v>1342</v>
      </c>
      <c r="F1377" s="5" t="s">
        <v>213</v>
      </c>
      <c r="G1377" s="5" t="s">
        <v>214</v>
      </c>
      <c r="H1377" s="6">
        <f>+P1377-I1377-J1377-K1377-L1377</f>
        <v>666218.01684210508</v>
      </c>
      <c r="I1377" s="6">
        <f t="shared" si="274"/>
        <v>996873.26315789483</v>
      </c>
      <c r="J1377" s="6">
        <v>189405.92</v>
      </c>
      <c r="K1377" s="6">
        <v>0</v>
      </c>
      <c r="L1377" s="6">
        <v>0</v>
      </c>
      <c r="M1377" s="6">
        <f t="shared" si="269"/>
        <v>1663091.2799999998</v>
      </c>
      <c r="N1377" s="6">
        <f t="shared" si="271"/>
        <v>189405.92</v>
      </c>
      <c r="O1377" s="6">
        <f t="shared" si="275"/>
        <v>1852497.1999999997</v>
      </c>
      <c r="P1377" s="6">
        <v>1852497.2</v>
      </c>
      <c r="Q1377" s="6">
        <f>+M1377</f>
        <v>1663091.2799999998</v>
      </c>
      <c r="R1377" s="6">
        <f t="shared" si="272"/>
        <v>41577.281999999992</v>
      </c>
      <c r="T1377"/>
      <c r="U1377"/>
      <c r="V1377"/>
    </row>
    <row r="1378" spans="2:22" s="5" customFormat="1" x14ac:dyDescent="0.3">
      <c r="B1378" s="5" t="s">
        <v>16</v>
      </c>
      <c r="C1378" s="5" t="s">
        <v>2137</v>
      </c>
      <c r="D1378" s="5" t="s">
        <v>2065</v>
      </c>
      <c r="E1378" s="5" t="s">
        <v>735</v>
      </c>
      <c r="F1378" s="5" t="s">
        <v>213</v>
      </c>
      <c r="G1378" s="5" t="s">
        <v>214</v>
      </c>
      <c r="H1378" s="6">
        <f>+P1378-I1378-J1378-K1378-L1378</f>
        <v>1.067368422052823</v>
      </c>
      <c r="I1378" s="6">
        <f t="shared" si="274"/>
        <v>4208349.0526315784</v>
      </c>
      <c r="J1378" s="6">
        <v>799586.32</v>
      </c>
      <c r="K1378" s="6">
        <v>0</v>
      </c>
      <c r="L1378" s="6">
        <v>0</v>
      </c>
      <c r="M1378" s="6">
        <f t="shared" si="269"/>
        <v>4208350.12</v>
      </c>
      <c r="N1378" s="6">
        <f t="shared" si="271"/>
        <v>799586.32</v>
      </c>
      <c r="O1378" s="6">
        <f t="shared" si="275"/>
        <v>5007936.4400000004</v>
      </c>
      <c r="P1378" s="6">
        <v>5007936.4400000004</v>
      </c>
      <c r="Q1378" s="6">
        <f>+M1378</f>
        <v>4208350.12</v>
      </c>
      <c r="R1378" s="6">
        <f t="shared" si="272"/>
        <v>105208.75300000001</v>
      </c>
      <c r="T1378"/>
    </row>
    <row r="1379" spans="2:22" s="5" customFormat="1" x14ac:dyDescent="0.3">
      <c r="B1379" s="5" t="s">
        <v>16</v>
      </c>
      <c r="C1379" s="5" t="s">
        <v>2138</v>
      </c>
      <c r="D1379" s="5" t="s">
        <v>2139</v>
      </c>
      <c r="E1379" s="5" t="s">
        <v>537</v>
      </c>
      <c r="F1379" s="5" t="s">
        <v>2140</v>
      </c>
      <c r="G1379" s="5" t="s">
        <v>2141</v>
      </c>
      <c r="H1379" s="6">
        <f>+P1379-I1379-J1379</f>
        <v>3.1578947236994281E-3</v>
      </c>
      <c r="I1379" s="6">
        <f t="shared" si="274"/>
        <v>621848.73684210528</v>
      </c>
      <c r="J1379" s="6">
        <v>118151.26</v>
      </c>
      <c r="K1379" s="6">
        <v>0</v>
      </c>
      <c r="L1379" s="6">
        <v>0</v>
      </c>
      <c r="M1379" s="6">
        <f t="shared" si="269"/>
        <v>621848.74</v>
      </c>
      <c r="N1379" s="6">
        <f t="shared" si="271"/>
        <v>118151.26</v>
      </c>
      <c r="O1379" s="6">
        <f t="shared" si="275"/>
        <v>740000</v>
      </c>
      <c r="P1379" s="6">
        <v>740000</v>
      </c>
      <c r="Q1379" s="6">
        <v>0</v>
      </c>
      <c r="R1379" s="6">
        <f t="shared" si="272"/>
        <v>0</v>
      </c>
      <c r="T1379"/>
    </row>
    <row r="1380" spans="2:22" s="5" customFormat="1" x14ac:dyDescent="0.3">
      <c r="B1380" s="5" t="s">
        <v>16</v>
      </c>
      <c r="C1380" s="5" t="s">
        <v>2142</v>
      </c>
      <c r="D1380" s="5" t="s">
        <v>2143</v>
      </c>
      <c r="E1380" s="5" t="s">
        <v>1148</v>
      </c>
      <c r="F1380" s="5" t="s">
        <v>321</v>
      </c>
      <c r="G1380" s="5" t="s">
        <v>322</v>
      </c>
      <c r="H1380" s="6">
        <f>+P1380-I1380-J1380</f>
        <v>0</v>
      </c>
      <c r="I1380" s="6">
        <f t="shared" si="274"/>
        <v>5184700</v>
      </c>
      <c r="J1380" s="6">
        <v>985093</v>
      </c>
      <c r="K1380" s="6">
        <v>0</v>
      </c>
      <c r="L1380" s="6">
        <v>0</v>
      </c>
      <c r="M1380" s="6">
        <f t="shared" si="269"/>
        <v>5184700</v>
      </c>
      <c r="N1380" s="6">
        <f>J1380+L1380</f>
        <v>985093</v>
      </c>
      <c r="O1380" s="6">
        <f t="shared" si="275"/>
        <v>6169793</v>
      </c>
      <c r="P1380" s="6">
        <v>6169793</v>
      </c>
      <c r="Q1380" s="6">
        <f>+M1380-156000</f>
        <v>5028700</v>
      </c>
      <c r="R1380" s="6">
        <f t="shared" si="272"/>
        <v>125717.5</v>
      </c>
      <c r="T1380"/>
    </row>
    <row r="1381" spans="2:22" s="5" customFormat="1" x14ac:dyDescent="0.3">
      <c r="B1381" s="5" t="s">
        <v>16</v>
      </c>
      <c r="C1381" s="5" t="s">
        <v>2144</v>
      </c>
      <c r="D1381" s="5" t="s">
        <v>2143</v>
      </c>
      <c r="E1381" s="5" t="s">
        <v>753</v>
      </c>
      <c r="F1381" s="5" t="s">
        <v>321</v>
      </c>
      <c r="G1381" s="5" t="s">
        <v>322</v>
      </c>
      <c r="H1381" s="6">
        <f>+P1381-I1381-J1381</f>
        <v>0</v>
      </c>
      <c r="I1381" s="6">
        <f t="shared" si="274"/>
        <v>4552800</v>
      </c>
      <c r="J1381" s="6">
        <v>865032</v>
      </c>
      <c r="K1381" s="6">
        <v>0</v>
      </c>
      <c r="L1381" s="6">
        <v>0</v>
      </c>
      <c r="M1381" s="6">
        <f t="shared" si="269"/>
        <v>4552800</v>
      </c>
      <c r="N1381" s="6">
        <f>+J1381+L1381</f>
        <v>865032</v>
      </c>
      <c r="O1381" s="6">
        <f t="shared" si="275"/>
        <v>5417832</v>
      </c>
      <c r="P1381" s="6">
        <v>5417832</v>
      </c>
      <c r="Q1381" s="6">
        <f>+M1381</f>
        <v>4552800</v>
      </c>
      <c r="R1381" s="6">
        <f t="shared" si="272"/>
        <v>113820</v>
      </c>
      <c r="T1381"/>
    </row>
    <row r="1382" spans="2:22" s="5" customFormat="1" x14ac:dyDescent="0.3">
      <c r="B1382" s="5" t="s">
        <v>16</v>
      </c>
      <c r="C1382" s="5" t="s">
        <v>2145</v>
      </c>
      <c r="D1382" s="5" t="s">
        <v>2143</v>
      </c>
      <c r="E1382" s="5" t="s">
        <v>1037</v>
      </c>
      <c r="F1382" s="5" t="s">
        <v>321</v>
      </c>
      <c r="G1382" s="5" t="s">
        <v>322</v>
      </c>
      <c r="H1382" s="6">
        <f>+P1382-I1382-J1382</f>
        <v>-1.4736842107959092</v>
      </c>
      <c r="I1382" s="6">
        <f t="shared" si="274"/>
        <v>3781089.4736842108</v>
      </c>
      <c r="J1382" s="6">
        <v>718407</v>
      </c>
      <c r="K1382" s="6">
        <v>0</v>
      </c>
      <c r="L1382" s="6">
        <v>0</v>
      </c>
      <c r="M1382" s="6">
        <f t="shared" si="269"/>
        <v>3781088</v>
      </c>
      <c r="N1382" s="6">
        <f>+J1382+L1382</f>
        <v>718407</v>
      </c>
      <c r="O1382" s="6">
        <f t="shared" si="275"/>
        <v>4499495</v>
      </c>
      <c r="P1382" s="6">
        <v>4499495</v>
      </c>
      <c r="Q1382" s="6">
        <f>+M1382</f>
        <v>3781088</v>
      </c>
      <c r="R1382" s="6">
        <f t="shared" si="272"/>
        <v>94527.2</v>
      </c>
      <c r="T1382"/>
    </row>
    <row r="1383" spans="2:22" s="5" customFormat="1" x14ac:dyDescent="0.3">
      <c r="B1383" s="5" t="s">
        <v>16</v>
      </c>
      <c r="C1383" s="5" t="s">
        <v>2146</v>
      </c>
      <c r="D1383" s="5" t="s">
        <v>35</v>
      </c>
      <c r="E1383" s="5" t="s">
        <v>549</v>
      </c>
      <c r="F1383" s="5" t="s">
        <v>2147</v>
      </c>
      <c r="G1383" s="5" t="s">
        <v>2148</v>
      </c>
      <c r="H1383" s="6">
        <v>-3.3684210851788521E-2</v>
      </c>
      <c r="I1383" s="6">
        <f t="shared" si="274"/>
        <v>8100595.4736842103</v>
      </c>
      <c r="J1383" s="6">
        <v>1539113.14</v>
      </c>
      <c r="K1383" s="6">
        <v>0</v>
      </c>
      <c r="L1383" s="6">
        <v>0</v>
      </c>
      <c r="M1383" s="6">
        <f t="shared" si="269"/>
        <v>8100595.4399999995</v>
      </c>
      <c r="N1383" s="6">
        <f>+J1383+L1383</f>
        <v>1539113.14</v>
      </c>
      <c r="O1383" s="6">
        <f t="shared" si="275"/>
        <v>9639708.5800000001</v>
      </c>
      <c r="P1383" s="6">
        <v>9639708.5800000001</v>
      </c>
      <c r="Q1383" s="6">
        <v>0</v>
      </c>
      <c r="R1383" s="6">
        <f t="shared" si="272"/>
        <v>0</v>
      </c>
      <c r="T1383"/>
      <c r="U1383" s="7"/>
      <c r="V1383" s="7"/>
    </row>
    <row r="1384" spans="2:22" s="5" customFormat="1" x14ac:dyDescent="0.3">
      <c r="B1384" s="5" t="s">
        <v>16</v>
      </c>
      <c r="C1384" s="5" t="s">
        <v>2149</v>
      </c>
      <c r="D1384" s="5" t="s">
        <v>35</v>
      </c>
      <c r="E1384" s="5" t="s">
        <v>692</v>
      </c>
      <c r="F1384" s="5" t="s">
        <v>2147</v>
      </c>
      <c r="G1384" s="5" t="s">
        <v>2148</v>
      </c>
      <c r="H1384" s="6">
        <v>-2.7368421317078173E-2</v>
      </c>
      <c r="I1384" s="6">
        <f t="shared" si="274"/>
        <v>2121113.9473684211</v>
      </c>
      <c r="J1384" s="6">
        <v>403011.65</v>
      </c>
      <c r="K1384" s="6"/>
      <c r="L1384" s="6"/>
      <c r="M1384" s="6">
        <f>+H1384+I1384</f>
        <v>2121113.92</v>
      </c>
      <c r="N1384" s="6">
        <f>+J1384</f>
        <v>403011.65</v>
      </c>
      <c r="O1384" s="6">
        <f t="shared" si="275"/>
        <v>2524125.5699999998</v>
      </c>
      <c r="P1384" s="6">
        <v>2524125.5699999998</v>
      </c>
      <c r="Q1384" s="6"/>
      <c r="R1384" s="6">
        <f t="shared" si="272"/>
        <v>0</v>
      </c>
      <c r="T1384"/>
      <c r="U1384" s="7"/>
      <c r="V1384" s="7"/>
    </row>
    <row r="1385" spans="2:22" s="5" customFormat="1" x14ac:dyDescent="0.3">
      <c r="B1385" s="5" t="s">
        <v>16</v>
      </c>
      <c r="C1385" s="5" t="s">
        <v>2150</v>
      </c>
      <c r="D1385" s="5" t="s">
        <v>35</v>
      </c>
      <c r="E1385" s="5" t="s">
        <v>1086</v>
      </c>
      <c r="F1385" s="5" t="s">
        <v>2147</v>
      </c>
      <c r="G1385" s="5" t="s">
        <v>2148</v>
      </c>
      <c r="H1385" s="6">
        <v>-1.4210526293027215E-2</v>
      </c>
      <c r="I1385" s="6">
        <f t="shared" si="274"/>
        <v>554830.68421052629</v>
      </c>
      <c r="J1385" s="6">
        <v>105417.83</v>
      </c>
      <c r="K1385" s="6"/>
      <c r="L1385" s="6"/>
      <c r="M1385" s="6">
        <f>+H1385+I1385</f>
        <v>554830.67000000004</v>
      </c>
      <c r="N1385" s="6">
        <f>+J1385</f>
        <v>105417.83</v>
      </c>
      <c r="O1385" s="6">
        <f t="shared" si="275"/>
        <v>660248.5</v>
      </c>
      <c r="P1385" s="6">
        <v>660248.5</v>
      </c>
      <c r="Q1385" s="6"/>
      <c r="R1385" s="6">
        <f t="shared" si="272"/>
        <v>0</v>
      </c>
      <c r="T1385"/>
    </row>
    <row r="1386" spans="2:22" s="5" customFormat="1" x14ac:dyDescent="0.3">
      <c r="B1386" s="7" t="s">
        <v>16</v>
      </c>
      <c r="C1386" s="7" t="s">
        <v>2151</v>
      </c>
      <c r="D1386" s="7" t="s">
        <v>35</v>
      </c>
      <c r="E1386" s="7" t="s">
        <v>1473</v>
      </c>
      <c r="F1386" s="7" t="s">
        <v>2147</v>
      </c>
      <c r="G1386" s="7" t="s">
        <v>2148</v>
      </c>
      <c r="H1386" s="8">
        <f t="shared" ref="H1386:H1410" si="276">+P1386-I1386-J1386</f>
        <v>-6.3157894765026867E-3</v>
      </c>
      <c r="I1386" s="8">
        <f t="shared" si="274"/>
        <v>443260.5263157895</v>
      </c>
      <c r="J1386" s="8">
        <v>84219.5</v>
      </c>
      <c r="K1386" s="8">
        <v>0</v>
      </c>
      <c r="L1386" s="8">
        <v>0</v>
      </c>
      <c r="M1386" s="8">
        <f>+I1386+H1386</f>
        <v>443260.52</v>
      </c>
      <c r="N1386" s="8">
        <f t="shared" ref="N1386:N1439" si="277">+J1386+L1386</f>
        <v>84219.5</v>
      </c>
      <c r="O1386" s="8">
        <f t="shared" si="275"/>
        <v>527480.02</v>
      </c>
      <c r="P1386" s="8">
        <v>527480.02</v>
      </c>
      <c r="Q1386" s="8">
        <v>0</v>
      </c>
      <c r="R1386" s="8">
        <f t="shared" si="272"/>
        <v>0</v>
      </c>
      <c r="T1386"/>
    </row>
    <row r="1387" spans="2:22" s="5" customFormat="1" x14ac:dyDescent="0.3">
      <c r="B1387" s="7" t="s">
        <v>16</v>
      </c>
      <c r="C1387" s="7" t="s">
        <v>2152</v>
      </c>
      <c r="D1387" s="7" t="s">
        <v>35</v>
      </c>
      <c r="E1387" s="7" t="s">
        <v>1473</v>
      </c>
      <c r="F1387" s="7" t="s">
        <v>2147</v>
      </c>
      <c r="G1387" s="7" t="s">
        <v>2148</v>
      </c>
      <c r="H1387" s="8">
        <f t="shared" si="276"/>
        <v>-5.2631581202149391E-2</v>
      </c>
      <c r="I1387" s="8">
        <f t="shared" si="274"/>
        <v>12082367.052631581</v>
      </c>
      <c r="J1387" s="8">
        <v>2295649.7400000002</v>
      </c>
      <c r="K1387" s="8">
        <v>0</v>
      </c>
      <c r="L1387" s="8">
        <v>0</v>
      </c>
      <c r="M1387" s="8">
        <f>+I1387+H1387</f>
        <v>12082367</v>
      </c>
      <c r="N1387" s="8">
        <f t="shared" si="277"/>
        <v>2295649.7400000002</v>
      </c>
      <c r="O1387" s="8">
        <f t="shared" si="275"/>
        <v>14378016.74</v>
      </c>
      <c r="P1387" s="8">
        <v>14378016.74</v>
      </c>
      <c r="Q1387" s="8">
        <v>0</v>
      </c>
      <c r="R1387" s="8">
        <f t="shared" si="272"/>
        <v>0</v>
      </c>
      <c r="T1387"/>
    </row>
    <row r="1388" spans="2:22" x14ac:dyDescent="0.3">
      <c r="B1388" s="7" t="s">
        <v>16</v>
      </c>
      <c r="C1388" s="7" t="s">
        <v>2153</v>
      </c>
      <c r="D1388" s="7" t="s">
        <v>35</v>
      </c>
      <c r="E1388" s="7" t="s">
        <v>2154</v>
      </c>
      <c r="F1388" s="7" t="s">
        <v>2147</v>
      </c>
      <c r="G1388" s="7" t="s">
        <v>2148</v>
      </c>
      <c r="H1388" s="8">
        <f t="shared" si="276"/>
        <v>5.2631578873842955E-3</v>
      </c>
      <c r="I1388" s="8">
        <f t="shared" si="274"/>
        <v>239268.89473684211</v>
      </c>
      <c r="J1388" s="8">
        <v>45461.09</v>
      </c>
      <c r="K1388" s="8">
        <v>0</v>
      </c>
      <c r="L1388" s="8">
        <v>0</v>
      </c>
      <c r="M1388" s="8">
        <f>+I1388+H1388</f>
        <v>239268.9</v>
      </c>
      <c r="N1388" s="8">
        <f t="shared" si="277"/>
        <v>45461.09</v>
      </c>
      <c r="O1388" s="8">
        <f t="shared" si="275"/>
        <v>284729.99</v>
      </c>
      <c r="P1388" s="8">
        <v>284729.99</v>
      </c>
      <c r="Q1388" s="8">
        <v>0</v>
      </c>
      <c r="R1388" s="8">
        <f t="shared" si="272"/>
        <v>0</v>
      </c>
      <c r="S1388" s="5"/>
      <c r="U1388" s="5"/>
      <c r="V1388" s="5"/>
    </row>
    <row r="1389" spans="2:22" x14ac:dyDescent="0.3">
      <c r="B1389" s="7" t="s">
        <v>16</v>
      </c>
      <c r="C1389" s="7" t="s">
        <v>2155</v>
      </c>
      <c r="D1389" s="7" t="s">
        <v>35</v>
      </c>
      <c r="E1389" s="7" t="s">
        <v>2154</v>
      </c>
      <c r="F1389" s="7" t="s">
        <v>2147</v>
      </c>
      <c r="G1389" s="7" t="s">
        <v>2148</v>
      </c>
      <c r="H1389" s="8">
        <f t="shared" si="276"/>
        <v>-9.1052631963975728E-2</v>
      </c>
      <c r="I1389" s="8">
        <f t="shared" si="274"/>
        <v>3039845.4210526319</v>
      </c>
      <c r="J1389" s="8">
        <v>577570.63</v>
      </c>
      <c r="K1389" s="8">
        <v>0</v>
      </c>
      <c r="L1389" s="8">
        <v>0</v>
      </c>
      <c r="M1389" s="8">
        <f>+I1389+H1389</f>
        <v>3039845.33</v>
      </c>
      <c r="N1389" s="8">
        <f t="shared" si="277"/>
        <v>577570.63</v>
      </c>
      <c r="O1389" s="8">
        <f t="shared" si="275"/>
        <v>3617415.96</v>
      </c>
      <c r="P1389" s="8">
        <v>3617415.96</v>
      </c>
      <c r="Q1389" s="8">
        <v>0</v>
      </c>
      <c r="R1389" s="8">
        <f t="shared" si="272"/>
        <v>0</v>
      </c>
      <c r="S1389" s="5"/>
      <c r="U1389" s="5"/>
      <c r="V1389" s="5"/>
    </row>
    <row r="1390" spans="2:22" s="5" customFormat="1" x14ac:dyDescent="0.3">
      <c r="B1390" s="5" t="s">
        <v>16</v>
      </c>
      <c r="C1390" s="5" t="s">
        <v>2156</v>
      </c>
      <c r="D1390" s="5" t="s">
        <v>35</v>
      </c>
      <c r="E1390" s="5" t="s">
        <v>469</v>
      </c>
      <c r="F1390" s="5" t="s">
        <v>2147</v>
      </c>
      <c r="G1390" s="5" t="s">
        <v>2148</v>
      </c>
      <c r="H1390" s="6">
        <f t="shared" si="276"/>
        <v>-1.8421052605845034E-2</v>
      </c>
      <c r="I1390" s="6">
        <f t="shared" si="274"/>
        <v>404321.36842105258</v>
      </c>
      <c r="J1390" s="6">
        <v>76821.06</v>
      </c>
      <c r="K1390" s="6">
        <v>0</v>
      </c>
      <c r="L1390" s="6">
        <v>0</v>
      </c>
      <c r="M1390" s="6">
        <f t="shared" ref="M1390:M1429" si="278">+H1390+I1390+K1390</f>
        <v>404321.35</v>
      </c>
      <c r="N1390" s="6">
        <f t="shared" si="277"/>
        <v>76821.06</v>
      </c>
      <c r="O1390" s="6">
        <f t="shared" si="275"/>
        <v>481142.41</v>
      </c>
      <c r="P1390" s="6">
        <v>481142.41</v>
      </c>
      <c r="Q1390" s="6">
        <v>0</v>
      </c>
      <c r="R1390" s="6">
        <f t="shared" si="272"/>
        <v>0</v>
      </c>
      <c r="S1390"/>
      <c r="T1390"/>
    </row>
    <row r="1391" spans="2:22" s="5" customFormat="1" x14ac:dyDescent="0.3">
      <c r="B1391" s="5" t="s">
        <v>16</v>
      </c>
      <c r="C1391" s="5" t="s">
        <v>2157</v>
      </c>
      <c r="D1391" s="5" t="s">
        <v>35</v>
      </c>
      <c r="E1391" s="5" t="s">
        <v>994</v>
      </c>
      <c r="F1391" s="5" t="s">
        <v>2147</v>
      </c>
      <c r="G1391" s="5" t="s">
        <v>2148</v>
      </c>
      <c r="H1391" s="6">
        <f t="shared" si="276"/>
        <v>8.4210531786084175E-3</v>
      </c>
      <c r="I1391" s="6">
        <f t="shared" si="274"/>
        <v>8842604.6315789465</v>
      </c>
      <c r="J1391" s="6">
        <v>1680094.88</v>
      </c>
      <c r="K1391" s="6">
        <v>0</v>
      </c>
      <c r="L1391" s="6">
        <v>0</v>
      </c>
      <c r="M1391" s="6">
        <f t="shared" si="278"/>
        <v>8842604.6400000006</v>
      </c>
      <c r="N1391" s="6">
        <f t="shared" si="277"/>
        <v>1680094.88</v>
      </c>
      <c r="O1391" s="6">
        <f t="shared" si="275"/>
        <v>10522699.52</v>
      </c>
      <c r="P1391" s="6">
        <v>10522699.52</v>
      </c>
      <c r="Q1391" s="6">
        <v>0</v>
      </c>
      <c r="R1391" s="6">
        <f t="shared" si="272"/>
        <v>0</v>
      </c>
      <c r="T1391"/>
    </row>
    <row r="1392" spans="2:22" x14ac:dyDescent="0.3">
      <c r="B1392" s="5" t="s">
        <v>16</v>
      </c>
      <c r="C1392" s="5" t="s">
        <v>2158</v>
      </c>
      <c r="D1392" s="5" t="s">
        <v>35</v>
      </c>
      <c r="E1392" s="5" t="s">
        <v>994</v>
      </c>
      <c r="F1392" s="5" t="s">
        <v>2147</v>
      </c>
      <c r="G1392" s="5" t="s">
        <v>2148</v>
      </c>
      <c r="H1392" s="6">
        <f t="shared" si="276"/>
        <v>-7.8947368456283584E-3</v>
      </c>
      <c r="I1392" s="6">
        <f t="shared" si="274"/>
        <v>324857.15789473685</v>
      </c>
      <c r="J1392" s="6">
        <v>61722.86</v>
      </c>
      <c r="K1392" s="6">
        <v>0</v>
      </c>
      <c r="L1392" s="6">
        <v>0</v>
      </c>
      <c r="M1392" s="6">
        <f t="shared" si="278"/>
        <v>324857.15000000002</v>
      </c>
      <c r="N1392" s="6">
        <f t="shared" si="277"/>
        <v>61722.86</v>
      </c>
      <c r="O1392" s="6">
        <f t="shared" si="275"/>
        <v>386580.01</v>
      </c>
      <c r="P1392" s="6">
        <v>386580.01</v>
      </c>
      <c r="Q1392" s="6">
        <v>0</v>
      </c>
      <c r="R1392" s="6">
        <f t="shared" si="272"/>
        <v>0</v>
      </c>
      <c r="S1392" s="5"/>
      <c r="U1392" s="5"/>
      <c r="V1392" s="5"/>
    </row>
    <row r="1393" spans="2:22" x14ac:dyDescent="0.3">
      <c r="B1393" s="5" t="s">
        <v>16</v>
      </c>
      <c r="C1393" s="5" t="s">
        <v>2159</v>
      </c>
      <c r="D1393" s="5" t="s">
        <v>35</v>
      </c>
      <c r="E1393" s="5" t="s">
        <v>638</v>
      </c>
      <c r="F1393" s="5" t="s">
        <v>2147</v>
      </c>
      <c r="G1393" s="5" t="s">
        <v>2148</v>
      </c>
      <c r="H1393" s="6">
        <f t="shared" si="276"/>
        <v>6.105263065546751E-2</v>
      </c>
      <c r="I1393" s="6">
        <f t="shared" si="274"/>
        <v>13049804.578947369</v>
      </c>
      <c r="J1393" s="6">
        <v>2479462.87</v>
      </c>
      <c r="K1393" s="6">
        <v>0</v>
      </c>
      <c r="L1393" s="6">
        <v>0</v>
      </c>
      <c r="M1393" s="6">
        <f t="shared" si="278"/>
        <v>13049804.640000001</v>
      </c>
      <c r="N1393" s="6">
        <f t="shared" si="277"/>
        <v>2479462.87</v>
      </c>
      <c r="O1393" s="6">
        <f t="shared" si="275"/>
        <v>15529267.510000002</v>
      </c>
      <c r="P1393" s="6">
        <v>15529267.51</v>
      </c>
      <c r="Q1393" s="6">
        <v>0</v>
      </c>
      <c r="R1393" s="6">
        <f t="shared" si="272"/>
        <v>0</v>
      </c>
      <c r="S1393" s="5"/>
      <c r="U1393" s="5"/>
      <c r="V1393" s="5"/>
    </row>
    <row r="1394" spans="2:22" x14ac:dyDescent="0.3">
      <c r="B1394" s="5" t="s">
        <v>16</v>
      </c>
      <c r="C1394" s="5" t="s">
        <v>2160</v>
      </c>
      <c r="D1394" s="5" t="s">
        <v>35</v>
      </c>
      <c r="E1394" s="5" t="s">
        <v>638</v>
      </c>
      <c r="F1394" s="5" t="s">
        <v>2147</v>
      </c>
      <c r="G1394" s="5" t="s">
        <v>2148</v>
      </c>
      <c r="H1394" s="6">
        <f t="shared" si="276"/>
        <v>-1.0526315949391574E-2</v>
      </c>
      <c r="I1394" s="6">
        <f t="shared" si="274"/>
        <v>1882783.2105263157</v>
      </c>
      <c r="J1394" s="6">
        <v>357728.81</v>
      </c>
      <c r="K1394" s="6">
        <v>0</v>
      </c>
      <c r="L1394" s="6">
        <v>0</v>
      </c>
      <c r="M1394" s="6">
        <f t="shared" si="278"/>
        <v>1882783.1999999997</v>
      </c>
      <c r="N1394" s="6">
        <f t="shared" si="277"/>
        <v>357728.81</v>
      </c>
      <c r="O1394" s="6">
        <f t="shared" si="275"/>
        <v>2240512.0099999998</v>
      </c>
      <c r="P1394" s="6">
        <v>2240512.0099999998</v>
      </c>
      <c r="Q1394" s="6">
        <v>0</v>
      </c>
      <c r="R1394" s="6">
        <f t="shared" si="272"/>
        <v>0</v>
      </c>
      <c r="S1394" s="7"/>
      <c r="U1394" s="5"/>
      <c r="V1394" s="5"/>
    </row>
    <row r="1395" spans="2:22" x14ac:dyDescent="0.3">
      <c r="B1395" s="5" t="s">
        <v>16</v>
      </c>
      <c r="C1395" s="5" t="s">
        <v>2161</v>
      </c>
      <c r="D1395" s="5" t="s">
        <v>35</v>
      </c>
      <c r="E1395" s="5" t="s">
        <v>784</v>
      </c>
      <c r="F1395" s="5" t="s">
        <v>2147</v>
      </c>
      <c r="G1395" s="5" t="s">
        <v>2148</v>
      </c>
      <c r="H1395" s="6">
        <f t="shared" si="276"/>
        <v>-9.3157895258627832E-2</v>
      </c>
      <c r="I1395" s="6">
        <f t="shared" si="274"/>
        <v>5149452.2631578948</v>
      </c>
      <c r="J1395" s="6">
        <v>978395.93</v>
      </c>
      <c r="K1395" s="6">
        <v>0</v>
      </c>
      <c r="L1395" s="6">
        <v>0</v>
      </c>
      <c r="M1395" s="6">
        <f t="shared" si="278"/>
        <v>5149452.17</v>
      </c>
      <c r="N1395" s="6">
        <f t="shared" si="277"/>
        <v>978395.93</v>
      </c>
      <c r="O1395" s="6">
        <f t="shared" si="275"/>
        <v>6127848.0999999996</v>
      </c>
      <c r="P1395" s="6">
        <v>6127848.0999999996</v>
      </c>
      <c r="Q1395" s="6">
        <v>0</v>
      </c>
      <c r="R1395" s="6">
        <f t="shared" si="272"/>
        <v>0</v>
      </c>
      <c r="S1395" s="7"/>
      <c r="U1395" s="5"/>
      <c r="V1395" s="5"/>
    </row>
    <row r="1396" spans="2:22" s="5" customFormat="1" x14ac:dyDescent="0.3">
      <c r="B1396" s="5" t="s">
        <v>16</v>
      </c>
      <c r="C1396" s="5" t="s">
        <v>2162</v>
      </c>
      <c r="D1396" s="5" t="s">
        <v>35</v>
      </c>
      <c r="E1396" s="5" t="s">
        <v>602</v>
      </c>
      <c r="F1396" s="5" t="s">
        <v>2147</v>
      </c>
      <c r="G1396" s="5" t="s">
        <v>2148</v>
      </c>
      <c r="H1396" s="6">
        <f t="shared" si="276"/>
        <v>2.3157894738687901E-2</v>
      </c>
      <c r="I1396" s="6">
        <f t="shared" si="274"/>
        <v>119011.73684210525</v>
      </c>
      <c r="J1396" s="6">
        <v>22612.23</v>
      </c>
      <c r="K1396" s="6">
        <v>0</v>
      </c>
      <c r="L1396" s="6">
        <v>0</v>
      </c>
      <c r="M1396" s="6">
        <f t="shared" si="278"/>
        <v>119011.76</v>
      </c>
      <c r="N1396" s="6">
        <f t="shared" si="277"/>
        <v>22612.23</v>
      </c>
      <c r="O1396" s="6">
        <f t="shared" si="275"/>
        <v>141623.99</v>
      </c>
      <c r="P1396" s="6">
        <v>141623.99</v>
      </c>
      <c r="Q1396" s="6">
        <v>0</v>
      </c>
      <c r="R1396" s="6">
        <f t="shared" si="272"/>
        <v>0</v>
      </c>
      <c r="T1396"/>
    </row>
    <row r="1397" spans="2:22" s="5" customFormat="1" x14ac:dyDescent="0.3">
      <c r="B1397" s="5" t="s">
        <v>16</v>
      </c>
      <c r="C1397" s="5" t="s">
        <v>2163</v>
      </c>
      <c r="D1397" s="5" t="s">
        <v>35</v>
      </c>
      <c r="E1397" s="5" t="s">
        <v>602</v>
      </c>
      <c r="F1397" s="5" t="s">
        <v>2147</v>
      </c>
      <c r="G1397" s="5" t="s">
        <v>2148</v>
      </c>
      <c r="H1397" s="6">
        <f t="shared" si="276"/>
        <v>-1.3684210483916104E-2</v>
      </c>
      <c r="I1397" s="6">
        <f t="shared" si="274"/>
        <v>450415.4736842105</v>
      </c>
      <c r="J1397" s="6">
        <v>85578.94</v>
      </c>
      <c r="K1397" s="6">
        <v>0</v>
      </c>
      <c r="L1397" s="6">
        <v>0</v>
      </c>
      <c r="M1397" s="6">
        <f t="shared" si="278"/>
        <v>450415.46</v>
      </c>
      <c r="N1397" s="6">
        <f t="shared" si="277"/>
        <v>85578.94</v>
      </c>
      <c r="O1397" s="6">
        <f t="shared" si="275"/>
        <v>535994.4</v>
      </c>
      <c r="P1397" s="6">
        <v>535994.4</v>
      </c>
      <c r="Q1397" s="6">
        <v>0</v>
      </c>
      <c r="R1397" s="6">
        <f t="shared" si="272"/>
        <v>0</v>
      </c>
      <c r="S1397"/>
      <c r="T1397"/>
      <c r="U1397" s="7"/>
      <c r="V1397" s="7"/>
    </row>
    <row r="1398" spans="2:22" s="5" customFormat="1" x14ac:dyDescent="0.3">
      <c r="B1398" s="5" t="s">
        <v>16</v>
      </c>
      <c r="C1398" s="5" t="s">
        <v>2164</v>
      </c>
      <c r="D1398" s="5" t="s">
        <v>35</v>
      </c>
      <c r="E1398" s="5" t="s">
        <v>1199</v>
      </c>
      <c r="F1398" s="5" t="s">
        <v>2147</v>
      </c>
      <c r="G1398" s="5" t="s">
        <v>2148</v>
      </c>
      <c r="H1398" s="6">
        <f t="shared" si="276"/>
        <v>-2.1052631622296758E-2</v>
      </c>
      <c r="I1398" s="6">
        <f t="shared" si="274"/>
        <v>337188.42105263163</v>
      </c>
      <c r="J1398" s="6">
        <v>64065.8</v>
      </c>
      <c r="K1398" s="6">
        <v>0</v>
      </c>
      <c r="L1398" s="6">
        <v>0</v>
      </c>
      <c r="M1398" s="6">
        <f t="shared" si="278"/>
        <v>337188.4</v>
      </c>
      <c r="N1398" s="6">
        <f t="shared" si="277"/>
        <v>64065.8</v>
      </c>
      <c r="O1398" s="6">
        <f t="shared" si="275"/>
        <v>401254.2</v>
      </c>
      <c r="P1398" s="6">
        <v>401254.2</v>
      </c>
      <c r="Q1398" s="6">
        <v>0</v>
      </c>
      <c r="R1398" s="6">
        <f t="shared" si="272"/>
        <v>0</v>
      </c>
      <c r="T1398"/>
      <c r="U1398" s="7"/>
      <c r="V1398" s="7"/>
    </row>
    <row r="1399" spans="2:22" s="5" customFormat="1" x14ac:dyDescent="0.3">
      <c r="B1399" s="5" t="s">
        <v>16</v>
      </c>
      <c r="C1399" s="5" t="s">
        <v>2165</v>
      </c>
      <c r="D1399" s="5" t="s">
        <v>35</v>
      </c>
      <c r="E1399" s="5" t="s">
        <v>1199</v>
      </c>
      <c r="F1399" s="5" t="s">
        <v>2147</v>
      </c>
      <c r="G1399" s="5" t="s">
        <v>2148</v>
      </c>
      <c r="H1399" s="6">
        <f t="shared" si="276"/>
        <v>-6.2631578766740859E-2</v>
      </c>
      <c r="I1399" s="6">
        <f t="shared" si="274"/>
        <v>2256448.0526315789</v>
      </c>
      <c r="J1399" s="6">
        <v>428725.13</v>
      </c>
      <c r="K1399" s="6">
        <v>0</v>
      </c>
      <c r="L1399" s="6">
        <v>0</v>
      </c>
      <c r="M1399" s="6">
        <f t="shared" si="278"/>
        <v>2256447.9900000002</v>
      </c>
      <c r="N1399" s="6">
        <f t="shared" si="277"/>
        <v>428725.13</v>
      </c>
      <c r="O1399" s="6">
        <f t="shared" si="275"/>
        <v>2685173.12</v>
      </c>
      <c r="P1399" s="6">
        <v>2685173.12</v>
      </c>
      <c r="Q1399" s="6">
        <v>0</v>
      </c>
      <c r="R1399" s="6">
        <f t="shared" si="272"/>
        <v>0</v>
      </c>
      <c r="T1399"/>
      <c r="U1399"/>
      <c r="V1399"/>
    </row>
    <row r="1400" spans="2:22" s="5" customFormat="1" x14ac:dyDescent="0.3">
      <c r="B1400" s="5" t="s">
        <v>16</v>
      </c>
      <c r="C1400" s="5" t="s">
        <v>2166</v>
      </c>
      <c r="D1400" s="5" t="s">
        <v>35</v>
      </c>
      <c r="E1400" s="5" t="s">
        <v>758</v>
      </c>
      <c r="F1400" s="5" t="s">
        <v>2147</v>
      </c>
      <c r="G1400" s="5" t="s">
        <v>2148</v>
      </c>
      <c r="H1400" s="6">
        <f t="shared" si="276"/>
        <v>-5.7894736863090657E-2</v>
      </c>
      <c r="I1400" s="6">
        <f t="shared" si="274"/>
        <v>523844.15789473685</v>
      </c>
      <c r="J1400" s="6">
        <v>99530.39</v>
      </c>
      <c r="K1400" s="6">
        <v>0</v>
      </c>
      <c r="L1400" s="6">
        <v>0</v>
      </c>
      <c r="M1400" s="6">
        <f t="shared" si="278"/>
        <v>523844.1</v>
      </c>
      <c r="N1400" s="6">
        <f t="shared" si="277"/>
        <v>99530.39</v>
      </c>
      <c r="O1400" s="6">
        <f t="shared" si="275"/>
        <v>623374.49</v>
      </c>
      <c r="P1400" s="6">
        <v>623374.49</v>
      </c>
      <c r="Q1400" s="6">
        <v>0</v>
      </c>
      <c r="R1400" s="6">
        <f t="shared" si="272"/>
        <v>0</v>
      </c>
      <c r="T1400"/>
    </row>
    <row r="1401" spans="2:22" s="5" customFormat="1" x14ac:dyDescent="0.3">
      <c r="B1401" s="5" t="s">
        <v>16</v>
      </c>
      <c r="C1401" s="5" t="s">
        <v>2167</v>
      </c>
      <c r="D1401" s="5" t="s">
        <v>35</v>
      </c>
      <c r="E1401" s="5" t="s">
        <v>2168</v>
      </c>
      <c r="F1401" s="5" t="s">
        <v>2147</v>
      </c>
      <c r="G1401" s="5" t="s">
        <v>2148</v>
      </c>
      <c r="H1401" s="6">
        <f t="shared" si="276"/>
        <v>5.2631577709689736E-3</v>
      </c>
      <c r="I1401" s="6">
        <f t="shared" si="274"/>
        <v>4672054.8947368423</v>
      </c>
      <c r="J1401" s="6">
        <v>887690.43</v>
      </c>
      <c r="K1401" s="6">
        <v>0</v>
      </c>
      <c r="L1401" s="6">
        <v>0</v>
      </c>
      <c r="M1401" s="6">
        <f t="shared" si="278"/>
        <v>4672054.9000000004</v>
      </c>
      <c r="N1401" s="6">
        <f t="shared" si="277"/>
        <v>887690.43</v>
      </c>
      <c r="O1401" s="6">
        <f t="shared" si="275"/>
        <v>5559745.3300000001</v>
      </c>
      <c r="P1401" s="6">
        <v>5559745.3300000001</v>
      </c>
      <c r="Q1401" s="6">
        <v>0</v>
      </c>
      <c r="R1401" s="6">
        <f t="shared" si="272"/>
        <v>0</v>
      </c>
      <c r="T1401"/>
    </row>
    <row r="1402" spans="2:22" x14ac:dyDescent="0.3">
      <c r="B1402" s="5" t="s">
        <v>16</v>
      </c>
      <c r="C1402" s="5" t="s">
        <v>2169</v>
      </c>
      <c r="D1402" s="5" t="s">
        <v>35</v>
      </c>
      <c r="E1402" s="5" t="s">
        <v>2168</v>
      </c>
      <c r="F1402" s="5" t="s">
        <v>2147</v>
      </c>
      <c r="G1402" s="5" t="s">
        <v>2148</v>
      </c>
      <c r="H1402" s="6">
        <f t="shared" si="276"/>
        <v>-4.7368421073770151E-3</v>
      </c>
      <c r="I1402" s="6">
        <f t="shared" si="274"/>
        <v>95226.894736842107</v>
      </c>
      <c r="J1402" s="6">
        <v>18093.11</v>
      </c>
      <c r="K1402" s="6">
        <v>0</v>
      </c>
      <c r="L1402" s="6">
        <v>0</v>
      </c>
      <c r="M1402" s="6">
        <f t="shared" si="278"/>
        <v>95226.89</v>
      </c>
      <c r="N1402" s="6">
        <f t="shared" si="277"/>
        <v>18093.11</v>
      </c>
      <c r="O1402" s="6">
        <f t="shared" si="275"/>
        <v>113320</v>
      </c>
      <c r="P1402" s="6">
        <v>113320</v>
      </c>
      <c r="Q1402" s="6">
        <v>0</v>
      </c>
      <c r="R1402" s="6">
        <f t="shared" si="272"/>
        <v>0</v>
      </c>
      <c r="S1402" s="5"/>
      <c r="U1402" s="5"/>
      <c r="V1402" s="5"/>
    </row>
    <row r="1403" spans="2:22" x14ac:dyDescent="0.3">
      <c r="B1403" s="5" t="s">
        <v>16</v>
      </c>
      <c r="C1403" s="5" t="s">
        <v>2170</v>
      </c>
      <c r="D1403" s="5" t="s">
        <v>35</v>
      </c>
      <c r="E1403" s="5" t="s">
        <v>72</v>
      </c>
      <c r="F1403" s="5" t="s">
        <v>2147</v>
      </c>
      <c r="G1403" s="5" t="s">
        <v>2148</v>
      </c>
      <c r="H1403" s="6">
        <f t="shared" si="276"/>
        <v>-2.5263157964218408E-2</v>
      </c>
      <c r="I1403" s="6">
        <f t="shared" si="274"/>
        <v>886689.10526315798</v>
      </c>
      <c r="J1403" s="6">
        <v>168470.93</v>
      </c>
      <c r="K1403" s="6">
        <v>0</v>
      </c>
      <c r="L1403" s="6">
        <v>0</v>
      </c>
      <c r="M1403" s="6">
        <f t="shared" si="278"/>
        <v>886689.08000000007</v>
      </c>
      <c r="N1403" s="6">
        <f t="shared" si="277"/>
        <v>168470.93</v>
      </c>
      <c r="O1403" s="6">
        <f t="shared" si="275"/>
        <v>1055160.01</v>
      </c>
      <c r="P1403" s="6">
        <v>1055160.01</v>
      </c>
      <c r="Q1403" s="6">
        <v>0</v>
      </c>
      <c r="R1403" s="6">
        <f t="shared" si="272"/>
        <v>0</v>
      </c>
      <c r="S1403" s="5"/>
      <c r="U1403" s="5"/>
      <c r="V1403" s="5"/>
    </row>
    <row r="1404" spans="2:22" x14ac:dyDescent="0.3">
      <c r="B1404" s="5" t="s">
        <v>16</v>
      </c>
      <c r="C1404" s="5" t="s">
        <v>2171</v>
      </c>
      <c r="D1404" s="5" t="s">
        <v>35</v>
      </c>
      <c r="E1404" s="5" t="s">
        <v>72</v>
      </c>
      <c r="F1404" s="5" t="s">
        <v>2147</v>
      </c>
      <c r="G1404" s="5" t="s">
        <v>2148</v>
      </c>
      <c r="H1404" s="6">
        <f t="shared" si="276"/>
        <v>-5.2631579055741895E-3</v>
      </c>
      <c r="I1404" s="6">
        <f t="shared" si="274"/>
        <v>70572.105263157908</v>
      </c>
      <c r="J1404" s="6">
        <v>13408.7</v>
      </c>
      <c r="K1404" s="6">
        <v>0</v>
      </c>
      <c r="L1404" s="6">
        <v>0</v>
      </c>
      <c r="M1404" s="6">
        <f t="shared" si="278"/>
        <v>70572.100000000006</v>
      </c>
      <c r="N1404" s="6">
        <f t="shared" si="277"/>
        <v>13408.7</v>
      </c>
      <c r="O1404" s="6">
        <f t="shared" si="275"/>
        <v>83980.800000000003</v>
      </c>
      <c r="P1404" s="6">
        <v>83980.800000000003</v>
      </c>
      <c r="Q1404" s="6">
        <v>0</v>
      </c>
      <c r="R1404" s="6">
        <f t="shared" si="272"/>
        <v>0</v>
      </c>
      <c r="S1404" s="5"/>
      <c r="U1404" s="5"/>
      <c r="V1404" s="5"/>
    </row>
    <row r="1405" spans="2:22" x14ac:dyDescent="0.3">
      <c r="B1405" s="5" t="s">
        <v>16</v>
      </c>
      <c r="C1405" s="5" t="s">
        <v>2172</v>
      </c>
      <c r="D1405" s="5" t="s">
        <v>35</v>
      </c>
      <c r="E1405" s="5" t="s">
        <v>72</v>
      </c>
      <c r="F1405" s="5" t="s">
        <v>2147</v>
      </c>
      <c r="G1405" s="5" t="s">
        <v>2148</v>
      </c>
      <c r="H1405" s="6">
        <f t="shared" si="276"/>
        <v>9.9999999365536496E-3</v>
      </c>
      <c r="I1405" s="6">
        <f t="shared" si="274"/>
        <v>382521.00000000006</v>
      </c>
      <c r="J1405" s="6">
        <v>72678.990000000005</v>
      </c>
      <c r="K1405" s="6">
        <v>0</v>
      </c>
      <c r="L1405" s="6">
        <v>0</v>
      </c>
      <c r="M1405" s="6">
        <f t="shared" si="278"/>
        <v>382521.01</v>
      </c>
      <c r="N1405" s="6">
        <f t="shared" si="277"/>
        <v>72678.990000000005</v>
      </c>
      <c r="O1405" s="6">
        <f t="shared" si="275"/>
        <v>455200</v>
      </c>
      <c r="P1405" s="6">
        <v>455200</v>
      </c>
      <c r="Q1405" s="6">
        <v>0</v>
      </c>
      <c r="R1405" s="6">
        <f t="shared" si="272"/>
        <v>0</v>
      </c>
      <c r="S1405" s="5"/>
      <c r="U1405" s="5"/>
      <c r="V1405" s="5"/>
    </row>
    <row r="1406" spans="2:22" x14ac:dyDescent="0.3">
      <c r="B1406" s="5" t="s">
        <v>16</v>
      </c>
      <c r="C1406" s="5" t="s">
        <v>2173</v>
      </c>
      <c r="D1406" s="5" t="s">
        <v>35</v>
      </c>
      <c r="E1406" s="5" t="s">
        <v>191</v>
      </c>
      <c r="F1406" s="5" t="s">
        <v>2147</v>
      </c>
      <c r="G1406" s="5" t="s">
        <v>2148</v>
      </c>
      <c r="H1406" s="6">
        <f t="shared" si="276"/>
        <v>7.4210526421666145E-2</v>
      </c>
      <c r="I1406" s="6">
        <f t="shared" si="274"/>
        <v>20664369.315789472</v>
      </c>
      <c r="J1406" s="6">
        <v>3926230.17</v>
      </c>
      <c r="K1406" s="6">
        <v>0</v>
      </c>
      <c r="L1406" s="6">
        <v>0</v>
      </c>
      <c r="M1406" s="6">
        <f t="shared" si="278"/>
        <v>20664369.390000001</v>
      </c>
      <c r="N1406" s="6">
        <f t="shared" si="277"/>
        <v>3926230.17</v>
      </c>
      <c r="O1406" s="6">
        <f t="shared" si="275"/>
        <v>24590599.560000002</v>
      </c>
      <c r="P1406" s="6">
        <v>24590599.559999999</v>
      </c>
      <c r="Q1406" s="6">
        <v>0</v>
      </c>
      <c r="R1406" s="6">
        <f t="shared" si="272"/>
        <v>0</v>
      </c>
      <c r="S1406" s="5"/>
      <c r="U1406" s="5"/>
      <c r="V1406" s="5"/>
    </row>
    <row r="1407" spans="2:22" x14ac:dyDescent="0.3">
      <c r="B1407" s="5" t="s">
        <v>16</v>
      </c>
      <c r="C1407" s="5" t="s">
        <v>2174</v>
      </c>
      <c r="D1407" s="5" t="s">
        <v>35</v>
      </c>
      <c r="E1407" s="5" t="s">
        <v>191</v>
      </c>
      <c r="F1407" s="5" t="s">
        <v>2147</v>
      </c>
      <c r="G1407" s="5" t="s">
        <v>2148</v>
      </c>
      <c r="H1407" s="6">
        <f t="shared" si="276"/>
        <v>2.6315788854844868E-3</v>
      </c>
      <c r="I1407" s="6">
        <f t="shared" si="274"/>
        <v>824873.94736842113</v>
      </c>
      <c r="J1407" s="6">
        <v>156726.04999999999</v>
      </c>
      <c r="K1407" s="6">
        <v>0</v>
      </c>
      <c r="L1407" s="6">
        <v>0</v>
      </c>
      <c r="M1407" s="6">
        <f t="shared" si="278"/>
        <v>824873.95</v>
      </c>
      <c r="N1407" s="6">
        <f t="shared" si="277"/>
        <v>156726.04999999999</v>
      </c>
      <c r="O1407" s="6">
        <f t="shared" si="275"/>
        <v>981600</v>
      </c>
      <c r="P1407" s="6">
        <v>981600</v>
      </c>
      <c r="Q1407" s="6">
        <v>0</v>
      </c>
      <c r="R1407" s="6">
        <f t="shared" si="272"/>
        <v>0</v>
      </c>
      <c r="U1407" s="5"/>
      <c r="V1407" s="5"/>
    </row>
    <row r="1408" spans="2:22" s="5" customFormat="1" x14ac:dyDescent="0.3">
      <c r="B1408" s="5" t="s">
        <v>16</v>
      </c>
      <c r="C1408" s="5" t="s">
        <v>2175</v>
      </c>
      <c r="D1408" s="5" t="s">
        <v>35</v>
      </c>
      <c r="E1408" s="5" t="s">
        <v>191</v>
      </c>
      <c r="F1408" s="5" t="s">
        <v>2147</v>
      </c>
      <c r="G1408" s="5" t="s">
        <v>2148</v>
      </c>
      <c r="H1408" s="6">
        <f t="shared" si="276"/>
        <v>-1.8947368356748484E-2</v>
      </c>
      <c r="I1408" s="6">
        <f t="shared" si="274"/>
        <v>326386.57894736837</v>
      </c>
      <c r="J1408" s="6">
        <v>62013.45</v>
      </c>
      <c r="K1408" s="6">
        <v>0</v>
      </c>
      <c r="L1408" s="6">
        <v>0</v>
      </c>
      <c r="M1408" s="6">
        <f t="shared" si="278"/>
        <v>326386.56</v>
      </c>
      <c r="N1408" s="6">
        <f t="shared" si="277"/>
        <v>62013.45</v>
      </c>
      <c r="O1408" s="6">
        <f t="shared" si="275"/>
        <v>388400.01</v>
      </c>
      <c r="P1408" s="6">
        <v>388400.01</v>
      </c>
      <c r="Q1408" s="6">
        <v>0</v>
      </c>
      <c r="R1408" s="6">
        <f t="shared" si="272"/>
        <v>0</v>
      </c>
      <c r="T1408"/>
    </row>
    <row r="1409" spans="2:22" s="5" customFormat="1" x14ac:dyDescent="0.3">
      <c r="B1409" s="5" t="s">
        <v>16</v>
      </c>
      <c r="C1409" s="5" t="s">
        <v>2176</v>
      </c>
      <c r="D1409" s="5" t="s">
        <v>35</v>
      </c>
      <c r="E1409" s="5" t="s">
        <v>234</v>
      </c>
      <c r="F1409" s="5" t="s">
        <v>2147</v>
      </c>
      <c r="G1409" s="5" t="s">
        <v>2148</v>
      </c>
      <c r="H1409" s="6">
        <f t="shared" si="276"/>
        <v>6.7894736770540476E-2</v>
      </c>
      <c r="I1409" s="6">
        <f t="shared" si="274"/>
        <v>6145296.8421052629</v>
      </c>
      <c r="J1409" s="6">
        <v>1167606.3999999999</v>
      </c>
      <c r="K1409" s="6">
        <v>0</v>
      </c>
      <c r="L1409" s="6">
        <v>0</v>
      </c>
      <c r="M1409" s="6">
        <f t="shared" si="278"/>
        <v>6145296.9100000001</v>
      </c>
      <c r="N1409" s="6">
        <f t="shared" si="277"/>
        <v>1167606.3999999999</v>
      </c>
      <c r="O1409" s="6">
        <f t="shared" si="275"/>
        <v>7312903.3100000005</v>
      </c>
      <c r="P1409" s="6">
        <v>7312903.3099999996</v>
      </c>
      <c r="Q1409" s="6">
        <v>0</v>
      </c>
      <c r="R1409" s="6">
        <f t="shared" si="272"/>
        <v>0</v>
      </c>
      <c r="T1409"/>
    </row>
    <row r="1410" spans="2:22" x14ac:dyDescent="0.3">
      <c r="B1410" s="5" t="s">
        <v>16</v>
      </c>
      <c r="C1410" s="5" t="s">
        <v>2177</v>
      </c>
      <c r="D1410" s="5" t="s">
        <v>35</v>
      </c>
      <c r="E1410" s="5" t="s">
        <v>234</v>
      </c>
      <c r="F1410" s="5" t="s">
        <v>2147</v>
      </c>
      <c r="G1410" s="5" t="s">
        <v>2148</v>
      </c>
      <c r="H1410" s="6">
        <f t="shared" si="276"/>
        <v>-5.7894736528396606E-3</v>
      </c>
      <c r="I1410" s="6">
        <f t="shared" si="274"/>
        <v>2147393.3157894737</v>
      </c>
      <c r="J1410" s="6">
        <v>408004.73</v>
      </c>
      <c r="K1410" s="6">
        <v>0</v>
      </c>
      <c r="L1410" s="6">
        <v>0</v>
      </c>
      <c r="M1410" s="6">
        <f t="shared" si="278"/>
        <v>2147393.31</v>
      </c>
      <c r="N1410" s="6">
        <f t="shared" si="277"/>
        <v>408004.73</v>
      </c>
      <c r="O1410" s="6">
        <f t="shared" si="275"/>
        <v>2555398.04</v>
      </c>
      <c r="P1410" s="6">
        <v>2555398.04</v>
      </c>
      <c r="Q1410" s="6">
        <v>0</v>
      </c>
      <c r="R1410" s="6">
        <f t="shared" si="272"/>
        <v>0</v>
      </c>
      <c r="U1410" s="5"/>
      <c r="V1410" s="5"/>
    </row>
    <row r="1411" spans="2:22" x14ac:dyDescent="0.3">
      <c r="B1411" s="5" t="s">
        <v>16</v>
      </c>
      <c r="C1411" s="5" t="s">
        <v>2178</v>
      </c>
      <c r="D1411" s="5" t="s">
        <v>35</v>
      </c>
      <c r="E1411" s="5" t="s">
        <v>727</v>
      </c>
      <c r="F1411" s="5" t="s">
        <v>2147</v>
      </c>
      <c r="G1411" s="5" t="s">
        <v>2148</v>
      </c>
      <c r="H1411" s="6">
        <f>+P1411-I1411-J1411-K1411-L1411</f>
        <v>2.6315789204090834E-2</v>
      </c>
      <c r="I1411" s="6">
        <f t="shared" si="274"/>
        <v>2296739.4736842108</v>
      </c>
      <c r="J1411" s="6">
        <v>436380.5</v>
      </c>
      <c r="K1411" s="6">
        <v>0</v>
      </c>
      <c r="L1411" s="6">
        <v>0</v>
      </c>
      <c r="M1411" s="6">
        <f t="shared" si="278"/>
        <v>2296739.5</v>
      </c>
      <c r="N1411" s="6">
        <f t="shared" si="277"/>
        <v>436380.5</v>
      </c>
      <c r="O1411" s="6">
        <f t="shared" si="275"/>
        <v>2733120</v>
      </c>
      <c r="P1411" s="6">
        <v>2733120</v>
      </c>
      <c r="Q1411" s="6">
        <v>0</v>
      </c>
      <c r="R1411" s="6">
        <f t="shared" si="272"/>
        <v>0</v>
      </c>
      <c r="U1411" s="5"/>
      <c r="V1411" s="5"/>
    </row>
    <row r="1412" spans="2:22" x14ac:dyDescent="0.3">
      <c r="B1412" s="5" t="s">
        <v>16</v>
      </c>
      <c r="C1412" s="5" t="s">
        <v>2179</v>
      </c>
      <c r="D1412" s="5" t="s">
        <v>35</v>
      </c>
      <c r="E1412" s="5" t="s">
        <v>761</v>
      </c>
      <c r="F1412" s="5" t="s">
        <v>2147</v>
      </c>
      <c r="G1412" s="5" t="s">
        <v>2148</v>
      </c>
      <c r="H1412" s="6">
        <f>+P1412-I1412-J1412-K1412-L1412</f>
        <v>-1.0526315803872421E-2</v>
      </c>
      <c r="I1412" s="6">
        <f t="shared" si="274"/>
        <v>635570.21052631584</v>
      </c>
      <c r="J1412" s="6">
        <v>120758.34</v>
      </c>
      <c r="K1412" s="6">
        <v>0</v>
      </c>
      <c r="L1412" s="6">
        <v>0</v>
      </c>
      <c r="M1412" s="6">
        <f t="shared" si="278"/>
        <v>635570.20000000007</v>
      </c>
      <c r="N1412" s="6">
        <f t="shared" si="277"/>
        <v>120758.34</v>
      </c>
      <c r="O1412" s="6">
        <f t="shared" si="275"/>
        <v>756328.54</v>
      </c>
      <c r="P1412" s="6">
        <v>756328.54</v>
      </c>
      <c r="Q1412" s="6">
        <v>0</v>
      </c>
      <c r="R1412" s="6">
        <f t="shared" si="272"/>
        <v>0</v>
      </c>
      <c r="U1412" s="5"/>
      <c r="V1412" s="5"/>
    </row>
    <row r="1413" spans="2:22" s="5" customFormat="1" x14ac:dyDescent="0.3">
      <c r="B1413" s="5" t="s">
        <v>16</v>
      </c>
      <c r="C1413" s="5" t="s">
        <v>2180</v>
      </c>
      <c r="D1413" s="5" t="s">
        <v>35</v>
      </c>
      <c r="E1413" s="5" t="s">
        <v>761</v>
      </c>
      <c r="F1413" s="5" t="s">
        <v>2147</v>
      </c>
      <c r="G1413" s="5" t="s">
        <v>2148</v>
      </c>
      <c r="H1413" s="6">
        <f>+P1413-I1413-J1413-K1413-L1413</f>
        <v>2.3684210318606347E-2</v>
      </c>
      <c r="I1413" s="6">
        <f t="shared" si="274"/>
        <v>1033865.5263157897</v>
      </c>
      <c r="J1413" s="6">
        <v>196434.45</v>
      </c>
      <c r="K1413" s="6">
        <v>0</v>
      </c>
      <c r="L1413" s="6">
        <v>0</v>
      </c>
      <c r="M1413" s="6">
        <f t="shared" si="278"/>
        <v>1033865.55</v>
      </c>
      <c r="N1413" s="6">
        <f t="shared" si="277"/>
        <v>196434.45</v>
      </c>
      <c r="O1413" s="6">
        <f t="shared" si="275"/>
        <v>1230300</v>
      </c>
      <c r="P1413" s="6">
        <v>1230300</v>
      </c>
      <c r="Q1413" s="6">
        <v>0</v>
      </c>
      <c r="R1413" s="6">
        <f t="shared" ref="R1413:R1476" si="279">+Q1413*2.5/100</f>
        <v>0</v>
      </c>
      <c r="T1413"/>
    </row>
    <row r="1414" spans="2:22" x14ac:dyDescent="0.3">
      <c r="B1414" s="5" t="s">
        <v>16</v>
      </c>
      <c r="C1414" s="5" t="s">
        <v>2181</v>
      </c>
      <c r="D1414" s="5" t="s">
        <v>35</v>
      </c>
      <c r="E1414" s="5" t="s">
        <v>761</v>
      </c>
      <c r="F1414" s="5" t="s">
        <v>2147</v>
      </c>
      <c r="G1414" s="5" t="s">
        <v>2148</v>
      </c>
      <c r="H1414" s="6">
        <f>+P1414-I1414-J1414-K1414-L1414</f>
        <v>2.6842105376999825E-2</v>
      </c>
      <c r="I1414" s="6">
        <f t="shared" si="274"/>
        <v>2703635.2631578948</v>
      </c>
      <c r="J1414" s="6">
        <v>513690.7</v>
      </c>
      <c r="K1414" s="6">
        <v>0</v>
      </c>
      <c r="L1414" s="6">
        <v>0</v>
      </c>
      <c r="M1414" s="6">
        <f t="shared" si="278"/>
        <v>2703635.29</v>
      </c>
      <c r="N1414" s="6">
        <f t="shared" si="277"/>
        <v>513690.7</v>
      </c>
      <c r="O1414" s="6">
        <f t="shared" si="275"/>
        <v>3217325.99</v>
      </c>
      <c r="P1414" s="6">
        <v>3217325.99</v>
      </c>
      <c r="Q1414" s="6">
        <v>0</v>
      </c>
      <c r="R1414" s="6">
        <f t="shared" si="279"/>
        <v>0</v>
      </c>
      <c r="S1414" s="5"/>
      <c r="U1414" s="5"/>
      <c r="V1414" s="5"/>
    </row>
    <row r="1415" spans="2:22" x14ac:dyDescent="0.3">
      <c r="B1415" s="5" t="s">
        <v>16</v>
      </c>
      <c r="C1415" s="5" t="s">
        <v>2182</v>
      </c>
      <c r="D1415" s="5" t="s">
        <v>35</v>
      </c>
      <c r="E1415" s="5" t="s">
        <v>102</v>
      </c>
      <c r="F1415" s="5" t="s">
        <v>2147</v>
      </c>
      <c r="G1415" s="5" t="s">
        <v>2148</v>
      </c>
      <c r="H1415" s="6">
        <v>0</v>
      </c>
      <c r="I1415" s="6">
        <f t="shared" si="274"/>
        <v>732472.68421052629</v>
      </c>
      <c r="J1415" s="6">
        <v>139169.81</v>
      </c>
      <c r="K1415" s="6">
        <v>0</v>
      </c>
      <c r="L1415" s="6">
        <v>0</v>
      </c>
      <c r="M1415" s="6">
        <f t="shared" si="278"/>
        <v>732472.68421052629</v>
      </c>
      <c r="N1415" s="6">
        <f t="shared" si="277"/>
        <v>139169.81</v>
      </c>
      <c r="O1415" s="6">
        <f t="shared" si="275"/>
        <v>871642.49421052635</v>
      </c>
      <c r="P1415" s="6">
        <v>871642.5</v>
      </c>
      <c r="Q1415" s="6">
        <v>0</v>
      </c>
      <c r="R1415" s="6">
        <f t="shared" si="279"/>
        <v>0</v>
      </c>
      <c r="S1415" s="5"/>
      <c r="U1415" s="5"/>
      <c r="V1415" s="5"/>
    </row>
    <row r="1416" spans="2:22" x14ac:dyDescent="0.3">
      <c r="B1416" s="5" t="s">
        <v>16</v>
      </c>
      <c r="C1416" s="5" t="s">
        <v>2183</v>
      </c>
      <c r="D1416" s="5" t="s">
        <v>35</v>
      </c>
      <c r="E1416" s="5" t="s">
        <v>102</v>
      </c>
      <c r="F1416" s="5" t="s">
        <v>2147</v>
      </c>
      <c r="G1416" s="5" t="s">
        <v>2148</v>
      </c>
      <c r="H1416" s="6">
        <v>0</v>
      </c>
      <c r="I1416" s="6">
        <f t="shared" si="274"/>
        <v>161788.26315789475</v>
      </c>
      <c r="J1416" s="6">
        <v>30739.77</v>
      </c>
      <c r="K1416" s="6">
        <v>0</v>
      </c>
      <c r="L1416" s="6">
        <v>0</v>
      </c>
      <c r="M1416" s="6">
        <f t="shared" si="278"/>
        <v>161788.26315789475</v>
      </c>
      <c r="N1416" s="6">
        <f t="shared" si="277"/>
        <v>30739.77</v>
      </c>
      <c r="O1416" s="6">
        <f t="shared" si="275"/>
        <v>192528.03315789474</v>
      </c>
      <c r="P1416" s="6">
        <v>192528.01</v>
      </c>
      <c r="Q1416" s="6">
        <v>0</v>
      </c>
      <c r="R1416" s="6">
        <f t="shared" si="279"/>
        <v>0</v>
      </c>
      <c r="S1416" s="5"/>
      <c r="U1416" s="5"/>
      <c r="V1416" s="5"/>
    </row>
    <row r="1417" spans="2:22" x14ac:dyDescent="0.3">
      <c r="B1417" s="5" t="s">
        <v>16</v>
      </c>
      <c r="C1417" s="5" t="s">
        <v>2184</v>
      </c>
      <c r="D1417" s="5" t="s">
        <v>35</v>
      </c>
      <c r="E1417" s="5" t="s">
        <v>102</v>
      </c>
      <c r="F1417" s="5" t="s">
        <v>2147</v>
      </c>
      <c r="G1417" s="5" t="s">
        <v>2148</v>
      </c>
      <c r="H1417" s="6">
        <v>0</v>
      </c>
      <c r="I1417" s="6">
        <f t="shared" si="274"/>
        <v>1747786.5789473685</v>
      </c>
      <c r="J1417" s="6">
        <v>332079.45</v>
      </c>
      <c r="K1417" s="6">
        <v>0</v>
      </c>
      <c r="L1417" s="6">
        <v>0</v>
      </c>
      <c r="M1417" s="6">
        <f t="shared" si="278"/>
        <v>1747786.5789473685</v>
      </c>
      <c r="N1417" s="6">
        <f t="shared" si="277"/>
        <v>332079.45</v>
      </c>
      <c r="O1417" s="6">
        <f t="shared" si="275"/>
        <v>2079866.0289473685</v>
      </c>
      <c r="P1417" s="6">
        <v>2079866</v>
      </c>
      <c r="Q1417" s="6">
        <v>0</v>
      </c>
      <c r="R1417" s="6">
        <f t="shared" si="279"/>
        <v>0</v>
      </c>
      <c r="S1417" s="5"/>
    </row>
    <row r="1418" spans="2:22" x14ac:dyDescent="0.3">
      <c r="B1418" s="5" t="s">
        <v>16</v>
      </c>
      <c r="C1418" s="5" t="s">
        <v>2185</v>
      </c>
      <c r="D1418" s="5" t="s">
        <v>35</v>
      </c>
      <c r="E1418" s="5" t="s">
        <v>735</v>
      </c>
      <c r="F1418" s="5" t="s">
        <v>2147</v>
      </c>
      <c r="G1418" s="5" t="s">
        <v>2148</v>
      </c>
      <c r="H1418" s="6">
        <f>+P1418-I1418-J1418-K1418-L1418</f>
        <v>1.6842105280375108E-2</v>
      </c>
      <c r="I1418" s="6">
        <f t="shared" si="274"/>
        <v>641193.26315789472</v>
      </c>
      <c r="J1418" s="6">
        <v>121826.72</v>
      </c>
      <c r="K1418" s="6">
        <v>0</v>
      </c>
      <c r="L1418" s="6">
        <v>0</v>
      </c>
      <c r="M1418" s="6">
        <f t="shared" si="278"/>
        <v>641193.28</v>
      </c>
      <c r="N1418" s="6">
        <f t="shared" si="277"/>
        <v>121826.72</v>
      </c>
      <c r="O1418" s="6">
        <f t="shared" si="275"/>
        <v>763020</v>
      </c>
      <c r="P1418" s="6">
        <v>763020</v>
      </c>
      <c r="Q1418" s="6">
        <v>0</v>
      </c>
      <c r="R1418" s="6">
        <f t="shared" si="279"/>
        <v>0</v>
      </c>
      <c r="U1418" s="7"/>
      <c r="V1418" s="7"/>
    </row>
    <row r="1419" spans="2:22" x14ac:dyDescent="0.3">
      <c r="B1419" s="5" t="s">
        <v>16</v>
      </c>
      <c r="C1419" s="5" t="s">
        <v>2186</v>
      </c>
      <c r="D1419" s="5" t="s">
        <v>35</v>
      </c>
      <c r="E1419" s="5" t="s">
        <v>735</v>
      </c>
      <c r="F1419" s="5" t="s">
        <v>2147</v>
      </c>
      <c r="G1419" s="5" t="s">
        <v>2148</v>
      </c>
      <c r="H1419" s="6">
        <f>+P1419-I1419-J1419-K1419-L1419</f>
        <v>-0.12578947364818305</v>
      </c>
      <c r="I1419" s="6">
        <f t="shared" si="274"/>
        <v>4772424.3157894732</v>
      </c>
      <c r="J1419" s="6">
        <v>906760.62</v>
      </c>
      <c r="K1419" s="6">
        <v>0</v>
      </c>
      <c r="L1419" s="6">
        <v>0</v>
      </c>
      <c r="M1419" s="6">
        <f t="shared" si="278"/>
        <v>4772424.1899999995</v>
      </c>
      <c r="N1419" s="6">
        <f t="shared" si="277"/>
        <v>906760.62</v>
      </c>
      <c r="O1419" s="6">
        <f t="shared" si="275"/>
        <v>5679184.8099999996</v>
      </c>
      <c r="P1419" s="6">
        <v>5679184.8099999996</v>
      </c>
      <c r="Q1419" s="6">
        <v>0</v>
      </c>
      <c r="R1419" s="6">
        <f t="shared" si="279"/>
        <v>0</v>
      </c>
    </row>
    <row r="1420" spans="2:22" x14ac:dyDescent="0.3">
      <c r="B1420" s="5" t="s">
        <v>16</v>
      </c>
      <c r="C1420" s="5" t="s">
        <v>2187</v>
      </c>
      <c r="D1420" s="5" t="s">
        <v>35</v>
      </c>
      <c r="E1420" s="5" t="s">
        <v>735</v>
      </c>
      <c r="F1420" s="5" t="s">
        <v>2147</v>
      </c>
      <c r="G1420" s="5" t="s">
        <v>2148</v>
      </c>
      <c r="H1420" s="6">
        <f>+P1420-I1420-J1420-K1420-L1420</f>
        <v>1.9999999989522621E-2</v>
      </c>
      <c r="I1420" s="6">
        <f t="shared" si="274"/>
        <v>965042</v>
      </c>
      <c r="J1420" s="6">
        <v>183357.98</v>
      </c>
      <c r="K1420" s="6">
        <v>0</v>
      </c>
      <c r="L1420" s="6">
        <v>0</v>
      </c>
      <c r="M1420" s="6">
        <f t="shared" si="278"/>
        <v>965042.02</v>
      </c>
      <c r="N1420" s="6">
        <f t="shared" si="277"/>
        <v>183357.98</v>
      </c>
      <c r="O1420" s="6">
        <f t="shared" si="275"/>
        <v>1148400</v>
      </c>
      <c r="P1420" s="6">
        <v>1148400</v>
      </c>
      <c r="Q1420" s="6">
        <v>0</v>
      </c>
      <c r="R1420" s="6">
        <f t="shared" si="279"/>
        <v>0</v>
      </c>
      <c r="S1420" s="5"/>
      <c r="U1420" s="7"/>
      <c r="V1420" s="7"/>
    </row>
    <row r="1421" spans="2:22" x14ac:dyDescent="0.3">
      <c r="B1421" s="5" t="s">
        <v>16</v>
      </c>
      <c r="C1421" s="5" t="s">
        <v>2188</v>
      </c>
      <c r="D1421" s="5" t="s">
        <v>35</v>
      </c>
      <c r="E1421" s="5" t="s">
        <v>735</v>
      </c>
      <c r="F1421" s="5" t="s">
        <v>2147</v>
      </c>
      <c r="G1421" s="5" t="s">
        <v>2148</v>
      </c>
      <c r="H1421" s="6">
        <f>+P1421-I1421-J1421-K1421-L1421</f>
        <v>-0.10157894750591367</v>
      </c>
      <c r="I1421" s="6">
        <f t="shared" si="274"/>
        <v>5117367.6315789474</v>
      </c>
      <c r="J1421" s="6">
        <v>972299.85</v>
      </c>
      <c r="K1421" s="6">
        <v>0</v>
      </c>
      <c r="L1421" s="6">
        <v>0</v>
      </c>
      <c r="M1421" s="6">
        <f t="shared" si="278"/>
        <v>5117367.53</v>
      </c>
      <c r="N1421" s="6">
        <f t="shared" si="277"/>
        <v>972299.85</v>
      </c>
      <c r="O1421" s="6">
        <f t="shared" si="275"/>
        <v>6089667.3799999999</v>
      </c>
      <c r="P1421" s="6">
        <v>6089667.3799999999</v>
      </c>
      <c r="Q1421" s="6">
        <v>0</v>
      </c>
      <c r="R1421" s="6">
        <f t="shared" si="279"/>
        <v>0</v>
      </c>
      <c r="S1421" s="5"/>
      <c r="U1421" s="5"/>
      <c r="V1421" s="5"/>
    </row>
    <row r="1422" spans="2:22" s="5" customFormat="1" x14ac:dyDescent="0.3">
      <c r="B1422" s="5" t="s">
        <v>16</v>
      </c>
      <c r="C1422" s="5" t="s">
        <v>2189</v>
      </c>
      <c r="D1422" s="5" t="s">
        <v>35</v>
      </c>
      <c r="E1422" s="5" t="s">
        <v>353</v>
      </c>
      <c r="F1422" s="5" t="s">
        <v>2147</v>
      </c>
      <c r="G1422" s="5" t="s">
        <v>2148</v>
      </c>
      <c r="H1422" s="6">
        <f t="shared" ref="H1422:H1427" si="280">+P1422-I1422-J1422</f>
        <v>-8.4210526474635117E-3</v>
      </c>
      <c r="I1422" s="6">
        <f t="shared" si="274"/>
        <v>225750.36842105264</v>
      </c>
      <c r="J1422" s="6">
        <v>42892.57</v>
      </c>
      <c r="K1422" s="6">
        <v>0</v>
      </c>
      <c r="L1422" s="6">
        <v>0</v>
      </c>
      <c r="M1422" s="6">
        <f t="shared" si="278"/>
        <v>225750.36</v>
      </c>
      <c r="N1422" s="6">
        <f t="shared" si="277"/>
        <v>42892.57</v>
      </c>
      <c r="O1422" s="6">
        <f t="shared" si="275"/>
        <v>268642.93</v>
      </c>
      <c r="P1422" s="6">
        <v>268642.93</v>
      </c>
      <c r="Q1422" s="6">
        <v>0</v>
      </c>
      <c r="R1422" s="6">
        <f t="shared" si="279"/>
        <v>0</v>
      </c>
      <c r="T1422"/>
    </row>
    <row r="1423" spans="2:22" s="5" customFormat="1" ht="12.75" customHeight="1" x14ac:dyDescent="0.3">
      <c r="B1423" s="5" t="s">
        <v>16</v>
      </c>
      <c r="C1423" s="5" t="s">
        <v>2190</v>
      </c>
      <c r="D1423" s="5" t="s">
        <v>35</v>
      </c>
      <c r="E1423" s="5" t="s">
        <v>353</v>
      </c>
      <c r="F1423" s="5" t="s">
        <v>2147</v>
      </c>
      <c r="G1423" s="5" t="s">
        <v>2148</v>
      </c>
      <c r="H1423" s="6">
        <f t="shared" si="280"/>
        <v>-2.9473684087861329E-2</v>
      </c>
      <c r="I1423" s="6">
        <f t="shared" si="274"/>
        <v>1045764.7894736842</v>
      </c>
      <c r="J1423" s="6">
        <v>198695.31</v>
      </c>
      <c r="K1423" s="6">
        <v>0</v>
      </c>
      <c r="L1423" s="6">
        <v>0</v>
      </c>
      <c r="M1423" s="6">
        <f t="shared" si="278"/>
        <v>1045764.76</v>
      </c>
      <c r="N1423" s="6">
        <f t="shared" si="277"/>
        <v>198695.31</v>
      </c>
      <c r="O1423" s="6">
        <f t="shared" si="275"/>
        <v>1244460.07</v>
      </c>
      <c r="P1423" s="6">
        <v>1244460.07</v>
      </c>
      <c r="Q1423" s="6">
        <v>0</v>
      </c>
      <c r="R1423" s="6">
        <f t="shared" si="279"/>
        <v>0</v>
      </c>
      <c r="T1423"/>
    </row>
    <row r="1424" spans="2:22" s="5" customFormat="1" x14ac:dyDescent="0.3">
      <c r="B1424" s="5" t="s">
        <v>16</v>
      </c>
      <c r="C1424" s="5" t="s">
        <v>2191</v>
      </c>
      <c r="D1424" s="5" t="s">
        <v>35</v>
      </c>
      <c r="E1424" s="5" t="s">
        <v>353</v>
      </c>
      <c r="F1424" s="5" t="s">
        <v>2147</v>
      </c>
      <c r="G1424" s="5" t="s">
        <v>2148</v>
      </c>
      <c r="H1424" s="6">
        <f t="shared" si="280"/>
        <v>-1.4736842073034495E-2</v>
      </c>
      <c r="I1424" s="6">
        <f t="shared" si="274"/>
        <v>917162.89473684214</v>
      </c>
      <c r="J1424" s="6">
        <v>174260.95</v>
      </c>
      <c r="K1424" s="6">
        <v>0</v>
      </c>
      <c r="L1424" s="6">
        <v>0</v>
      </c>
      <c r="M1424" s="6">
        <f t="shared" si="278"/>
        <v>917162.88000000012</v>
      </c>
      <c r="N1424" s="6">
        <f t="shared" si="277"/>
        <v>174260.95</v>
      </c>
      <c r="O1424" s="6">
        <f t="shared" si="275"/>
        <v>1091423.83</v>
      </c>
      <c r="P1424" s="6">
        <v>1091423.83</v>
      </c>
      <c r="Q1424" s="6">
        <v>0</v>
      </c>
      <c r="R1424" s="6">
        <f t="shared" si="279"/>
        <v>0</v>
      </c>
      <c r="S1424" s="7"/>
      <c r="T1424"/>
    </row>
    <row r="1425" spans="2:22" s="5" customFormat="1" x14ac:dyDescent="0.3">
      <c r="B1425" s="5" t="s">
        <v>16</v>
      </c>
      <c r="C1425" s="5" t="s">
        <v>2192</v>
      </c>
      <c r="D1425" s="5" t="s">
        <v>2193</v>
      </c>
      <c r="E1425" s="5" t="s">
        <v>830</v>
      </c>
      <c r="F1425" s="5" t="s">
        <v>219</v>
      </c>
      <c r="G1425" s="5" t="s">
        <v>220</v>
      </c>
      <c r="H1425" s="6">
        <f t="shared" si="280"/>
        <v>0</v>
      </c>
      <c r="I1425" s="6">
        <f t="shared" si="274"/>
        <v>11383427.999999998</v>
      </c>
      <c r="J1425" s="6">
        <v>2162851.3199999998</v>
      </c>
      <c r="K1425" s="6">
        <v>0</v>
      </c>
      <c r="L1425" s="6">
        <v>0</v>
      </c>
      <c r="M1425" s="6">
        <f t="shared" si="278"/>
        <v>11383427.999999998</v>
      </c>
      <c r="N1425" s="6">
        <f t="shared" si="277"/>
        <v>2162851.3199999998</v>
      </c>
      <c r="O1425" s="6">
        <f t="shared" si="275"/>
        <v>13546279.319999998</v>
      </c>
      <c r="P1425" s="6">
        <v>13546279.32</v>
      </c>
      <c r="Q1425" s="6">
        <f t="shared" ref="Q1425:Q1443" si="281">+M1425</f>
        <v>11383427.999999998</v>
      </c>
      <c r="R1425" s="6">
        <f t="shared" si="279"/>
        <v>284585.69999999995</v>
      </c>
      <c r="S1425"/>
      <c r="T1425"/>
    </row>
    <row r="1426" spans="2:22" s="5" customFormat="1" x14ac:dyDescent="0.3">
      <c r="B1426" s="5" t="s">
        <v>16</v>
      </c>
      <c r="C1426" s="5" t="s">
        <v>2194</v>
      </c>
      <c r="D1426" s="5" t="s">
        <v>2193</v>
      </c>
      <c r="E1426" s="5" t="s">
        <v>133</v>
      </c>
      <c r="F1426" s="5" t="s">
        <v>219</v>
      </c>
      <c r="G1426" s="5" t="s">
        <v>220</v>
      </c>
      <c r="H1426" s="6">
        <f t="shared" si="280"/>
        <v>0</v>
      </c>
      <c r="I1426" s="6">
        <f t="shared" si="274"/>
        <v>7873838</v>
      </c>
      <c r="J1426" s="6">
        <v>1496029.22</v>
      </c>
      <c r="K1426" s="6">
        <v>0</v>
      </c>
      <c r="L1426" s="6">
        <v>0</v>
      </c>
      <c r="M1426" s="6">
        <f t="shared" si="278"/>
        <v>7873838</v>
      </c>
      <c r="N1426" s="6">
        <f t="shared" si="277"/>
        <v>1496029.22</v>
      </c>
      <c r="O1426" s="6">
        <f t="shared" si="275"/>
        <v>9369867.2200000007</v>
      </c>
      <c r="P1426" s="6">
        <v>9369867.2200000007</v>
      </c>
      <c r="Q1426" s="6">
        <f t="shared" si="281"/>
        <v>7873838</v>
      </c>
      <c r="R1426" s="6">
        <f t="shared" si="279"/>
        <v>196845.95</v>
      </c>
      <c r="T1426"/>
      <c r="U1426"/>
      <c r="V1426"/>
    </row>
    <row r="1427" spans="2:22" s="5" customFormat="1" x14ac:dyDescent="0.3">
      <c r="B1427" s="5" t="s">
        <v>16</v>
      </c>
      <c r="C1427" s="5" t="s">
        <v>2195</v>
      </c>
      <c r="D1427" s="5" t="s">
        <v>2193</v>
      </c>
      <c r="E1427" s="5" t="s">
        <v>1037</v>
      </c>
      <c r="F1427" s="5" t="s">
        <v>219</v>
      </c>
      <c r="G1427" s="5" t="s">
        <v>220</v>
      </c>
      <c r="H1427" s="6">
        <f t="shared" si="280"/>
        <v>0</v>
      </c>
      <c r="I1427" s="6">
        <f t="shared" si="274"/>
        <v>1004157</v>
      </c>
      <c r="J1427" s="6">
        <v>190789.83</v>
      </c>
      <c r="K1427" s="6">
        <v>0</v>
      </c>
      <c r="L1427" s="6">
        <v>0</v>
      </c>
      <c r="M1427" s="6">
        <f t="shared" si="278"/>
        <v>1004157</v>
      </c>
      <c r="N1427" s="6">
        <f t="shared" si="277"/>
        <v>190789.83</v>
      </c>
      <c r="O1427" s="6">
        <f t="shared" si="275"/>
        <v>1194946.83</v>
      </c>
      <c r="P1427" s="6">
        <v>1194946.83</v>
      </c>
      <c r="Q1427" s="6">
        <f t="shared" si="281"/>
        <v>1004157</v>
      </c>
      <c r="R1427" s="6">
        <f t="shared" si="279"/>
        <v>25103.924999999999</v>
      </c>
      <c r="T1427"/>
      <c r="V1427"/>
    </row>
    <row r="1428" spans="2:22" s="5" customFormat="1" x14ac:dyDescent="0.3">
      <c r="B1428" s="5" t="s">
        <v>16</v>
      </c>
      <c r="C1428" s="5" t="s">
        <v>2196</v>
      </c>
      <c r="D1428" s="5" t="s">
        <v>2193</v>
      </c>
      <c r="E1428" s="5" t="s">
        <v>2197</v>
      </c>
      <c r="F1428" s="5" t="s">
        <v>219</v>
      </c>
      <c r="G1428" s="5" t="s">
        <v>220</v>
      </c>
      <c r="H1428" s="6">
        <f>+P1428-I1428-J1428-K1428-L1428</f>
        <v>0</v>
      </c>
      <c r="I1428" s="6">
        <f t="shared" si="274"/>
        <v>753648</v>
      </c>
      <c r="J1428" s="6">
        <v>143193.12</v>
      </c>
      <c r="K1428" s="6">
        <v>0</v>
      </c>
      <c r="L1428" s="6">
        <v>0</v>
      </c>
      <c r="M1428" s="6">
        <f t="shared" si="278"/>
        <v>753648</v>
      </c>
      <c r="N1428" s="6">
        <f t="shared" si="277"/>
        <v>143193.12</v>
      </c>
      <c r="O1428" s="6">
        <f t="shared" si="275"/>
        <v>896841.12</v>
      </c>
      <c r="P1428" s="6">
        <v>896841.12</v>
      </c>
      <c r="Q1428" s="6">
        <f t="shared" si="281"/>
        <v>753648</v>
      </c>
      <c r="R1428" s="6">
        <f t="shared" si="279"/>
        <v>18841.2</v>
      </c>
      <c r="T1428"/>
      <c r="U1428"/>
    </row>
    <row r="1429" spans="2:22" s="5" customFormat="1" x14ac:dyDescent="0.3">
      <c r="B1429" s="5" t="s">
        <v>16</v>
      </c>
      <c r="C1429" s="5" t="s">
        <v>2198</v>
      </c>
      <c r="D1429" s="5" t="s">
        <v>2199</v>
      </c>
      <c r="E1429" s="5" t="s">
        <v>549</v>
      </c>
      <c r="F1429" s="5" t="s">
        <v>206</v>
      </c>
      <c r="G1429" s="5" t="s">
        <v>207</v>
      </c>
      <c r="H1429" s="6">
        <v>0</v>
      </c>
      <c r="I1429" s="6">
        <f t="shared" si="274"/>
        <v>2706049</v>
      </c>
      <c r="J1429" s="6">
        <v>514149.31</v>
      </c>
      <c r="K1429" s="6">
        <v>0</v>
      </c>
      <c r="L1429" s="6">
        <v>0</v>
      </c>
      <c r="M1429" s="6">
        <f t="shared" si="278"/>
        <v>2706049</v>
      </c>
      <c r="N1429" s="6">
        <f t="shared" si="277"/>
        <v>514149.31</v>
      </c>
      <c r="O1429" s="6">
        <f t="shared" si="275"/>
        <v>3220198.31</v>
      </c>
      <c r="P1429" s="6">
        <v>3220198.31</v>
      </c>
      <c r="Q1429" s="6">
        <f t="shared" si="281"/>
        <v>2706049</v>
      </c>
      <c r="R1429" s="6">
        <f t="shared" si="279"/>
        <v>67651.225000000006</v>
      </c>
      <c r="T1429"/>
    </row>
    <row r="1430" spans="2:22" s="5" customFormat="1" x14ac:dyDescent="0.3">
      <c r="B1430" s="7" t="s">
        <v>16</v>
      </c>
      <c r="C1430" s="7" t="s">
        <v>2200</v>
      </c>
      <c r="D1430" s="7" t="s">
        <v>2199</v>
      </c>
      <c r="E1430" s="7" t="s">
        <v>698</v>
      </c>
      <c r="F1430" s="7" t="s">
        <v>206</v>
      </c>
      <c r="G1430" s="7" t="s">
        <v>207</v>
      </c>
      <c r="H1430" s="8">
        <f t="shared" ref="H1430:H1435" si="282">+P1430-I1430-J1430</f>
        <v>0</v>
      </c>
      <c r="I1430" s="8">
        <f t="shared" si="274"/>
        <v>1563951</v>
      </c>
      <c r="J1430" s="8">
        <v>297150.69</v>
      </c>
      <c r="K1430" s="8">
        <v>0</v>
      </c>
      <c r="L1430" s="8">
        <v>0</v>
      </c>
      <c r="M1430" s="8">
        <f>+I1430+H1430</f>
        <v>1563951</v>
      </c>
      <c r="N1430" s="8">
        <f t="shared" si="277"/>
        <v>297150.69</v>
      </c>
      <c r="O1430" s="8">
        <f t="shared" si="275"/>
        <v>1861101.69</v>
      </c>
      <c r="P1430" s="8">
        <v>1861101.69</v>
      </c>
      <c r="Q1430" s="8">
        <f t="shared" si="281"/>
        <v>1563951</v>
      </c>
      <c r="R1430" s="8">
        <f t="shared" si="279"/>
        <v>39098.775000000001</v>
      </c>
      <c r="T1430"/>
    </row>
    <row r="1431" spans="2:22" s="5" customFormat="1" x14ac:dyDescent="0.3">
      <c r="B1431" s="7" t="s">
        <v>16</v>
      </c>
      <c r="C1431" s="7" t="s">
        <v>2201</v>
      </c>
      <c r="D1431" s="7" t="s">
        <v>2199</v>
      </c>
      <c r="E1431" s="7" t="s">
        <v>1473</v>
      </c>
      <c r="F1431" s="7" t="s">
        <v>206</v>
      </c>
      <c r="G1431" s="7" t="s">
        <v>207</v>
      </c>
      <c r="H1431" s="8">
        <f t="shared" si="282"/>
        <v>0</v>
      </c>
      <c r="I1431" s="8">
        <f t="shared" si="274"/>
        <v>2325026</v>
      </c>
      <c r="J1431" s="8">
        <v>441754.94</v>
      </c>
      <c r="K1431" s="8">
        <v>0</v>
      </c>
      <c r="L1431" s="8">
        <v>0</v>
      </c>
      <c r="M1431" s="8">
        <f>+I1431+H1431</f>
        <v>2325026</v>
      </c>
      <c r="N1431" s="8">
        <f t="shared" si="277"/>
        <v>441754.94</v>
      </c>
      <c r="O1431" s="8">
        <f t="shared" si="275"/>
        <v>2766780.94</v>
      </c>
      <c r="P1431" s="8">
        <v>2766780.94</v>
      </c>
      <c r="Q1431" s="8">
        <f t="shared" si="281"/>
        <v>2325026</v>
      </c>
      <c r="R1431" s="8">
        <f t="shared" si="279"/>
        <v>58125.65</v>
      </c>
      <c r="S1431" s="7"/>
      <c r="T1431"/>
    </row>
    <row r="1432" spans="2:22" s="5" customFormat="1" x14ac:dyDescent="0.3">
      <c r="B1432" s="5" t="s">
        <v>16</v>
      </c>
      <c r="C1432" s="5" t="s">
        <v>2202</v>
      </c>
      <c r="D1432" s="5" t="s">
        <v>2199</v>
      </c>
      <c r="E1432" s="5" t="s">
        <v>2203</v>
      </c>
      <c r="F1432" s="5" t="s">
        <v>206</v>
      </c>
      <c r="G1432" s="5" t="s">
        <v>207</v>
      </c>
      <c r="H1432" s="6">
        <f t="shared" si="282"/>
        <v>0</v>
      </c>
      <c r="I1432" s="6">
        <f t="shared" si="274"/>
        <v>3361862.9999999995</v>
      </c>
      <c r="J1432" s="6">
        <v>638753.97</v>
      </c>
      <c r="K1432" s="6">
        <v>0</v>
      </c>
      <c r="L1432" s="6">
        <v>0</v>
      </c>
      <c r="M1432" s="6">
        <f t="shared" ref="M1432:M1439" si="283">+H1432+I1432+K1432</f>
        <v>3361862.9999999995</v>
      </c>
      <c r="N1432" s="6">
        <f t="shared" si="277"/>
        <v>638753.97</v>
      </c>
      <c r="O1432" s="6">
        <f t="shared" si="275"/>
        <v>4000616.9699999997</v>
      </c>
      <c r="P1432" s="6">
        <v>4000616.97</v>
      </c>
      <c r="Q1432" s="6">
        <f t="shared" si="281"/>
        <v>3361862.9999999995</v>
      </c>
      <c r="R1432" s="6">
        <f t="shared" si="279"/>
        <v>84046.574999999983</v>
      </c>
      <c r="S1432" s="7"/>
      <c r="T1432"/>
    </row>
    <row r="1433" spans="2:22" s="5" customFormat="1" x14ac:dyDescent="0.3">
      <c r="B1433" s="5" t="s">
        <v>16</v>
      </c>
      <c r="C1433" s="5" t="s">
        <v>2204</v>
      </c>
      <c r="D1433" s="5" t="s">
        <v>2199</v>
      </c>
      <c r="E1433" s="5" t="s">
        <v>585</v>
      </c>
      <c r="F1433" s="5" t="s">
        <v>206</v>
      </c>
      <c r="G1433" s="5" t="s">
        <v>207</v>
      </c>
      <c r="H1433" s="6">
        <f t="shared" si="282"/>
        <v>0</v>
      </c>
      <c r="I1433" s="6">
        <f t="shared" si="274"/>
        <v>2037058.0000000002</v>
      </c>
      <c r="J1433" s="6">
        <v>387041.02</v>
      </c>
      <c r="K1433" s="6">
        <v>0</v>
      </c>
      <c r="L1433" s="6">
        <v>0</v>
      </c>
      <c r="M1433" s="6">
        <f t="shared" si="283"/>
        <v>2037058.0000000002</v>
      </c>
      <c r="N1433" s="6">
        <f t="shared" si="277"/>
        <v>387041.02</v>
      </c>
      <c r="O1433" s="6">
        <f t="shared" si="275"/>
        <v>2424099.0200000005</v>
      </c>
      <c r="P1433" s="6">
        <v>2424099.02</v>
      </c>
      <c r="Q1433" s="6">
        <f t="shared" si="281"/>
        <v>2037058.0000000002</v>
      </c>
      <c r="R1433" s="6">
        <f t="shared" si="279"/>
        <v>50926.450000000012</v>
      </c>
      <c r="T1433"/>
    </row>
    <row r="1434" spans="2:22" s="5" customFormat="1" x14ac:dyDescent="0.3">
      <c r="B1434" s="5" t="s">
        <v>16</v>
      </c>
      <c r="C1434" s="5" t="s">
        <v>2205</v>
      </c>
      <c r="D1434" s="5" t="s">
        <v>2199</v>
      </c>
      <c r="E1434" s="5" t="s">
        <v>599</v>
      </c>
      <c r="F1434" s="5" t="s">
        <v>206</v>
      </c>
      <c r="G1434" s="5" t="s">
        <v>207</v>
      </c>
      <c r="H1434" s="6">
        <f t="shared" si="282"/>
        <v>0</v>
      </c>
      <c r="I1434" s="6">
        <f t="shared" si="274"/>
        <v>2703685</v>
      </c>
      <c r="J1434" s="6">
        <v>513700.15</v>
      </c>
      <c r="K1434" s="6">
        <v>0</v>
      </c>
      <c r="L1434" s="6">
        <v>0</v>
      </c>
      <c r="M1434" s="6">
        <f t="shared" si="283"/>
        <v>2703685</v>
      </c>
      <c r="N1434" s="6">
        <f t="shared" si="277"/>
        <v>513700.15</v>
      </c>
      <c r="O1434" s="6">
        <f t="shared" si="275"/>
        <v>3217385.15</v>
      </c>
      <c r="P1434" s="6">
        <v>3217385.15</v>
      </c>
      <c r="Q1434" s="6">
        <f t="shared" si="281"/>
        <v>2703685</v>
      </c>
      <c r="R1434" s="6">
        <f t="shared" si="279"/>
        <v>67592.125</v>
      </c>
      <c r="T1434"/>
    </row>
    <row r="1435" spans="2:22" s="5" customFormat="1" x14ac:dyDescent="0.3">
      <c r="B1435" s="5" t="s">
        <v>16</v>
      </c>
      <c r="C1435" s="5" t="s">
        <v>2206</v>
      </c>
      <c r="D1435" s="5" t="s">
        <v>2199</v>
      </c>
      <c r="E1435" s="5" t="s">
        <v>72</v>
      </c>
      <c r="F1435" s="5" t="s">
        <v>206</v>
      </c>
      <c r="G1435" s="5" t="s">
        <v>207</v>
      </c>
      <c r="H1435" s="6">
        <f t="shared" si="282"/>
        <v>0</v>
      </c>
      <c r="I1435" s="6">
        <f t="shared" si="274"/>
        <v>3318939</v>
      </c>
      <c r="J1435" s="6">
        <v>630598.41</v>
      </c>
      <c r="K1435" s="6">
        <v>0</v>
      </c>
      <c r="L1435" s="6">
        <v>0</v>
      </c>
      <c r="M1435" s="6">
        <f t="shared" si="283"/>
        <v>3318939</v>
      </c>
      <c r="N1435" s="6">
        <f t="shared" si="277"/>
        <v>630598.41</v>
      </c>
      <c r="O1435" s="6">
        <f t="shared" si="275"/>
        <v>3949537.41</v>
      </c>
      <c r="P1435" s="6">
        <v>3949537.41</v>
      </c>
      <c r="Q1435" s="6">
        <f t="shared" si="281"/>
        <v>3318939</v>
      </c>
      <c r="R1435" s="6">
        <f t="shared" si="279"/>
        <v>82973.475000000006</v>
      </c>
      <c r="T1435"/>
    </row>
    <row r="1436" spans="2:22" s="5" customFormat="1" x14ac:dyDescent="0.3">
      <c r="B1436" s="5" t="s">
        <v>16</v>
      </c>
      <c r="C1436" s="5" t="s">
        <v>2207</v>
      </c>
      <c r="D1436" s="5" t="s">
        <v>2199</v>
      </c>
      <c r="E1436" s="5" t="s">
        <v>337</v>
      </c>
      <c r="F1436" s="5" t="s">
        <v>206</v>
      </c>
      <c r="G1436" s="5" t="s">
        <v>207</v>
      </c>
      <c r="H1436" s="6">
        <f>+P1436-I1436-J1436-K1436-L1436</f>
        <v>-5.8207660913467407E-11</v>
      </c>
      <c r="I1436" s="6">
        <f t="shared" si="274"/>
        <v>1781284</v>
      </c>
      <c r="J1436" s="6">
        <v>338443.96</v>
      </c>
      <c r="K1436" s="6">
        <v>0</v>
      </c>
      <c r="L1436" s="6">
        <v>0</v>
      </c>
      <c r="M1436" s="6">
        <f t="shared" si="283"/>
        <v>1781284</v>
      </c>
      <c r="N1436" s="6">
        <f t="shared" si="277"/>
        <v>338443.96</v>
      </c>
      <c r="O1436" s="6">
        <f t="shared" si="275"/>
        <v>2119727.96</v>
      </c>
      <c r="P1436" s="6">
        <v>2119727.96</v>
      </c>
      <c r="Q1436" s="6">
        <f t="shared" si="281"/>
        <v>1781284</v>
      </c>
      <c r="R1436" s="6">
        <f t="shared" si="279"/>
        <v>44532.1</v>
      </c>
      <c r="T1436"/>
    </row>
    <row r="1437" spans="2:22" s="5" customFormat="1" x14ac:dyDescent="0.3">
      <c r="B1437" s="5" t="s">
        <v>16</v>
      </c>
      <c r="C1437" s="5" t="s">
        <v>2208</v>
      </c>
      <c r="D1437" s="5" t="s">
        <v>2199</v>
      </c>
      <c r="E1437" s="5" t="s">
        <v>337</v>
      </c>
      <c r="F1437" s="5" t="s">
        <v>206</v>
      </c>
      <c r="G1437" s="5" t="s">
        <v>207</v>
      </c>
      <c r="H1437" s="6">
        <f>+P1437-I1437-J1437-K1437-L1437</f>
        <v>4.6566128730773926E-10</v>
      </c>
      <c r="I1437" s="6">
        <f t="shared" si="274"/>
        <v>2777433.9999999995</v>
      </c>
      <c r="J1437" s="6">
        <v>527712.46</v>
      </c>
      <c r="K1437" s="6">
        <v>0</v>
      </c>
      <c r="L1437" s="6">
        <v>0</v>
      </c>
      <c r="M1437" s="6">
        <f t="shared" si="283"/>
        <v>2777434</v>
      </c>
      <c r="N1437" s="6">
        <f t="shared" si="277"/>
        <v>527712.46</v>
      </c>
      <c r="O1437" s="6">
        <f t="shared" si="275"/>
        <v>3305146.46</v>
      </c>
      <c r="P1437" s="6">
        <v>3305146.46</v>
      </c>
      <c r="Q1437" s="6">
        <f t="shared" si="281"/>
        <v>2777434</v>
      </c>
      <c r="R1437" s="6">
        <f t="shared" si="279"/>
        <v>69435.850000000006</v>
      </c>
      <c r="T1437"/>
    </row>
    <row r="1438" spans="2:22" s="5" customFormat="1" x14ac:dyDescent="0.3">
      <c r="B1438" s="5" t="s">
        <v>16</v>
      </c>
      <c r="C1438" s="5" t="s">
        <v>2209</v>
      </c>
      <c r="D1438" s="5" t="s">
        <v>2199</v>
      </c>
      <c r="E1438" s="5" t="s">
        <v>1324</v>
      </c>
      <c r="F1438" s="5" t="s">
        <v>206</v>
      </c>
      <c r="G1438" s="5" t="s">
        <v>207</v>
      </c>
      <c r="H1438" s="6">
        <v>0</v>
      </c>
      <c r="I1438" s="6">
        <f t="shared" ref="I1438:I1501" si="284">+J1438/19*100</f>
        <v>2424030</v>
      </c>
      <c r="J1438" s="6">
        <v>460565.7</v>
      </c>
      <c r="K1438" s="6">
        <v>0</v>
      </c>
      <c r="L1438" s="6">
        <v>0</v>
      </c>
      <c r="M1438" s="6">
        <f t="shared" si="283"/>
        <v>2424030</v>
      </c>
      <c r="N1438" s="6">
        <f t="shared" si="277"/>
        <v>460565.7</v>
      </c>
      <c r="O1438" s="6">
        <f t="shared" ref="O1438:O1501" si="285">+M1438+N1438</f>
        <v>2884595.7</v>
      </c>
      <c r="P1438" s="6">
        <v>2884595.7</v>
      </c>
      <c r="Q1438" s="6">
        <f t="shared" si="281"/>
        <v>2424030</v>
      </c>
      <c r="R1438" s="6">
        <f t="shared" si="279"/>
        <v>60600.75</v>
      </c>
      <c r="T1438"/>
    </row>
    <row r="1439" spans="2:22" s="5" customFormat="1" x14ac:dyDescent="0.3">
      <c r="B1439" s="5" t="s">
        <v>16</v>
      </c>
      <c r="C1439" s="5" t="s">
        <v>2210</v>
      </c>
      <c r="D1439" s="5" t="s">
        <v>2199</v>
      </c>
      <c r="E1439" s="5" t="s">
        <v>1138</v>
      </c>
      <c r="F1439" s="5" t="s">
        <v>206</v>
      </c>
      <c r="G1439" s="5" t="s">
        <v>207</v>
      </c>
      <c r="H1439" s="6">
        <f>+P1439-I1439-J1439</f>
        <v>0</v>
      </c>
      <c r="I1439" s="6">
        <f t="shared" si="284"/>
        <v>6230510</v>
      </c>
      <c r="J1439" s="6">
        <v>1183796.8999999999</v>
      </c>
      <c r="K1439" s="6">
        <v>0</v>
      </c>
      <c r="L1439" s="6">
        <v>0</v>
      </c>
      <c r="M1439" s="6">
        <f t="shared" si="283"/>
        <v>6230510</v>
      </c>
      <c r="N1439" s="6">
        <f t="shared" si="277"/>
        <v>1183796.8999999999</v>
      </c>
      <c r="O1439" s="6">
        <f t="shared" si="285"/>
        <v>7414306.9000000004</v>
      </c>
      <c r="P1439" s="6">
        <v>7414306.9000000004</v>
      </c>
      <c r="Q1439" s="6">
        <f t="shared" si="281"/>
        <v>6230510</v>
      </c>
      <c r="R1439" s="6">
        <f t="shared" si="279"/>
        <v>155762.75</v>
      </c>
      <c r="T1439"/>
    </row>
    <row r="1440" spans="2:22" s="5" customFormat="1" x14ac:dyDescent="0.3">
      <c r="B1440" s="5" t="s">
        <v>16</v>
      </c>
      <c r="C1440" s="5" t="s">
        <v>2211</v>
      </c>
      <c r="D1440" s="5" t="s">
        <v>2212</v>
      </c>
      <c r="E1440" s="5" t="s">
        <v>807</v>
      </c>
      <c r="F1440" s="5" t="s">
        <v>325</v>
      </c>
      <c r="G1440" s="5" t="s">
        <v>326</v>
      </c>
      <c r="H1440" s="6">
        <v>2.1052631083875895E-2</v>
      </c>
      <c r="I1440" s="6">
        <f t="shared" si="284"/>
        <v>8758191.578947369</v>
      </c>
      <c r="J1440" s="6">
        <v>1664056.4</v>
      </c>
      <c r="K1440" s="6"/>
      <c r="L1440" s="6"/>
      <c r="M1440" s="6">
        <f>+H1440+I1440</f>
        <v>8758191.5999999996</v>
      </c>
      <c r="N1440" s="6">
        <f>+J1440</f>
        <v>1664056.4</v>
      </c>
      <c r="O1440" s="6">
        <f t="shared" si="285"/>
        <v>10422248</v>
      </c>
      <c r="P1440" s="6">
        <v>10422248</v>
      </c>
      <c r="Q1440" s="6">
        <f t="shared" si="281"/>
        <v>8758191.5999999996</v>
      </c>
      <c r="R1440" s="6">
        <f t="shared" si="279"/>
        <v>218954.79</v>
      </c>
      <c r="T1440"/>
      <c r="U1440" s="6"/>
    </row>
    <row r="1441" spans="2:22" s="5" customFormat="1" x14ac:dyDescent="0.3">
      <c r="B1441" s="5" t="s">
        <v>16</v>
      </c>
      <c r="C1441" s="5" t="s">
        <v>2213</v>
      </c>
      <c r="D1441" s="5" t="s">
        <v>2212</v>
      </c>
      <c r="E1441" s="5" t="s">
        <v>827</v>
      </c>
      <c r="F1441" s="5" t="s">
        <v>325</v>
      </c>
      <c r="G1441" s="5" t="s">
        <v>326</v>
      </c>
      <c r="H1441" s="6">
        <f>+P1441-I1441-J1441</f>
        <v>1.7894737073220313E-2</v>
      </c>
      <c r="I1441" s="6">
        <f t="shared" si="284"/>
        <v>2757142.8421052629</v>
      </c>
      <c r="J1441" s="6">
        <v>523857.14</v>
      </c>
      <c r="K1441" s="6">
        <v>0</v>
      </c>
      <c r="L1441" s="6">
        <v>0</v>
      </c>
      <c r="M1441" s="6">
        <f>+H1441+I1441+K1441</f>
        <v>2757142.86</v>
      </c>
      <c r="N1441" s="6">
        <f>+J1441+L1441</f>
        <v>523857.14</v>
      </c>
      <c r="O1441" s="6">
        <f t="shared" si="285"/>
        <v>3281000</v>
      </c>
      <c r="P1441" s="6">
        <v>3281000</v>
      </c>
      <c r="Q1441" s="6">
        <f t="shared" si="281"/>
        <v>2757142.86</v>
      </c>
      <c r="R1441" s="6">
        <f t="shared" si="279"/>
        <v>68928.571499999991</v>
      </c>
      <c r="T1441"/>
      <c r="U1441" s="6"/>
    </row>
    <row r="1442" spans="2:22" s="5" customFormat="1" x14ac:dyDescent="0.3">
      <c r="B1442" s="5" t="s">
        <v>16</v>
      </c>
      <c r="C1442" s="5" t="s">
        <v>2214</v>
      </c>
      <c r="D1442" s="5" t="s">
        <v>2212</v>
      </c>
      <c r="E1442" s="5" t="s">
        <v>117</v>
      </c>
      <c r="F1442" s="5" t="s">
        <v>325</v>
      </c>
      <c r="G1442" s="5" t="s">
        <v>326</v>
      </c>
      <c r="H1442" s="6">
        <f>+P1442-I1442-J1442</f>
        <v>1.2105262838304043E-2</v>
      </c>
      <c r="I1442" s="6">
        <f t="shared" si="284"/>
        <v>5825420.1578947371</v>
      </c>
      <c r="J1442" s="6">
        <v>1106829.83</v>
      </c>
      <c r="K1442" s="6">
        <v>0</v>
      </c>
      <c r="L1442" s="6">
        <v>0</v>
      </c>
      <c r="M1442" s="6">
        <f>+H1442+I1442+K1442</f>
        <v>5825420.1699999999</v>
      </c>
      <c r="N1442" s="6">
        <f>+J1442+L1442</f>
        <v>1106829.83</v>
      </c>
      <c r="O1442" s="6">
        <f t="shared" si="285"/>
        <v>6932250</v>
      </c>
      <c r="P1442" s="6">
        <v>6932250</v>
      </c>
      <c r="Q1442" s="6">
        <f t="shared" si="281"/>
        <v>5825420.1699999999</v>
      </c>
      <c r="R1442" s="6">
        <f t="shared" si="279"/>
        <v>145635.50425</v>
      </c>
      <c r="T1442"/>
      <c r="U1442" s="6"/>
    </row>
    <row r="1443" spans="2:22" s="5" customFormat="1" x14ac:dyDescent="0.3">
      <c r="B1443" s="5" t="s">
        <v>16</v>
      </c>
      <c r="C1443" s="5" t="s">
        <v>2215</v>
      </c>
      <c r="D1443" s="5" t="s">
        <v>35</v>
      </c>
      <c r="E1443" s="5" t="s">
        <v>549</v>
      </c>
      <c r="F1443" s="5" t="s">
        <v>258</v>
      </c>
      <c r="G1443" s="5" t="s">
        <v>259</v>
      </c>
      <c r="H1443" s="6">
        <v>0</v>
      </c>
      <c r="I1443" s="6">
        <f t="shared" si="284"/>
        <v>8714266</v>
      </c>
      <c r="J1443" s="6">
        <v>1655710.54</v>
      </c>
      <c r="K1443" s="6">
        <v>0</v>
      </c>
      <c r="L1443" s="6">
        <v>0</v>
      </c>
      <c r="M1443" s="6">
        <f>+H1443+I1443+K1443</f>
        <v>8714266</v>
      </c>
      <c r="N1443" s="6">
        <f>+J1443+L1443</f>
        <v>1655710.54</v>
      </c>
      <c r="O1443" s="6">
        <f t="shared" si="285"/>
        <v>10369976.539999999</v>
      </c>
      <c r="P1443" s="6">
        <v>10369976.539999999</v>
      </c>
      <c r="Q1443" s="6">
        <f t="shared" si="281"/>
        <v>8714266</v>
      </c>
      <c r="R1443" s="6">
        <f t="shared" si="279"/>
        <v>217856.65</v>
      </c>
      <c r="T1443"/>
    </row>
    <row r="1444" spans="2:22" s="5" customFormat="1" x14ac:dyDescent="0.3">
      <c r="B1444" s="5" t="s">
        <v>16</v>
      </c>
      <c r="C1444" s="5" t="s">
        <v>2216</v>
      </c>
      <c r="D1444" s="5" t="s">
        <v>35</v>
      </c>
      <c r="E1444" s="5" t="s">
        <v>551</v>
      </c>
      <c r="F1444" s="5" t="s">
        <v>258</v>
      </c>
      <c r="G1444" s="5" t="s">
        <v>259</v>
      </c>
      <c r="H1444" s="6">
        <v>0</v>
      </c>
      <c r="I1444" s="6">
        <f t="shared" si="284"/>
        <v>253458</v>
      </c>
      <c r="J1444" s="6">
        <v>48157.02</v>
      </c>
      <c r="K1444" s="6"/>
      <c r="L1444" s="6"/>
      <c r="M1444" s="6">
        <f>+H1444+I1444</f>
        <v>253458</v>
      </c>
      <c r="N1444" s="6">
        <f>+J1444</f>
        <v>48157.02</v>
      </c>
      <c r="O1444" s="6">
        <f t="shared" si="285"/>
        <v>301615.02</v>
      </c>
      <c r="P1444" s="6">
        <v>301615.02</v>
      </c>
      <c r="Q1444" s="6"/>
      <c r="R1444" s="6">
        <f t="shared" si="279"/>
        <v>0</v>
      </c>
      <c r="T1444"/>
    </row>
    <row r="1445" spans="2:22" s="5" customFormat="1" x14ac:dyDescent="0.3">
      <c r="B1445" s="5" t="s">
        <v>16</v>
      </c>
      <c r="C1445" s="5" t="s">
        <v>2217</v>
      </c>
      <c r="D1445" s="5" t="s">
        <v>35</v>
      </c>
      <c r="E1445" s="5" t="s">
        <v>551</v>
      </c>
      <c r="F1445" s="5" t="s">
        <v>258</v>
      </c>
      <c r="G1445" s="5" t="s">
        <v>259</v>
      </c>
      <c r="H1445" s="6">
        <v>0</v>
      </c>
      <c r="I1445" s="6">
        <f t="shared" si="284"/>
        <v>7994917.9999999991</v>
      </c>
      <c r="J1445" s="6">
        <v>1519034.42</v>
      </c>
      <c r="K1445" s="6"/>
      <c r="L1445" s="6"/>
      <c r="M1445" s="6">
        <f>+H1445+I1445</f>
        <v>7994917.9999999991</v>
      </c>
      <c r="N1445" s="6">
        <f>+J1445</f>
        <v>1519034.42</v>
      </c>
      <c r="O1445" s="6">
        <f t="shared" si="285"/>
        <v>9513952.4199999981</v>
      </c>
      <c r="P1445" s="6">
        <v>9513952.4199999999</v>
      </c>
      <c r="Q1445" s="6">
        <f t="shared" ref="Q1445:Q1458" si="286">+M1445</f>
        <v>7994917.9999999991</v>
      </c>
      <c r="R1445" s="6">
        <f t="shared" si="279"/>
        <v>199872.94999999995</v>
      </c>
      <c r="S1445" s="7"/>
      <c r="T1445"/>
    </row>
    <row r="1446" spans="2:22" s="5" customFormat="1" x14ac:dyDescent="0.3">
      <c r="B1446" s="5" t="s">
        <v>16</v>
      </c>
      <c r="C1446" s="5" t="s">
        <v>2218</v>
      </c>
      <c r="D1446" s="5" t="s">
        <v>35</v>
      </c>
      <c r="E1446" s="5" t="s">
        <v>520</v>
      </c>
      <c r="F1446" s="5" t="s">
        <v>258</v>
      </c>
      <c r="G1446" s="5" t="s">
        <v>259</v>
      </c>
      <c r="H1446" s="6">
        <f t="shared" ref="H1446:H1456" si="287">+P1446-I1446-J1446</f>
        <v>-3.1578947731759399E-2</v>
      </c>
      <c r="I1446" s="6">
        <f t="shared" si="284"/>
        <v>1463313.6315789477</v>
      </c>
      <c r="J1446" s="6">
        <v>278029.59000000003</v>
      </c>
      <c r="K1446" s="6">
        <v>0</v>
      </c>
      <c r="L1446" s="6">
        <v>0</v>
      </c>
      <c r="M1446" s="6">
        <f t="shared" ref="M1446:M1458" si="288">+H1446+I1446+K1446</f>
        <v>1463313.5999999999</v>
      </c>
      <c r="N1446" s="6">
        <f t="shared" ref="N1446:N1470" si="289">+J1446+L1446</f>
        <v>278029.59000000003</v>
      </c>
      <c r="O1446" s="6">
        <f t="shared" si="285"/>
        <v>1741343.19</v>
      </c>
      <c r="P1446" s="6">
        <v>1741343.19</v>
      </c>
      <c r="Q1446" s="6">
        <f t="shared" si="286"/>
        <v>1463313.5999999999</v>
      </c>
      <c r="R1446" s="6">
        <f t="shared" si="279"/>
        <v>36582.839999999997</v>
      </c>
      <c r="S1446" s="7"/>
      <c r="T1446"/>
    </row>
    <row r="1447" spans="2:22" s="5" customFormat="1" x14ac:dyDescent="0.3">
      <c r="B1447" s="5" t="s">
        <v>16</v>
      </c>
      <c r="C1447" s="5" t="s">
        <v>2219</v>
      </c>
      <c r="D1447" s="5" t="s">
        <v>35</v>
      </c>
      <c r="E1447" s="5" t="s">
        <v>535</v>
      </c>
      <c r="F1447" s="5" t="s">
        <v>258</v>
      </c>
      <c r="G1447" s="5" t="s">
        <v>259</v>
      </c>
      <c r="H1447" s="6">
        <f t="shared" si="287"/>
        <v>-3.6842104746028781E-2</v>
      </c>
      <c r="I1447" s="6">
        <f t="shared" si="284"/>
        <v>5918399.7368421052</v>
      </c>
      <c r="J1447" s="6">
        <v>1124495.95</v>
      </c>
      <c r="K1447" s="6">
        <v>0</v>
      </c>
      <c r="L1447" s="6">
        <v>0</v>
      </c>
      <c r="M1447" s="6">
        <f t="shared" si="288"/>
        <v>5918399.7000000002</v>
      </c>
      <c r="N1447" s="6">
        <f t="shared" si="289"/>
        <v>1124495.95</v>
      </c>
      <c r="O1447" s="6">
        <f t="shared" si="285"/>
        <v>7042895.6500000004</v>
      </c>
      <c r="P1447" s="6">
        <v>7042895.6500000004</v>
      </c>
      <c r="Q1447" s="6">
        <f t="shared" si="286"/>
        <v>5918399.7000000002</v>
      </c>
      <c r="R1447" s="6">
        <f t="shared" si="279"/>
        <v>147959.99249999999</v>
      </c>
      <c r="S1447"/>
      <c r="T1447"/>
    </row>
    <row r="1448" spans="2:22" s="5" customFormat="1" x14ac:dyDescent="0.3">
      <c r="B1448" s="5" t="s">
        <v>16</v>
      </c>
      <c r="C1448" s="5" t="s">
        <v>2220</v>
      </c>
      <c r="D1448" s="5" t="s">
        <v>35</v>
      </c>
      <c r="E1448" s="5" t="s">
        <v>673</v>
      </c>
      <c r="F1448" s="5" t="s">
        <v>258</v>
      </c>
      <c r="G1448" s="5" t="s">
        <v>259</v>
      </c>
      <c r="H1448" s="6">
        <f t="shared" si="287"/>
        <v>7.7894737012684345E-2</v>
      </c>
      <c r="I1448" s="6">
        <f t="shared" si="284"/>
        <v>22815395.842105262</v>
      </c>
      <c r="J1448" s="6">
        <v>4334925.21</v>
      </c>
      <c r="K1448" s="6">
        <v>0</v>
      </c>
      <c r="L1448" s="6">
        <v>0</v>
      </c>
      <c r="M1448" s="6">
        <f t="shared" si="288"/>
        <v>22815395.919999998</v>
      </c>
      <c r="N1448" s="6">
        <f t="shared" si="289"/>
        <v>4334925.21</v>
      </c>
      <c r="O1448" s="6">
        <f t="shared" si="285"/>
        <v>27150321.129999999</v>
      </c>
      <c r="P1448" s="6">
        <v>27150321.129999999</v>
      </c>
      <c r="Q1448" s="6">
        <f t="shared" si="286"/>
        <v>22815395.919999998</v>
      </c>
      <c r="R1448" s="6">
        <f t="shared" si="279"/>
        <v>570384.89799999993</v>
      </c>
      <c r="T1448"/>
    </row>
    <row r="1449" spans="2:22" s="5" customFormat="1" x14ac:dyDescent="0.3">
      <c r="B1449" s="5" t="s">
        <v>16</v>
      </c>
      <c r="C1449" s="5" t="s">
        <v>2221</v>
      </c>
      <c r="D1449" s="5" t="s">
        <v>35</v>
      </c>
      <c r="E1449" s="5" t="s">
        <v>836</v>
      </c>
      <c r="F1449" s="5" t="s">
        <v>258</v>
      </c>
      <c r="G1449" s="5" t="s">
        <v>259</v>
      </c>
      <c r="H1449" s="6">
        <f t="shared" si="287"/>
        <v>0</v>
      </c>
      <c r="I1449" s="6">
        <f t="shared" si="284"/>
        <v>23142576</v>
      </c>
      <c r="J1449" s="6">
        <v>4397089.4400000004</v>
      </c>
      <c r="K1449" s="6">
        <v>0</v>
      </c>
      <c r="L1449" s="6">
        <v>0</v>
      </c>
      <c r="M1449" s="6">
        <f t="shared" si="288"/>
        <v>23142576</v>
      </c>
      <c r="N1449" s="6">
        <f t="shared" si="289"/>
        <v>4397089.4400000004</v>
      </c>
      <c r="O1449" s="6">
        <f t="shared" si="285"/>
        <v>27539665.440000001</v>
      </c>
      <c r="P1449" s="6">
        <v>27539665.440000001</v>
      </c>
      <c r="Q1449" s="6">
        <f t="shared" si="286"/>
        <v>23142576</v>
      </c>
      <c r="R1449" s="6">
        <f t="shared" si="279"/>
        <v>578564.4</v>
      </c>
      <c r="T1449"/>
    </row>
    <row r="1450" spans="2:22" s="5" customFormat="1" x14ac:dyDescent="0.3">
      <c r="B1450" s="5" t="s">
        <v>16</v>
      </c>
      <c r="C1450" s="5" t="s">
        <v>2222</v>
      </c>
      <c r="D1450" s="5" t="s">
        <v>35</v>
      </c>
      <c r="E1450" s="5" t="s">
        <v>657</v>
      </c>
      <c r="F1450" s="5" t="s">
        <v>258</v>
      </c>
      <c r="G1450" s="5" t="s">
        <v>259</v>
      </c>
      <c r="H1450" s="6">
        <f t="shared" si="287"/>
        <v>-0.20263157831504941</v>
      </c>
      <c r="I1450" s="6">
        <f t="shared" si="284"/>
        <v>11045140.052631579</v>
      </c>
      <c r="J1450" s="6">
        <v>2098576.61</v>
      </c>
      <c r="K1450" s="6">
        <v>0</v>
      </c>
      <c r="L1450" s="6">
        <v>0</v>
      </c>
      <c r="M1450" s="6">
        <f t="shared" si="288"/>
        <v>11045139.850000001</v>
      </c>
      <c r="N1450" s="6">
        <f t="shared" si="289"/>
        <v>2098576.61</v>
      </c>
      <c r="O1450" s="6">
        <f t="shared" si="285"/>
        <v>13143716.460000001</v>
      </c>
      <c r="P1450" s="6">
        <v>13143716.460000001</v>
      </c>
      <c r="Q1450" s="6">
        <f t="shared" si="286"/>
        <v>11045139.850000001</v>
      </c>
      <c r="R1450" s="6">
        <f t="shared" si="279"/>
        <v>276128.49625000003</v>
      </c>
      <c r="T1450"/>
    </row>
    <row r="1451" spans="2:22" s="5" customFormat="1" x14ac:dyDescent="0.3">
      <c r="B1451" s="5" t="s">
        <v>16</v>
      </c>
      <c r="C1451" s="5" t="s">
        <v>2223</v>
      </c>
      <c r="D1451" s="5" t="s">
        <v>35</v>
      </c>
      <c r="E1451" s="5" t="s">
        <v>716</v>
      </c>
      <c r="F1451" s="5" t="s">
        <v>258</v>
      </c>
      <c r="G1451" s="5" t="s">
        <v>259</v>
      </c>
      <c r="H1451" s="6">
        <f t="shared" si="287"/>
        <v>-6.7368420423008502E-2</v>
      </c>
      <c r="I1451" s="6">
        <f t="shared" si="284"/>
        <v>2378522.9473684207</v>
      </c>
      <c r="J1451" s="6">
        <v>451919.35999999999</v>
      </c>
      <c r="K1451" s="6">
        <v>0</v>
      </c>
      <c r="L1451" s="6">
        <v>0</v>
      </c>
      <c r="M1451" s="6">
        <f t="shared" si="288"/>
        <v>2378522.8800000004</v>
      </c>
      <c r="N1451" s="6">
        <f t="shared" si="289"/>
        <v>451919.35999999999</v>
      </c>
      <c r="O1451" s="6">
        <f t="shared" si="285"/>
        <v>2830442.24</v>
      </c>
      <c r="P1451" s="6">
        <v>2830442.24</v>
      </c>
      <c r="Q1451" s="6">
        <f t="shared" si="286"/>
        <v>2378522.8800000004</v>
      </c>
      <c r="R1451" s="6">
        <f t="shared" si="279"/>
        <v>59463.072000000015</v>
      </c>
      <c r="T1451"/>
      <c r="U1451"/>
      <c r="V1451"/>
    </row>
    <row r="1452" spans="2:22" s="5" customFormat="1" x14ac:dyDescent="0.3">
      <c r="B1452" s="5" t="s">
        <v>16</v>
      </c>
      <c r="C1452" s="5" t="s">
        <v>2224</v>
      </c>
      <c r="D1452" s="5" t="s">
        <v>35</v>
      </c>
      <c r="E1452" s="5" t="s">
        <v>1304</v>
      </c>
      <c r="F1452" s="5" t="s">
        <v>258</v>
      </c>
      <c r="G1452" s="5" t="s">
        <v>259</v>
      </c>
      <c r="H1452" s="6">
        <f t="shared" si="287"/>
        <v>2.3684210318606347E-2</v>
      </c>
      <c r="I1452" s="6">
        <f t="shared" si="284"/>
        <v>2734532.5263157897</v>
      </c>
      <c r="J1452" s="6">
        <v>519561.18</v>
      </c>
      <c r="K1452" s="6">
        <v>0</v>
      </c>
      <c r="L1452" s="6">
        <v>0</v>
      </c>
      <c r="M1452" s="6">
        <f t="shared" si="288"/>
        <v>2734532.55</v>
      </c>
      <c r="N1452" s="6">
        <f t="shared" si="289"/>
        <v>519561.18</v>
      </c>
      <c r="O1452" s="6">
        <f t="shared" si="285"/>
        <v>3254093.73</v>
      </c>
      <c r="P1452" s="6">
        <v>3254093.73</v>
      </c>
      <c r="Q1452" s="6">
        <f t="shared" si="286"/>
        <v>2734532.55</v>
      </c>
      <c r="R1452" s="6">
        <f t="shared" si="279"/>
        <v>68363.313750000001</v>
      </c>
      <c r="T1452"/>
    </row>
    <row r="1453" spans="2:22" s="5" customFormat="1" x14ac:dyDescent="0.3">
      <c r="B1453" s="5" t="s">
        <v>16</v>
      </c>
      <c r="C1453" s="5" t="s">
        <v>2225</v>
      </c>
      <c r="D1453" s="5" t="s">
        <v>35</v>
      </c>
      <c r="E1453" s="5" t="s">
        <v>117</v>
      </c>
      <c r="F1453" s="5" t="s">
        <v>258</v>
      </c>
      <c r="G1453" s="5" t="s">
        <v>259</v>
      </c>
      <c r="H1453" s="6">
        <f t="shared" si="287"/>
        <v>4.8421051353216171E-2</v>
      </c>
      <c r="I1453" s="6">
        <f t="shared" si="284"/>
        <v>12085798.631578948</v>
      </c>
      <c r="J1453" s="6">
        <v>2296301.7400000002</v>
      </c>
      <c r="K1453" s="6">
        <v>0</v>
      </c>
      <c r="L1453" s="6">
        <v>0</v>
      </c>
      <c r="M1453" s="6">
        <f t="shared" si="288"/>
        <v>12085798.68</v>
      </c>
      <c r="N1453" s="6">
        <f t="shared" si="289"/>
        <v>2296301.7400000002</v>
      </c>
      <c r="O1453" s="6">
        <f t="shared" si="285"/>
        <v>14382100.42</v>
      </c>
      <c r="P1453" s="6">
        <v>14382100.42</v>
      </c>
      <c r="Q1453" s="6">
        <f t="shared" si="286"/>
        <v>12085798.68</v>
      </c>
      <c r="R1453" s="6">
        <f t="shared" si="279"/>
        <v>302144.967</v>
      </c>
      <c r="T1453"/>
      <c r="U1453"/>
      <c r="V1453"/>
    </row>
    <row r="1454" spans="2:22" s="5" customFormat="1" x14ac:dyDescent="0.3">
      <c r="B1454" s="5" t="s">
        <v>16</v>
      </c>
      <c r="C1454" s="5" t="s">
        <v>2226</v>
      </c>
      <c r="D1454" s="5" t="s">
        <v>35</v>
      </c>
      <c r="E1454" s="5" t="s">
        <v>117</v>
      </c>
      <c r="F1454" s="5" t="s">
        <v>258</v>
      </c>
      <c r="G1454" s="5" t="s">
        <v>259</v>
      </c>
      <c r="H1454" s="6">
        <f t="shared" si="287"/>
        <v>0</v>
      </c>
      <c r="I1454" s="6">
        <f t="shared" si="284"/>
        <v>34095686</v>
      </c>
      <c r="J1454" s="6">
        <v>6478180.3399999999</v>
      </c>
      <c r="K1454" s="6">
        <v>0</v>
      </c>
      <c r="L1454" s="6">
        <v>0</v>
      </c>
      <c r="M1454" s="6">
        <f t="shared" si="288"/>
        <v>34095686</v>
      </c>
      <c r="N1454" s="6">
        <f t="shared" si="289"/>
        <v>6478180.3399999999</v>
      </c>
      <c r="O1454" s="6">
        <f t="shared" si="285"/>
        <v>40573866.340000004</v>
      </c>
      <c r="P1454" s="6">
        <v>40573866.340000004</v>
      </c>
      <c r="Q1454" s="6">
        <f t="shared" si="286"/>
        <v>34095686</v>
      </c>
      <c r="R1454" s="6">
        <f t="shared" si="279"/>
        <v>852392.15</v>
      </c>
      <c r="T1454"/>
    </row>
    <row r="1455" spans="2:22" s="5" customFormat="1" x14ac:dyDescent="0.3">
      <c r="B1455" s="5" t="s">
        <v>16</v>
      </c>
      <c r="C1455" s="5" t="s">
        <v>2227</v>
      </c>
      <c r="D1455" s="5" t="s">
        <v>35</v>
      </c>
      <c r="E1455" s="5" t="s">
        <v>784</v>
      </c>
      <c r="F1455" s="5" t="s">
        <v>258</v>
      </c>
      <c r="G1455" s="5" t="s">
        <v>259</v>
      </c>
      <c r="H1455" s="6">
        <f t="shared" si="287"/>
        <v>1.0526316589675844E-2</v>
      </c>
      <c r="I1455" s="6">
        <f t="shared" si="284"/>
        <v>4732618.7894736836</v>
      </c>
      <c r="J1455" s="6">
        <v>899197.57</v>
      </c>
      <c r="K1455" s="6">
        <v>0</v>
      </c>
      <c r="L1455" s="6">
        <v>0</v>
      </c>
      <c r="M1455" s="6">
        <f t="shared" si="288"/>
        <v>4732618.8</v>
      </c>
      <c r="N1455" s="6">
        <f t="shared" si="289"/>
        <v>899197.57</v>
      </c>
      <c r="O1455" s="6">
        <f t="shared" si="285"/>
        <v>5631816.3700000001</v>
      </c>
      <c r="P1455" s="6">
        <v>5631816.3700000001</v>
      </c>
      <c r="Q1455" s="6">
        <f t="shared" si="286"/>
        <v>4732618.8</v>
      </c>
      <c r="R1455" s="6">
        <f t="shared" si="279"/>
        <v>118315.47</v>
      </c>
      <c r="T1455"/>
    </row>
    <row r="1456" spans="2:22" s="5" customFormat="1" x14ac:dyDescent="0.3">
      <c r="B1456" s="5" t="s">
        <v>16</v>
      </c>
      <c r="C1456" s="5" t="s">
        <v>2228</v>
      </c>
      <c r="D1456" s="5" t="s">
        <v>35</v>
      </c>
      <c r="E1456" s="5" t="s">
        <v>216</v>
      </c>
      <c r="F1456" s="5" t="s">
        <v>258</v>
      </c>
      <c r="G1456" s="5" t="s">
        <v>259</v>
      </c>
      <c r="H1456" s="6">
        <f t="shared" si="287"/>
        <v>0</v>
      </c>
      <c r="I1456" s="6">
        <f t="shared" si="284"/>
        <v>23677910</v>
      </c>
      <c r="J1456" s="6">
        <v>4498802.9000000004</v>
      </c>
      <c r="K1456" s="6">
        <v>0</v>
      </c>
      <c r="L1456" s="6">
        <v>0</v>
      </c>
      <c r="M1456" s="6">
        <f t="shared" si="288"/>
        <v>23677910</v>
      </c>
      <c r="N1456" s="6">
        <f t="shared" si="289"/>
        <v>4498802.9000000004</v>
      </c>
      <c r="O1456" s="6">
        <f t="shared" si="285"/>
        <v>28176712.899999999</v>
      </c>
      <c r="P1456" s="6">
        <v>28176712.899999999</v>
      </c>
      <c r="Q1456" s="6">
        <f t="shared" si="286"/>
        <v>23677910</v>
      </c>
      <c r="R1456" s="6">
        <f t="shared" si="279"/>
        <v>591947.75</v>
      </c>
      <c r="T1456"/>
    </row>
    <row r="1457" spans="2:22" s="5" customFormat="1" x14ac:dyDescent="0.3">
      <c r="B1457" s="5" t="s">
        <v>16</v>
      </c>
      <c r="C1457" s="5" t="s">
        <v>2229</v>
      </c>
      <c r="D1457" s="5" t="s">
        <v>35</v>
      </c>
      <c r="E1457" s="5" t="s">
        <v>771</v>
      </c>
      <c r="F1457" s="5" t="s">
        <v>258</v>
      </c>
      <c r="G1457" s="5" t="s">
        <v>259</v>
      </c>
      <c r="H1457" s="6">
        <v>0</v>
      </c>
      <c r="I1457" s="6">
        <f t="shared" si="284"/>
        <v>4991862.2631578948</v>
      </c>
      <c r="J1457" s="6">
        <v>948453.83</v>
      </c>
      <c r="K1457" s="6">
        <v>0</v>
      </c>
      <c r="L1457" s="6">
        <v>0</v>
      </c>
      <c r="M1457" s="6">
        <f t="shared" si="288"/>
        <v>4991862.2631578948</v>
      </c>
      <c r="N1457" s="6">
        <f t="shared" si="289"/>
        <v>948453.83</v>
      </c>
      <c r="O1457" s="6">
        <f t="shared" si="285"/>
        <v>5940316.0931578949</v>
      </c>
      <c r="P1457" s="6">
        <v>5940316.0800000001</v>
      </c>
      <c r="Q1457" s="6">
        <f t="shared" si="286"/>
        <v>4991862.2631578948</v>
      </c>
      <c r="R1457" s="6">
        <f t="shared" si="279"/>
        <v>124796.55657894738</v>
      </c>
      <c r="T1457"/>
    </row>
    <row r="1458" spans="2:22" s="5" customFormat="1" x14ac:dyDescent="0.3">
      <c r="B1458" s="5" t="s">
        <v>16</v>
      </c>
      <c r="C1458" s="5" t="s">
        <v>2230</v>
      </c>
      <c r="D1458" s="5" t="s">
        <v>35</v>
      </c>
      <c r="E1458" s="5" t="s">
        <v>515</v>
      </c>
      <c r="F1458" s="5" t="s">
        <v>231</v>
      </c>
      <c r="G1458" s="5" t="s">
        <v>232</v>
      </c>
      <c r="H1458" s="6">
        <f t="shared" ref="H1458:H1469" si="290">+P1458-I1458-J1458</f>
        <v>2.8947368422523141</v>
      </c>
      <c r="I1458" s="6">
        <f t="shared" si="284"/>
        <v>6289442.1052631577</v>
      </c>
      <c r="J1458" s="6">
        <v>1194994</v>
      </c>
      <c r="K1458" s="6">
        <v>0</v>
      </c>
      <c r="L1458" s="6">
        <v>0</v>
      </c>
      <c r="M1458" s="6">
        <f t="shared" si="288"/>
        <v>6289445</v>
      </c>
      <c r="N1458" s="6">
        <f t="shared" si="289"/>
        <v>1194994</v>
      </c>
      <c r="O1458" s="6">
        <f t="shared" si="285"/>
        <v>7484439</v>
      </c>
      <c r="P1458" s="6">
        <v>7484439</v>
      </c>
      <c r="Q1458" s="6">
        <f t="shared" si="286"/>
        <v>6289445</v>
      </c>
      <c r="R1458" s="6">
        <f t="shared" si="279"/>
        <v>157236.125</v>
      </c>
      <c r="T1458"/>
    </row>
    <row r="1459" spans="2:22" s="5" customFormat="1" x14ac:dyDescent="0.3">
      <c r="B1459" s="7" t="s">
        <v>16</v>
      </c>
      <c r="C1459" s="7" t="s">
        <v>2231</v>
      </c>
      <c r="D1459" s="7" t="s">
        <v>2232</v>
      </c>
      <c r="E1459" s="7" t="s">
        <v>941</v>
      </c>
      <c r="F1459" s="7" t="s">
        <v>2233</v>
      </c>
      <c r="G1459" s="7" t="s">
        <v>2234</v>
      </c>
      <c r="H1459" s="8">
        <f t="shared" si="290"/>
        <v>0</v>
      </c>
      <c r="I1459" s="8">
        <f t="shared" si="284"/>
        <v>9071800</v>
      </c>
      <c r="J1459" s="8">
        <v>1723642</v>
      </c>
      <c r="K1459" s="8">
        <v>0</v>
      </c>
      <c r="L1459" s="8">
        <v>0</v>
      </c>
      <c r="M1459" s="8">
        <f>+I1459+H1459</f>
        <v>9071800</v>
      </c>
      <c r="N1459" s="8">
        <f t="shared" si="289"/>
        <v>1723642</v>
      </c>
      <c r="O1459" s="8">
        <f t="shared" si="285"/>
        <v>10795442</v>
      </c>
      <c r="P1459" s="8">
        <v>10795442</v>
      </c>
      <c r="Q1459" s="8">
        <v>0</v>
      </c>
      <c r="R1459" s="8">
        <f t="shared" si="279"/>
        <v>0</v>
      </c>
      <c r="T1459"/>
    </row>
    <row r="1460" spans="2:22" s="5" customFormat="1" x14ac:dyDescent="0.3">
      <c r="B1460" s="5" t="s">
        <v>16</v>
      </c>
      <c r="C1460" s="5" t="s">
        <v>2235</v>
      </c>
      <c r="D1460" s="5" t="s">
        <v>2232</v>
      </c>
      <c r="E1460" s="5" t="s">
        <v>293</v>
      </c>
      <c r="F1460" s="5" t="s">
        <v>2233</v>
      </c>
      <c r="G1460" s="5" t="s">
        <v>2234</v>
      </c>
      <c r="H1460" s="6">
        <f t="shared" si="290"/>
        <v>0</v>
      </c>
      <c r="I1460" s="6">
        <f t="shared" si="284"/>
        <v>4352200</v>
      </c>
      <c r="J1460" s="6">
        <v>826918</v>
      </c>
      <c r="K1460" s="6">
        <v>0</v>
      </c>
      <c r="L1460" s="6">
        <v>0</v>
      </c>
      <c r="M1460" s="6">
        <f t="shared" ref="M1460:M1465" si="291">+H1460+I1460+K1460</f>
        <v>4352200</v>
      </c>
      <c r="N1460" s="6">
        <f t="shared" si="289"/>
        <v>826918</v>
      </c>
      <c r="O1460" s="6">
        <f t="shared" si="285"/>
        <v>5179118</v>
      </c>
      <c r="P1460" s="6">
        <v>5179118</v>
      </c>
      <c r="Q1460" s="6"/>
      <c r="R1460" s="6">
        <f t="shared" si="279"/>
        <v>0</v>
      </c>
      <c r="T1460"/>
    </row>
    <row r="1461" spans="2:22" s="5" customFormat="1" x14ac:dyDescent="0.3">
      <c r="B1461" s="5" t="s">
        <v>16</v>
      </c>
      <c r="C1461" s="5" t="s">
        <v>2236</v>
      </c>
      <c r="D1461" s="5" t="s">
        <v>2232</v>
      </c>
      <c r="E1461" s="5" t="s">
        <v>1014</v>
      </c>
      <c r="F1461" s="5" t="s">
        <v>2233</v>
      </c>
      <c r="G1461" s="5" t="s">
        <v>2234</v>
      </c>
      <c r="H1461" s="6">
        <f t="shared" si="290"/>
        <v>0</v>
      </c>
      <c r="I1461" s="6">
        <f t="shared" si="284"/>
        <v>1729200</v>
      </c>
      <c r="J1461" s="6">
        <v>328548</v>
      </c>
      <c r="K1461" s="6">
        <v>0</v>
      </c>
      <c r="L1461" s="6">
        <v>0</v>
      </c>
      <c r="M1461" s="6">
        <f t="shared" si="291"/>
        <v>1729200</v>
      </c>
      <c r="N1461" s="6">
        <f t="shared" si="289"/>
        <v>328548</v>
      </c>
      <c r="O1461" s="6">
        <f t="shared" si="285"/>
        <v>2057748</v>
      </c>
      <c r="P1461" s="6">
        <v>2057748</v>
      </c>
      <c r="Q1461" s="6">
        <v>0</v>
      </c>
      <c r="R1461" s="6">
        <f t="shared" si="279"/>
        <v>0</v>
      </c>
      <c r="T1461"/>
    </row>
    <row r="1462" spans="2:22" s="5" customFormat="1" x14ac:dyDescent="0.3">
      <c r="B1462" s="5" t="s">
        <v>16</v>
      </c>
      <c r="C1462" s="5" t="s">
        <v>2237</v>
      </c>
      <c r="D1462" s="5" t="s">
        <v>2232</v>
      </c>
      <c r="E1462" s="5" t="s">
        <v>170</v>
      </c>
      <c r="F1462" s="5" t="s">
        <v>2233</v>
      </c>
      <c r="G1462" s="5" t="s">
        <v>2234</v>
      </c>
      <c r="H1462" s="6">
        <f t="shared" si="290"/>
        <v>0</v>
      </c>
      <c r="I1462" s="6">
        <f t="shared" si="284"/>
        <v>18297400</v>
      </c>
      <c r="J1462" s="6">
        <v>3476506</v>
      </c>
      <c r="K1462" s="6">
        <v>0</v>
      </c>
      <c r="L1462" s="6">
        <v>0</v>
      </c>
      <c r="M1462" s="6">
        <f t="shared" si="291"/>
        <v>18297400</v>
      </c>
      <c r="N1462" s="6">
        <f t="shared" si="289"/>
        <v>3476506</v>
      </c>
      <c r="O1462" s="6">
        <f t="shared" si="285"/>
        <v>21773906</v>
      </c>
      <c r="P1462" s="6">
        <v>21773906</v>
      </c>
      <c r="Q1462" s="6">
        <v>0</v>
      </c>
      <c r="R1462" s="6">
        <f t="shared" si="279"/>
        <v>0</v>
      </c>
      <c r="T1462"/>
      <c r="U1462" s="7"/>
      <c r="V1462" s="7"/>
    </row>
    <row r="1463" spans="2:22" s="5" customFormat="1" x14ac:dyDescent="0.3">
      <c r="B1463" s="5" t="s">
        <v>16</v>
      </c>
      <c r="C1463" s="5" t="s">
        <v>2238</v>
      </c>
      <c r="D1463" s="5" t="s">
        <v>2232</v>
      </c>
      <c r="E1463" s="5" t="s">
        <v>98</v>
      </c>
      <c r="F1463" s="5" t="s">
        <v>2233</v>
      </c>
      <c r="G1463" s="5" t="s">
        <v>2234</v>
      </c>
      <c r="H1463" s="6">
        <f t="shared" si="290"/>
        <v>0</v>
      </c>
      <c r="I1463" s="6">
        <f t="shared" si="284"/>
        <v>2929300</v>
      </c>
      <c r="J1463" s="6">
        <v>556567</v>
      </c>
      <c r="K1463" s="6">
        <v>0</v>
      </c>
      <c r="L1463" s="6">
        <v>0</v>
      </c>
      <c r="M1463" s="6">
        <f t="shared" si="291"/>
        <v>2929300</v>
      </c>
      <c r="N1463" s="6">
        <f t="shared" si="289"/>
        <v>556567</v>
      </c>
      <c r="O1463" s="6">
        <f t="shared" si="285"/>
        <v>3485867</v>
      </c>
      <c r="P1463" s="6">
        <v>3485867</v>
      </c>
      <c r="Q1463" s="6">
        <v>0</v>
      </c>
      <c r="R1463" s="6">
        <f t="shared" si="279"/>
        <v>0</v>
      </c>
      <c r="T1463"/>
    </row>
    <row r="1464" spans="2:22" s="5" customFormat="1" x14ac:dyDescent="0.3">
      <c r="B1464" s="5" t="s">
        <v>16</v>
      </c>
      <c r="C1464" s="5" t="s">
        <v>2239</v>
      </c>
      <c r="D1464" s="5" t="s">
        <v>2232</v>
      </c>
      <c r="E1464" s="5" t="s">
        <v>1726</v>
      </c>
      <c r="F1464" s="5" t="s">
        <v>2233</v>
      </c>
      <c r="G1464" s="5" t="s">
        <v>2234</v>
      </c>
      <c r="H1464" s="6">
        <f t="shared" si="290"/>
        <v>0</v>
      </c>
      <c r="I1464" s="6">
        <f t="shared" si="284"/>
        <v>2093039.9999999998</v>
      </c>
      <c r="J1464" s="6">
        <v>397677.6</v>
      </c>
      <c r="K1464" s="6">
        <v>0</v>
      </c>
      <c r="L1464" s="6">
        <v>0</v>
      </c>
      <c r="M1464" s="6">
        <f t="shared" si="291"/>
        <v>2093039.9999999998</v>
      </c>
      <c r="N1464" s="6">
        <f t="shared" si="289"/>
        <v>397677.6</v>
      </c>
      <c r="O1464" s="6">
        <f t="shared" si="285"/>
        <v>2490717.5999999996</v>
      </c>
      <c r="P1464" s="6">
        <v>2490717.6</v>
      </c>
      <c r="Q1464" s="6">
        <v>0</v>
      </c>
      <c r="R1464" s="6">
        <f t="shared" si="279"/>
        <v>0</v>
      </c>
      <c r="T1464"/>
    </row>
    <row r="1465" spans="2:22" s="5" customFormat="1" x14ac:dyDescent="0.3">
      <c r="B1465" s="5" t="s">
        <v>16</v>
      </c>
      <c r="C1465" s="5" t="s">
        <v>2240</v>
      </c>
      <c r="D1465" s="5" t="s">
        <v>2232</v>
      </c>
      <c r="E1465" s="5" t="s">
        <v>1060</v>
      </c>
      <c r="F1465" s="5" t="s">
        <v>2233</v>
      </c>
      <c r="G1465" s="5" t="s">
        <v>2234</v>
      </c>
      <c r="H1465" s="6">
        <f t="shared" si="290"/>
        <v>0</v>
      </c>
      <c r="I1465" s="6">
        <f t="shared" si="284"/>
        <v>4529600</v>
      </c>
      <c r="J1465" s="6">
        <v>860624</v>
      </c>
      <c r="K1465" s="6">
        <v>0</v>
      </c>
      <c r="L1465" s="6">
        <v>0</v>
      </c>
      <c r="M1465" s="6">
        <f t="shared" si="291"/>
        <v>4529600</v>
      </c>
      <c r="N1465" s="6">
        <f t="shared" si="289"/>
        <v>860624</v>
      </c>
      <c r="O1465" s="6">
        <f t="shared" si="285"/>
        <v>5390224</v>
      </c>
      <c r="P1465" s="6">
        <v>5390224</v>
      </c>
      <c r="Q1465" s="6">
        <v>0</v>
      </c>
      <c r="R1465" s="6">
        <f t="shared" si="279"/>
        <v>0</v>
      </c>
      <c r="S1465"/>
      <c r="T1465"/>
    </row>
    <row r="1466" spans="2:22" s="5" customFormat="1" x14ac:dyDescent="0.3">
      <c r="B1466" s="7" t="s">
        <v>16</v>
      </c>
      <c r="C1466" s="7" t="s">
        <v>2241</v>
      </c>
      <c r="D1466" s="7" t="s">
        <v>2242</v>
      </c>
      <c r="E1466" s="7" t="s">
        <v>238</v>
      </c>
      <c r="F1466" s="7" t="s">
        <v>277</v>
      </c>
      <c r="G1466" s="7" t="s">
        <v>278</v>
      </c>
      <c r="H1466" s="8">
        <f t="shared" si="290"/>
        <v>0</v>
      </c>
      <c r="I1466" s="8">
        <f t="shared" si="284"/>
        <v>15183101.999999998</v>
      </c>
      <c r="J1466" s="8">
        <v>2884789.38</v>
      </c>
      <c r="K1466" s="8">
        <v>0</v>
      </c>
      <c r="L1466" s="8">
        <v>0</v>
      </c>
      <c r="M1466" s="8">
        <f>+I1466+H1466</f>
        <v>15183101.999999998</v>
      </c>
      <c r="N1466" s="8">
        <f t="shared" si="289"/>
        <v>2884789.38</v>
      </c>
      <c r="O1466" s="8">
        <f t="shared" si="285"/>
        <v>18067891.379999999</v>
      </c>
      <c r="P1466" s="8">
        <v>18067891.379999999</v>
      </c>
      <c r="Q1466" s="8">
        <f t="shared" ref="Q1466:Q1471" si="292">+M1466</f>
        <v>15183101.999999998</v>
      </c>
      <c r="R1466" s="8">
        <f t="shared" si="279"/>
        <v>379577.54999999993</v>
      </c>
      <c r="S1466" s="7"/>
      <c r="T1466"/>
    </row>
    <row r="1467" spans="2:22" s="5" customFormat="1" x14ac:dyDescent="0.3">
      <c r="B1467" s="7" t="s">
        <v>16</v>
      </c>
      <c r="C1467" s="7" t="s">
        <v>2243</v>
      </c>
      <c r="D1467" s="7" t="s">
        <v>2242</v>
      </c>
      <c r="E1467" s="7" t="s">
        <v>539</v>
      </c>
      <c r="F1467" s="7" t="s">
        <v>277</v>
      </c>
      <c r="G1467" s="7" t="s">
        <v>278</v>
      </c>
      <c r="H1467" s="8">
        <f t="shared" si="290"/>
        <v>4.6566128730773926E-10</v>
      </c>
      <c r="I1467" s="8">
        <f t="shared" si="284"/>
        <v>1902287.9999999998</v>
      </c>
      <c r="J1467" s="8">
        <v>361434.72</v>
      </c>
      <c r="K1467" s="8">
        <v>0</v>
      </c>
      <c r="L1467" s="8">
        <v>0</v>
      </c>
      <c r="M1467" s="8">
        <f>+I1467+H1467</f>
        <v>1902288.0000000002</v>
      </c>
      <c r="N1467" s="8">
        <f t="shared" si="289"/>
        <v>361434.72</v>
      </c>
      <c r="O1467" s="8">
        <f t="shared" si="285"/>
        <v>2263722.7200000002</v>
      </c>
      <c r="P1467" s="8">
        <v>2263722.7200000002</v>
      </c>
      <c r="Q1467" s="8">
        <f t="shared" si="292"/>
        <v>1902288.0000000002</v>
      </c>
      <c r="R1467" s="8">
        <f t="shared" si="279"/>
        <v>47557.200000000012</v>
      </c>
      <c r="S1467"/>
      <c r="T1467"/>
    </row>
    <row r="1468" spans="2:22" s="5" customFormat="1" x14ac:dyDescent="0.3">
      <c r="B1468" s="5" t="s">
        <v>16</v>
      </c>
      <c r="C1468" s="5" t="s">
        <v>2244</v>
      </c>
      <c r="D1468" s="5" t="s">
        <v>2242</v>
      </c>
      <c r="E1468" s="5" t="s">
        <v>117</v>
      </c>
      <c r="F1468" s="5" t="s">
        <v>277</v>
      </c>
      <c r="G1468" s="5" t="s">
        <v>278</v>
      </c>
      <c r="H1468" s="6">
        <f t="shared" si="290"/>
        <v>0</v>
      </c>
      <c r="I1468" s="6">
        <f t="shared" si="284"/>
        <v>3246737.9999999995</v>
      </c>
      <c r="J1468" s="6">
        <v>616880.22</v>
      </c>
      <c r="K1468" s="6">
        <v>0</v>
      </c>
      <c r="L1468" s="6">
        <v>0</v>
      </c>
      <c r="M1468" s="6">
        <f>+H1468+I1468+K1468</f>
        <v>3246737.9999999995</v>
      </c>
      <c r="N1468" s="6">
        <f t="shared" si="289"/>
        <v>616880.22</v>
      </c>
      <c r="O1468" s="6">
        <f t="shared" si="285"/>
        <v>3863618.2199999997</v>
      </c>
      <c r="P1468" s="6">
        <v>3863618.22</v>
      </c>
      <c r="Q1468" s="6">
        <f t="shared" si="292"/>
        <v>3246737.9999999995</v>
      </c>
      <c r="R1468" s="6">
        <f t="shared" si="279"/>
        <v>81168.45</v>
      </c>
      <c r="S1468" s="7"/>
      <c r="T1468"/>
    </row>
    <row r="1469" spans="2:22" s="5" customFormat="1" x14ac:dyDescent="0.3">
      <c r="B1469" s="5" t="s">
        <v>16</v>
      </c>
      <c r="C1469" s="5" t="s">
        <v>2245</v>
      </c>
      <c r="D1469" s="5" t="s">
        <v>2242</v>
      </c>
      <c r="E1469" s="5" t="s">
        <v>1304</v>
      </c>
      <c r="F1469" s="5" t="s">
        <v>277</v>
      </c>
      <c r="G1469" s="5" t="s">
        <v>278</v>
      </c>
      <c r="H1469" s="6">
        <f t="shared" si="290"/>
        <v>2.1052631549537182E-2</v>
      </c>
      <c r="I1469" s="6">
        <f t="shared" si="284"/>
        <v>18808047.578947369</v>
      </c>
      <c r="J1469" s="6">
        <v>3573529.04</v>
      </c>
      <c r="K1469" s="6">
        <v>0</v>
      </c>
      <c r="L1469" s="6">
        <v>0</v>
      </c>
      <c r="M1469" s="6">
        <f>+H1469+I1469+K1469</f>
        <v>18808047.600000001</v>
      </c>
      <c r="N1469" s="6">
        <f t="shared" si="289"/>
        <v>3573529.04</v>
      </c>
      <c r="O1469" s="6">
        <f t="shared" si="285"/>
        <v>22381576.640000001</v>
      </c>
      <c r="P1469" s="6">
        <v>22381576.640000001</v>
      </c>
      <c r="Q1469" s="6">
        <f t="shared" si="292"/>
        <v>18808047.600000001</v>
      </c>
      <c r="R1469" s="6">
        <f t="shared" si="279"/>
        <v>470201.19</v>
      </c>
      <c r="T1469"/>
    </row>
    <row r="1470" spans="2:22" s="5" customFormat="1" x14ac:dyDescent="0.3">
      <c r="B1470" s="5" t="s">
        <v>16</v>
      </c>
      <c r="C1470" s="5" t="s">
        <v>2246</v>
      </c>
      <c r="D1470" s="5" t="s">
        <v>2242</v>
      </c>
      <c r="E1470" s="5" t="s">
        <v>727</v>
      </c>
      <c r="F1470" s="5" t="s">
        <v>277</v>
      </c>
      <c r="G1470" s="5" t="s">
        <v>278</v>
      </c>
      <c r="H1470" s="6">
        <f>+P1470-I1470-J1470-K1470-L1470</f>
        <v>-8.1578945508226752E-2</v>
      </c>
      <c r="I1470" s="6">
        <f t="shared" si="284"/>
        <v>7402016.6315789465</v>
      </c>
      <c r="J1470" s="6">
        <v>1406383.16</v>
      </c>
      <c r="K1470" s="6">
        <v>0</v>
      </c>
      <c r="L1470" s="6">
        <v>0</v>
      </c>
      <c r="M1470" s="6">
        <f>+H1470+I1470+K1470</f>
        <v>7402016.5500000007</v>
      </c>
      <c r="N1470" s="6">
        <f t="shared" si="289"/>
        <v>1406383.16</v>
      </c>
      <c r="O1470" s="6">
        <f t="shared" si="285"/>
        <v>8808399.7100000009</v>
      </c>
      <c r="P1470" s="6">
        <v>8808399.7100000009</v>
      </c>
      <c r="Q1470" s="6">
        <f t="shared" si="292"/>
        <v>7402016.5500000007</v>
      </c>
      <c r="R1470" s="6">
        <f t="shared" si="279"/>
        <v>185050.41375000001</v>
      </c>
      <c r="S1470" s="14">
        <f>SUM(Q1466:Q1470)</f>
        <v>46542192.150000006</v>
      </c>
      <c r="T1470"/>
    </row>
    <row r="1471" spans="2:22" s="5" customFormat="1" x14ac:dyDescent="0.3">
      <c r="B1471" s="5" t="s">
        <v>16</v>
      </c>
      <c r="C1471" s="5" t="s">
        <v>2247</v>
      </c>
      <c r="D1471" s="5" t="s">
        <v>2248</v>
      </c>
      <c r="E1471" s="5" t="s">
        <v>1271</v>
      </c>
      <c r="F1471" s="5" t="s">
        <v>290</v>
      </c>
      <c r="G1471" s="5" t="s">
        <v>291</v>
      </c>
      <c r="H1471" s="6">
        <v>2.4210527772083879E-2</v>
      </c>
      <c r="I1471" s="6">
        <f t="shared" si="284"/>
        <v>10095840.315789472</v>
      </c>
      <c r="J1471" s="6">
        <v>1918209.66</v>
      </c>
      <c r="K1471" s="6"/>
      <c r="L1471" s="6"/>
      <c r="M1471" s="6">
        <f>+H1471+I1471</f>
        <v>10095840.34</v>
      </c>
      <c r="N1471" s="6">
        <f>+J1471</f>
        <v>1918209.66</v>
      </c>
      <c r="O1471" s="6">
        <f t="shared" si="285"/>
        <v>12014050</v>
      </c>
      <c r="P1471" s="6">
        <v>12014050</v>
      </c>
      <c r="Q1471" s="6">
        <f t="shared" si="292"/>
        <v>10095840.34</v>
      </c>
      <c r="R1471" s="6">
        <f t="shared" si="279"/>
        <v>252396.00850000003</v>
      </c>
      <c r="T1471"/>
    </row>
    <row r="1472" spans="2:22" s="5" customFormat="1" x14ac:dyDescent="0.3">
      <c r="B1472" s="5" t="s">
        <v>16</v>
      </c>
      <c r="C1472" s="5" t="s">
        <v>2249</v>
      </c>
      <c r="D1472" s="5" t="s">
        <v>2248</v>
      </c>
      <c r="E1472" s="5" t="s">
        <v>657</v>
      </c>
      <c r="F1472" s="5" t="s">
        <v>290</v>
      </c>
      <c r="G1472" s="5" t="s">
        <v>291</v>
      </c>
      <c r="H1472" s="6">
        <f>+P1472-I1472-J1472</f>
        <v>215999.99210526314</v>
      </c>
      <c r="I1472" s="6">
        <f t="shared" si="284"/>
        <v>957978.15789473685</v>
      </c>
      <c r="J1472" s="6">
        <v>182015.85</v>
      </c>
      <c r="K1472" s="6">
        <v>0</v>
      </c>
      <c r="L1472" s="6">
        <v>0</v>
      </c>
      <c r="M1472" s="6">
        <f t="shared" ref="M1472:M1477" si="293">+H1472+I1472+K1472</f>
        <v>1173978.1499999999</v>
      </c>
      <c r="N1472" s="6">
        <f>+J1472+L1472</f>
        <v>182015.85</v>
      </c>
      <c r="O1472" s="6">
        <f t="shared" si="285"/>
        <v>1355994</v>
      </c>
      <c r="P1472" s="6">
        <v>1355994</v>
      </c>
      <c r="Q1472" s="6">
        <v>0</v>
      </c>
      <c r="R1472" s="6">
        <f t="shared" si="279"/>
        <v>0</v>
      </c>
      <c r="T1472"/>
    </row>
    <row r="1473" spans="2:22" s="5" customFormat="1" x14ac:dyDescent="0.3">
      <c r="B1473" s="5" t="s">
        <v>16</v>
      </c>
      <c r="C1473" s="5" t="s">
        <v>2250</v>
      </c>
      <c r="D1473" s="5" t="s">
        <v>2248</v>
      </c>
      <c r="E1473" s="5" t="s">
        <v>708</v>
      </c>
      <c r="F1473" s="5" t="s">
        <v>290</v>
      </c>
      <c r="G1473" s="5" t="s">
        <v>291</v>
      </c>
      <c r="H1473" s="6">
        <f>+P1473-I1473-J1473</f>
        <v>5.157894641160965E-2</v>
      </c>
      <c r="I1473" s="6">
        <f t="shared" si="284"/>
        <v>8828329.3684210535</v>
      </c>
      <c r="J1473" s="6">
        <v>1677382.58</v>
      </c>
      <c r="K1473" s="6">
        <v>0</v>
      </c>
      <c r="L1473" s="6">
        <v>0</v>
      </c>
      <c r="M1473" s="6">
        <f t="shared" si="293"/>
        <v>8828329.4199999999</v>
      </c>
      <c r="N1473" s="6">
        <f>J1473+L1473</f>
        <v>1677382.58</v>
      </c>
      <c r="O1473" s="6">
        <f t="shared" si="285"/>
        <v>10505712</v>
      </c>
      <c r="P1473" s="6">
        <v>10505712</v>
      </c>
      <c r="Q1473" s="6">
        <f>+M1473</f>
        <v>8828329.4199999999</v>
      </c>
      <c r="R1473" s="6">
        <f t="shared" si="279"/>
        <v>220708.23550000001</v>
      </c>
      <c r="T1473"/>
      <c r="U1473"/>
      <c r="V1473"/>
    </row>
    <row r="1474" spans="2:22" s="5" customFormat="1" x14ac:dyDescent="0.3">
      <c r="B1474" s="5" t="s">
        <v>16</v>
      </c>
      <c r="C1474" s="5" t="s">
        <v>2251</v>
      </c>
      <c r="D1474" s="5" t="s">
        <v>2248</v>
      </c>
      <c r="E1474" s="5" t="s">
        <v>332</v>
      </c>
      <c r="F1474" s="5" t="s">
        <v>290</v>
      </c>
      <c r="G1474" s="5" t="s">
        <v>291</v>
      </c>
      <c r="H1474" s="6">
        <f>+P1474-I1474-J1474</f>
        <v>3.4736842135316692E-2</v>
      </c>
      <c r="I1474" s="6">
        <f t="shared" si="284"/>
        <v>318736.10526315786</v>
      </c>
      <c r="J1474" s="6">
        <v>60559.86</v>
      </c>
      <c r="K1474" s="6">
        <v>0</v>
      </c>
      <c r="L1474" s="6">
        <v>0</v>
      </c>
      <c r="M1474" s="6">
        <f t="shared" si="293"/>
        <v>318736.14</v>
      </c>
      <c r="N1474" s="6">
        <f>+J1474+L1474</f>
        <v>60559.86</v>
      </c>
      <c r="O1474" s="6">
        <f t="shared" si="285"/>
        <v>379296</v>
      </c>
      <c r="P1474" s="6">
        <v>379296</v>
      </c>
      <c r="Q1474" s="6">
        <v>0</v>
      </c>
      <c r="R1474" s="6">
        <f t="shared" si="279"/>
        <v>0</v>
      </c>
      <c r="T1474"/>
    </row>
    <row r="1475" spans="2:22" s="5" customFormat="1" x14ac:dyDescent="0.3">
      <c r="B1475" s="5" t="s">
        <v>16</v>
      </c>
      <c r="C1475" s="5" t="s">
        <v>2252</v>
      </c>
      <c r="D1475" s="5" t="s">
        <v>2248</v>
      </c>
      <c r="E1475" s="5" t="s">
        <v>599</v>
      </c>
      <c r="F1475" s="5" t="s">
        <v>290</v>
      </c>
      <c r="G1475" s="5" t="s">
        <v>291</v>
      </c>
      <c r="H1475" s="6">
        <f>+P1475-I1475-J1475</f>
        <v>1.6842105193063617E-2</v>
      </c>
      <c r="I1475" s="6">
        <f t="shared" si="284"/>
        <v>6525793.2631578948</v>
      </c>
      <c r="J1475" s="6">
        <v>1239900.72</v>
      </c>
      <c r="K1475" s="6">
        <v>0</v>
      </c>
      <c r="L1475" s="6">
        <v>0</v>
      </c>
      <c r="M1475" s="6">
        <f t="shared" si="293"/>
        <v>6525793.2800000003</v>
      </c>
      <c r="N1475" s="6">
        <f>+J1475+L1475</f>
        <v>1239900.72</v>
      </c>
      <c r="O1475" s="6">
        <f t="shared" si="285"/>
        <v>7765694</v>
      </c>
      <c r="P1475" s="6">
        <v>7765694</v>
      </c>
      <c r="Q1475" s="6">
        <f>+M1475</f>
        <v>6525793.2800000003</v>
      </c>
      <c r="R1475" s="6">
        <f t="shared" si="279"/>
        <v>163144.83200000002</v>
      </c>
      <c r="S1475"/>
      <c r="T1475"/>
      <c r="U1475"/>
      <c r="V1475"/>
    </row>
    <row r="1476" spans="2:22" s="5" customFormat="1" x14ac:dyDescent="0.3">
      <c r="B1476" s="5" t="s">
        <v>16</v>
      </c>
      <c r="C1476" s="5" t="s">
        <v>2253</v>
      </c>
      <c r="D1476" s="5" t="s">
        <v>2248</v>
      </c>
      <c r="E1476" s="5" t="s">
        <v>1170</v>
      </c>
      <c r="F1476" s="5" t="s">
        <v>290</v>
      </c>
      <c r="G1476" s="5" t="s">
        <v>291</v>
      </c>
      <c r="H1476" s="6">
        <f>+P1476-I1476-J1476-K1476-L1476</f>
        <v>207790.0478947371</v>
      </c>
      <c r="I1476" s="6">
        <f t="shared" si="284"/>
        <v>4037505.8421052629</v>
      </c>
      <c r="J1476" s="6">
        <v>767126.11</v>
      </c>
      <c r="K1476" s="6">
        <v>0</v>
      </c>
      <c r="L1476" s="6">
        <v>0</v>
      </c>
      <c r="M1476" s="6">
        <f t="shared" si="293"/>
        <v>4245295.8899999997</v>
      </c>
      <c r="N1476" s="6">
        <f>+J1476+L1476</f>
        <v>767126.11</v>
      </c>
      <c r="O1476" s="6">
        <f t="shared" si="285"/>
        <v>5012422</v>
      </c>
      <c r="P1476" s="6">
        <v>5012422</v>
      </c>
      <c r="Q1476" s="6">
        <f>+M1476</f>
        <v>4245295.8899999997</v>
      </c>
      <c r="R1476" s="6">
        <f t="shared" si="279"/>
        <v>106132.39724999999</v>
      </c>
      <c r="T1476"/>
      <c r="U1476"/>
      <c r="V1476"/>
    </row>
    <row r="1477" spans="2:22" s="5" customFormat="1" x14ac:dyDescent="0.3">
      <c r="B1477" s="5" t="s">
        <v>16</v>
      </c>
      <c r="C1477" s="5" t="s">
        <v>2254</v>
      </c>
      <c r="D1477" s="5" t="s">
        <v>2248</v>
      </c>
      <c r="E1477" s="5" t="s">
        <v>735</v>
      </c>
      <c r="F1477" s="5" t="s">
        <v>290</v>
      </c>
      <c r="G1477" s="5" t="s">
        <v>291</v>
      </c>
      <c r="H1477" s="6">
        <f>+P1477-I1477-J1477-K1477-L1477</f>
        <v>5.3684210404753685E-2</v>
      </c>
      <c r="I1477" s="6">
        <f t="shared" si="284"/>
        <v>6425828.5263157897</v>
      </c>
      <c r="J1477" s="6">
        <v>1220907.42</v>
      </c>
      <c r="K1477" s="6">
        <v>0</v>
      </c>
      <c r="L1477" s="6">
        <v>0</v>
      </c>
      <c r="M1477" s="6">
        <f t="shared" si="293"/>
        <v>6425828.5800000001</v>
      </c>
      <c r="N1477" s="6">
        <f>+J1477+L1477</f>
        <v>1220907.42</v>
      </c>
      <c r="O1477" s="6">
        <f t="shared" si="285"/>
        <v>7646736</v>
      </c>
      <c r="P1477" s="6">
        <v>7646736</v>
      </c>
      <c r="Q1477" s="6">
        <f>+M1477</f>
        <v>6425828.5800000001</v>
      </c>
      <c r="R1477" s="6">
        <f t="shared" ref="R1477:R1540" si="294">+Q1477*2.5/100</f>
        <v>160645.7145</v>
      </c>
      <c r="S1477"/>
      <c r="T1477"/>
      <c r="U1477"/>
      <c r="V1477"/>
    </row>
    <row r="1478" spans="2:22" s="5" customFormat="1" x14ac:dyDescent="0.3">
      <c r="B1478" s="5" t="s">
        <v>16</v>
      </c>
      <c r="C1478" s="5" t="s">
        <v>2255</v>
      </c>
      <c r="D1478" s="5" t="s">
        <v>35</v>
      </c>
      <c r="E1478" s="5" t="s">
        <v>1275</v>
      </c>
      <c r="F1478" s="5" t="s">
        <v>414</v>
      </c>
      <c r="G1478" s="5" t="s">
        <v>415</v>
      </c>
      <c r="H1478" s="6">
        <v>5.2631578408181667E-2</v>
      </c>
      <c r="I1478" s="6">
        <f t="shared" si="284"/>
        <v>6007478.9473684216</v>
      </c>
      <c r="J1478" s="6">
        <v>1141421</v>
      </c>
      <c r="K1478" s="6"/>
      <c r="L1478" s="6"/>
      <c r="M1478" s="6">
        <f>+H1478+I1478</f>
        <v>6007479</v>
      </c>
      <c r="N1478" s="6">
        <f>+J1478</f>
        <v>1141421</v>
      </c>
      <c r="O1478" s="6">
        <f t="shared" si="285"/>
        <v>7148900</v>
      </c>
      <c r="P1478" s="6">
        <v>7148900</v>
      </c>
      <c r="Q1478" s="6">
        <f>+M1478</f>
        <v>6007479</v>
      </c>
      <c r="R1478" s="6">
        <f t="shared" si="294"/>
        <v>150186.97500000001</v>
      </c>
      <c r="T1478"/>
    </row>
    <row r="1479" spans="2:22" s="5" customFormat="1" x14ac:dyDescent="0.3">
      <c r="B1479" s="5" t="s">
        <v>16</v>
      </c>
      <c r="C1479" s="5" t="s">
        <v>2256</v>
      </c>
      <c r="D1479" s="5" t="s">
        <v>35</v>
      </c>
      <c r="E1479" s="5" t="s">
        <v>805</v>
      </c>
      <c r="F1479" s="5" t="s">
        <v>2257</v>
      </c>
      <c r="G1479" s="5" t="s">
        <v>2258</v>
      </c>
      <c r="H1479" s="6">
        <v>0</v>
      </c>
      <c r="I1479" s="6">
        <f t="shared" si="284"/>
        <v>8442984</v>
      </c>
      <c r="J1479" s="6">
        <v>1604166.96</v>
      </c>
      <c r="K1479" s="6"/>
      <c r="L1479" s="6"/>
      <c r="M1479" s="6">
        <f>+H1479+I1479</f>
        <v>8442984</v>
      </c>
      <c r="N1479" s="6">
        <f>+J1479</f>
        <v>1604166.96</v>
      </c>
      <c r="O1479" s="6">
        <f t="shared" si="285"/>
        <v>10047150.960000001</v>
      </c>
      <c r="P1479" s="6">
        <v>10047150.960000001</v>
      </c>
      <c r="Q1479" s="6"/>
      <c r="R1479" s="6">
        <f t="shared" si="294"/>
        <v>0</v>
      </c>
      <c r="T1479"/>
    </row>
    <row r="1480" spans="2:22" s="5" customFormat="1" x14ac:dyDescent="0.3">
      <c r="B1480" s="7" t="s">
        <v>16</v>
      </c>
      <c r="C1480" s="7" t="s">
        <v>2259</v>
      </c>
      <c r="D1480" s="7" t="s">
        <v>35</v>
      </c>
      <c r="E1480" s="7" t="s">
        <v>393</v>
      </c>
      <c r="F1480" s="7" t="s">
        <v>2257</v>
      </c>
      <c r="G1480" s="7" t="s">
        <v>2258</v>
      </c>
      <c r="H1480" s="8">
        <f t="shared" ref="H1480:H1491" si="295">+P1480-I1480-J1480</f>
        <v>0</v>
      </c>
      <c r="I1480" s="8">
        <f t="shared" si="284"/>
        <v>9896056</v>
      </c>
      <c r="J1480" s="8">
        <v>1880250.64</v>
      </c>
      <c r="K1480" s="8">
        <v>0</v>
      </c>
      <c r="L1480" s="8">
        <v>0</v>
      </c>
      <c r="M1480" s="8">
        <f>+I1480+H1480</f>
        <v>9896056</v>
      </c>
      <c r="N1480" s="8">
        <f t="shared" ref="N1480:N1494" si="296">+J1480+L1480</f>
        <v>1880250.64</v>
      </c>
      <c r="O1480" s="8">
        <f t="shared" si="285"/>
        <v>11776306.640000001</v>
      </c>
      <c r="P1480" s="8">
        <v>11776306.640000001</v>
      </c>
      <c r="Q1480" s="8">
        <v>0</v>
      </c>
      <c r="R1480" s="8">
        <f t="shared" si="294"/>
        <v>0</v>
      </c>
      <c r="T1480"/>
    </row>
    <row r="1481" spans="2:22" s="5" customFormat="1" x14ac:dyDescent="0.3">
      <c r="B1481" s="7" t="s">
        <v>16</v>
      </c>
      <c r="C1481" s="7" t="s">
        <v>2260</v>
      </c>
      <c r="D1481" s="7" t="s">
        <v>35</v>
      </c>
      <c r="E1481" s="7" t="s">
        <v>1561</v>
      </c>
      <c r="F1481" s="7" t="s">
        <v>2257</v>
      </c>
      <c r="G1481" s="7" t="s">
        <v>2258</v>
      </c>
      <c r="H1481" s="8">
        <f t="shared" si="295"/>
        <v>1.862645149230957E-9</v>
      </c>
      <c r="I1481" s="8">
        <f t="shared" si="284"/>
        <v>7234451.9999999991</v>
      </c>
      <c r="J1481" s="8">
        <v>1374545.88</v>
      </c>
      <c r="K1481" s="8">
        <v>0</v>
      </c>
      <c r="L1481" s="8">
        <v>0</v>
      </c>
      <c r="M1481" s="8">
        <f>+I1481+H1481</f>
        <v>7234452.0000000009</v>
      </c>
      <c r="N1481" s="8">
        <f t="shared" si="296"/>
        <v>1374545.88</v>
      </c>
      <c r="O1481" s="8">
        <f t="shared" si="285"/>
        <v>8608997.8800000008</v>
      </c>
      <c r="P1481" s="8">
        <v>8608997.8800000008</v>
      </c>
      <c r="Q1481" s="8">
        <v>0</v>
      </c>
      <c r="R1481" s="8">
        <f t="shared" si="294"/>
        <v>0</v>
      </c>
      <c r="T1481"/>
    </row>
    <row r="1482" spans="2:22" s="5" customFormat="1" x14ac:dyDescent="0.3">
      <c r="B1482" s="5" t="s">
        <v>16</v>
      </c>
      <c r="C1482" s="5" t="s">
        <v>2261</v>
      </c>
      <c r="D1482" s="5" t="s">
        <v>35</v>
      </c>
      <c r="E1482" s="5" t="s">
        <v>2262</v>
      </c>
      <c r="F1482" s="5" t="s">
        <v>2257</v>
      </c>
      <c r="G1482" s="5" t="s">
        <v>2258</v>
      </c>
      <c r="H1482" s="6">
        <f t="shared" si="295"/>
        <v>0</v>
      </c>
      <c r="I1482" s="6">
        <f t="shared" si="284"/>
        <v>10975704</v>
      </c>
      <c r="J1482" s="6">
        <v>2085383.76</v>
      </c>
      <c r="K1482" s="6">
        <v>0</v>
      </c>
      <c r="L1482" s="6">
        <v>0</v>
      </c>
      <c r="M1482" s="6">
        <f t="shared" ref="M1482:M1494" si="297">+H1482+I1482+K1482</f>
        <v>10975704</v>
      </c>
      <c r="N1482" s="6">
        <f t="shared" si="296"/>
        <v>2085383.76</v>
      </c>
      <c r="O1482" s="6">
        <f t="shared" si="285"/>
        <v>13061087.76</v>
      </c>
      <c r="P1482" s="6">
        <v>13061087.76</v>
      </c>
      <c r="Q1482" s="6"/>
      <c r="R1482" s="6">
        <f t="shared" si="294"/>
        <v>0</v>
      </c>
      <c r="T1482"/>
    </row>
    <row r="1483" spans="2:22" s="5" customFormat="1" x14ac:dyDescent="0.3">
      <c r="B1483" s="5" t="s">
        <v>16</v>
      </c>
      <c r="C1483" s="5" t="s">
        <v>2263</v>
      </c>
      <c r="D1483" s="5" t="s">
        <v>35</v>
      </c>
      <c r="E1483" s="5" t="s">
        <v>675</v>
      </c>
      <c r="F1483" s="5" t="s">
        <v>2257</v>
      </c>
      <c r="G1483" s="5" t="s">
        <v>2258</v>
      </c>
      <c r="H1483" s="6">
        <f t="shared" si="295"/>
        <v>242566.10526315786</v>
      </c>
      <c r="I1483" s="6">
        <f t="shared" si="284"/>
        <v>46297.894736842107</v>
      </c>
      <c r="J1483" s="6">
        <v>8796.6</v>
      </c>
      <c r="K1483" s="6">
        <v>0</v>
      </c>
      <c r="L1483" s="6">
        <v>0</v>
      </c>
      <c r="M1483" s="6">
        <f t="shared" si="297"/>
        <v>288864</v>
      </c>
      <c r="N1483" s="6">
        <f t="shared" si="296"/>
        <v>8796.6</v>
      </c>
      <c r="O1483" s="6">
        <f t="shared" si="285"/>
        <v>297660.59999999998</v>
      </c>
      <c r="P1483" s="6">
        <v>297660.59999999998</v>
      </c>
      <c r="Q1483" s="6">
        <v>0</v>
      </c>
      <c r="R1483" s="6">
        <f t="shared" si="294"/>
        <v>0</v>
      </c>
      <c r="T1483"/>
    </row>
    <row r="1484" spans="2:22" s="5" customFormat="1" x14ac:dyDescent="0.3">
      <c r="B1484" s="5" t="s">
        <v>16</v>
      </c>
      <c r="C1484" s="5" t="s">
        <v>2264</v>
      </c>
      <c r="D1484" s="5" t="s">
        <v>35</v>
      </c>
      <c r="E1484" s="5" t="s">
        <v>456</v>
      </c>
      <c r="F1484" s="5" t="s">
        <v>2257</v>
      </c>
      <c r="G1484" s="5" t="s">
        <v>2258</v>
      </c>
      <c r="H1484" s="6">
        <f t="shared" si="295"/>
        <v>0</v>
      </c>
      <c r="I1484" s="6">
        <f t="shared" si="284"/>
        <v>1874880</v>
      </c>
      <c r="J1484" s="6">
        <v>356227.2</v>
      </c>
      <c r="K1484" s="6">
        <v>0</v>
      </c>
      <c r="L1484" s="6">
        <v>0</v>
      </c>
      <c r="M1484" s="6">
        <f t="shared" si="297"/>
        <v>1874880</v>
      </c>
      <c r="N1484" s="6">
        <f t="shared" si="296"/>
        <v>356227.2</v>
      </c>
      <c r="O1484" s="6">
        <f t="shared" si="285"/>
        <v>2231107.2000000002</v>
      </c>
      <c r="P1484" s="6">
        <v>2231107.2000000002</v>
      </c>
      <c r="Q1484" s="6">
        <v>0</v>
      </c>
      <c r="R1484" s="6">
        <f t="shared" si="294"/>
        <v>0</v>
      </c>
      <c r="T1484"/>
      <c r="U1484"/>
      <c r="V1484"/>
    </row>
    <row r="1485" spans="2:22" s="5" customFormat="1" x14ac:dyDescent="0.3">
      <c r="B1485" s="5" t="s">
        <v>16</v>
      </c>
      <c r="C1485" s="5" t="s">
        <v>2265</v>
      </c>
      <c r="D1485" s="5" t="s">
        <v>35</v>
      </c>
      <c r="E1485" s="5" t="s">
        <v>298</v>
      </c>
      <c r="F1485" s="5" t="s">
        <v>2257</v>
      </c>
      <c r="G1485" s="5" t="s">
        <v>2258</v>
      </c>
      <c r="H1485" s="6">
        <f t="shared" si="295"/>
        <v>0</v>
      </c>
      <c r="I1485" s="6">
        <f t="shared" si="284"/>
        <v>5337866</v>
      </c>
      <c r="J1485" s="6">
        <v>1014194.54</v>
      </c>
      <c r="K1485" s="6">
        <v>0</v>
      </c>
      <c r="L1485" s="6">
        <v>0</v>
      </c>
      <c r="M1485" s="6">
        <f t="shared" si="297"/>
        <v>5337866</v>
      </c>
      <c r="N1485" s="6">
        <f t="shared" si="296"/>
        <v>1014194.54</v>
      </c>
      <c r="O1485" s="6">
        <f t="shared" si="285"/>
        <v>6352060.54</v>
      </c>
      <c r="P1485" s="6">
        <v>6352060.54</v>
      </c>
      <c r="Q1485" s="6">
        <v>0</v>
      </c>
      <c r="R1485" s="6">
        <f t="shared" si="294"/>
        <v>0</v>
      </c>
      <c r="T1485"/>
      <c r="U1485"/>
      <c r="V1485"/>
    </row>
    <row r="1486" spans="2:22" s="5" customFormat="1" x14ac:dyDescent="0.3">
      <c r="B1486" s="5" t="s">
        <v>16</v>
      </c>
      <c r="C1486" s="5" t="s">
        <v>2266</v>
      </c>
      <c r="D1486" s="5" t="s">
        <v>35</v>
      </c>
      <c r="E1486" s="5" t="s">
        <v>1516</v>
      </c>
      <c r="F1486" s="5" t="s">
        <v>2257</v>
      </c>
      <c r="G1486" s="5" t="s">
        <v>2258</v>
      </c>
      <c r="H1486" s="6">
        <f t="shared" si="295"/>
        <v>0</v>
      </c>
      <c r="I1486" s="6">
        <f t="shared" si="284"/>
        <v>7802056</v>
      </c>
      <c r="J1486" s="6">
        <v>1482390.64</v>
      </c>
      <c r="K1486" s="6">
        <v>0</v>
      </c>
      <c r="L1486" s="6">
        <v>0</v>
      </c>
      <c r="M1486" s="6">
        <f t="shared" si="297"/>
        <v>7802056</v>
      </c>
      <c r="N1486" s="6">
        <f t="shared" si="296"/>
        <v>1482390.64</v>
      </c>
      <c r="O1486" s="6">
        <f t="shared" si="285"/>
        <v>9284446.6400000006</v>
      </c>
      <c r="P1486" s="6">
        <v>9284446.6400000006</v>
      </c>
      <c r="Q1486" s="6">
        <v>0</v>
      </c>
      <c r="R1486" s="6">
        <f t="shared" si="294"/>
        <v>0</v>
      </c>
      <c r="T1486"/>
      <c r="U1486"/>
      <c r="V1486"/>
    </row>
    <row r="1487" spans="2:22" s="5" customFormat="1" x14ac:dyDescent="0.3">
      <c r="B1487" s="5" t="s">
        <v>16</v>
      </c>
      <c r="C1487" s="5" t="s">
        <v>2267</v>
      </c>
      <c r="D1487" s="5" t="s">
        <v>35</v>
      </c>
      <c r="E1487" s="5" t="s">
        <v>1713</v>
      </c>
      <c r="F1487" s="5" t="s">
        <v>2257</v>
      </c>
      <c r="G1487" s="5" t="s">
        <v>2258</v>
      </c>
      <c r="H1487" s="6">
        <f t="shared" si="295"/>
        <v>59180.210526315786</v>
      </c>
      <c r="I1487" s="6">
        <f t="shared" si="284"/>
        <v>12795.78947368421</v>
      </c>
      <c r="J1487" s="6">
        <v>2431.1999999999998</v>
      </c>
      <c r="K1487" s="6">
        <v>0</v>
      </c>
      <c r="L1487" s="6">
        <v>0</v>
      </c>
      <c r="M1487" s="6">
        <f t="shared" si="297"/>
        <v>71976</v>
      </c>
      <c r="N1487" s="6">
        <f t="shared" si="296"/>
        <v>2431.1999999999998</v>
      </c>
      <c r="O1487" s="6">
        <f t="shared" si="285"/>
        <v>74407.199999999997</v>
      </c>
      <c r="P1487" s="6">
        <v>74407.199999999997</v>
      </c>
      <c r="Q1487" s="6">
        <v>0</v>
      </c>
      <c r="R1487" s="6">
        <f t="shared" si="294"/>
        <v>0</v>
      </c>
      <c r="T1487"/>
    </row>
    <row r="1488" spans="2:22" s="5" customFormat="1" x14ac:dyDescent="0.3">
      <c r="B1488" s="5" t="s">
        <v>16</v>
      </c>
      <c r="C1488" s="5" t="s">
        <v>2268</v>
      </c>
      <c r="D1488" s="5" t="s">
        <v>35</v>
      </c>
      <c r="E1488" s="5" t="s">
        <v>389</v>
      </c>
      <c r="F1488" s="5" t="s">
        <v>2257</v>
      </c>
      <c r="G1488" s="5" t="s">
        <v>2258</v>
      </c>
      <c r="H1488" s="6">
        <f t="shared" si="295"/>
        <v>0</v>
      </c>
      <c r="I1488" s="6">
        <f t="shared" si="284"/>
        <v>8684316</v>
      </c>
      <c r="J1488" s="6">
        <v>1650020.04</v>
      </c>
      <c r="K1488" s="6">
        <v>0</v>
      </c>
      <c r="L1488" s="6">
        <v>0</v>
      </c>
      <c r="M1488" s="6">
        <f t="shared" si="297"/>
        <v>8684316</v>
      </c>
      <c r="N1488" s="6">
        <f t="shared" si="296"/>
        <v>1650020.04</v>
      </c>
      <c r="O1488" s="6">
        <f t="shared" si="285"/>
        <v>10334336.039999999</v>
      </c>
      <c r="P1488" s="6">
        <v>10334336.039999999</v>
      </c>
      <c r="Q1488" s="6">
        <v>0</v>
      </c>
      <c r="R1488" s="6">
        <f t="shared" si="294"/>
        <v>0</v>
      </c>
      <c r="T1488"/>
    </row>
    <row r="1489" spans="2:22" s="5" customFormat="1" x14ac:dyDescent="0.3">
      <c r="B1489" s="5" t="s">
        <v>16</v>
      </c>
      <c r="C1489" s="5" t="s">
        <v>2269</v>
      </c>
      <c r="D1489" s="5" t="s">
        <v>35</v>
      </c>
      <c r="E1489" s="5" t="s">
        <v>597</v>
      </c>
      <c r="F1489" s="5" t="s">
        <v>2257</v>
      </c>
      <c r="G1489" s="5" t="s">
        <v>2258</v>
      </c>
      <c r="H1489" s="6">
        <f t="shared" si="295"/>
        <v>0</v>
      </c>
      <c r="I1489" s="6">
        <f t="shared" si="284"/>
        <v>3168168.0000000005</v>
      </c>
      <c r="J1489" s="6">
        <v>601951.92000000004</v>
      </c>
      <c r="K1489" s="6">
        <v>0</v>
      </c>
      <c r="L1489" s="6">
        <v>0</v>
      </c>
      <c r="M1489" s="6">
        <f t="shared" si="297"/>
        <v>3168168.0000000005</v>
      </c>
      <c r="N1489" s="6">
        <f t="shared" si="296"/>
        <v>601951.92000000004</v>
      </c>
      <c r="O1489" s="6">
        <f t="shared" si="285"/>
        <v>3770119.9200000004</v>
      </c>
      <c r="P1489" s="6">
        <v>3770119.92</v>
      </c>
      <c r="Q1489" s="6">
        <v>0</v>
      </c>
      <c r="R1489" s="6">
        <f t="shared" si="294"/>
        <v>0</v>
      </c>
      <c r="S1489" s="6"/>
      <c r="T1489"/>
    </row>
    <row r="1490" spans="2:22" s="5" customFormat="1" x14ac:dyDescent="0.3">
      <c r="B1490" s="5" t="s">
        <v>16</v>
      </c>
      <c r="C1490" s="5" t="s">
        <v>2270</v>
      </c>
      <c r="D1490" s="5" t="s">
        <v>35</v>
      </c>
      <c r="E1490" s="5" t="s">
        <v>276</v>
      </c>
      <c r="F1490" s="5" t="s">
        <v>2257</v>
      </c>
      <c r="G1490" s="5" t="s">
        <v>2258</v>
      </c>
      <c r="H1490" s="6">
        <f t="shared" si="295"/>
        <v>0</v>
      </c>
      <c r="I1490" s="6">
        <f t="shared" si="284"/>
        <v>3912612.0000000005</v>
      </c>
      <c r="J1490" s="6">
        <v>743396.28</v>
      </c>
      <c r="K1490" s="6">
        <v>0</v>
      </c>
      <c r="L1490" s="6">
        <v>0</v>
      </c>
      <c r="M1490" s="6">
        <f t="shared" si="297"/>
        <v>3912612.0000000005</v>
      </c>
      <c r="N1490" s="6">
        <f t="shared" si="296"/>
        <v>743396.28</v>
      </c>
      <c r="O1490" s="6">
        <f t="shared" si="285"/>
        <v>4656008.28</v>
      </c>
      <c r="P1490" s="6">
        <v>4656008.28</v>
      </c>
      <c r="Q1490" s="6">
        <v>0</v>
      </c>
      <c r="R1490" s="6">
        <f t="shared" si="294"/>
        <v>0</v>
      </c>
      <c r="S1490" s="6"/>
      <c r="T1490"/>
    </row>
    <row r="1491" spans="2:22" s="5" customFormat="1" x14ac:dyDescent="0.3">
      <c r="B1491" s="5" t="s">
        <v>16</v>
      </c>
      <c r="C1491" s="5" t="s">
        <v>2271</v>
      </c>
      <c r="D1491" s="5" t="s">
        <v>35</v>
      </c>
      <c r="E1491" s="5" t="s">
        <v>874</v>
      </c>
      <c r="F1491" s="5" t="s">
        <v>2257</v>
      </c>
      <c r="G1491" s="5" t="s">
        <v>2258</v>
      </c>
      <c r="H1491" s="6">
        <f t="shared" si="295"/>
        <v>0</v>
      </c>
      <c r="I1491" s="6">
        <f t="shared" si="284"/>
        <v>7299336</v>
      </c>
      <c r="J1491" s="6">
        <v>1386873.84</v>
      </c>
      <c r="K1491" s="6">
        <v>0</v>
      </c>
      <c r="L1491" s="6">
        <v>0</v>
      </c>
      <c r="M1491" s="6">
        <f t="shared" si="297"/>
        <v>7299336</v>
      </c>
      <c r="N1491" s="6">
        <f t="shared" si="296"/>
        <v>1386873.84</v>
      </c>
      <c r="O1491" s="6">
        <f t="shared" si="285"/>
        <v>8686209.8399999999</v>
      </c>
      <c r="P1491" s="6">
        <v>8686209.8399999999</v>
      </c>
      <c r="Q1491" s="6">
        <v>0</v>
      </c>
      <c r="R1491" s="6">
        <f t="shared" si="294"/>
        <v>0</v>
      </c>
      <c r="S1491" s="6"/>
      <c r="T1491"/>
    </row>
    <row r="1492" spans="2:22" s="5" customFormat="1" x14ac:dyDescent="0.3">
      <c r="B1492" s="5" t="s">
        <v>16</v>
      </c>
      <c r="C1492" s="5" t="s">
        <v>2272</v>
      </c>
      <c r="D1492" s="5" t="s">
        <v>35</v>
      </c>
      <c r="E1492" s="5" t="s">
        <v>1184</v>
      </c>
      <c r="F1492" s="5" t="s">
        <v>2257</v>
      </c>
      <c r="G1492" s="5" t="s">
        <v>2258</v>
      </c>
      <c r="H1492" s="6">
        <f>+P1492-I1492-J1492-K1492-L1492</f>
        <v>4.6566128730773926E-10</v>
      </c>
      <c r="I1492" s="6">
        <f t="shared" si="284"/>
        <v>10392492</v>
      </c>
      <c r="J1492" s="6">
        <v>1974573.48</v>
      </c>
      <c r="K1492" s="6">
        <v>0</v>
      </c>
      <c r="L1492" s="6">
        <v>0</v>
      </c>
      <c r="M1492" s="6">
        <f t="shared" si="297"/>
        <v>10392492</v>
      </c>
      <c r="N1492" s="6">
        <f t="shared" si="296"/>
        <v>1974573.48</v>
      </c>
      <c r="O1492" s="6">
        <f t="shared" si="285"/>
        <v>12367065.48</v>
      </c>
      <c r="P1492" s="6">
        <v>12367065.48</v>
      </c>
      <c r="Q1492" s="6">
        <v>0</v>
      </c>
      <c r="R1492" s="6">
        <f t="shared" si="294"/>
        <v>0</v>
      </c>
      <c r="T1492"/>
    </row>
    <row r="1493" spans="2:22" s="5" customFormat="1" x14ac:dyDescent="0.3">
      <c r="B1493" s="5" t="s">
        <v>16</v>
      </c>
      <c r="C1493" s="5" t="s">
        <v>2273</v>
      </c>
      <c r="D1493" s="5" t="s">
        <v>35</v>
      </c>
      <c r="E1493" s="5" t="s">
        <v>1204</v>
      </c>
      <c r="F1493" s="5" t="s">
        <v>2257</v>
      </c>
      <c r="G1493" s="5" t="s">
        <v>2258</v>
      </c>
      <c r="H1493" s="6">
        <v>0</v>
      </c>
      <c r="I1493" s="6">
        <f t="shared" si="284"/>
        <v>8309508</v>
      </c>
      <c r="J1493" s="6">
        <v>1578806.52</v>
      </c>
      <c r="K1493" s="6">
        <v>0</v>
      </c>
      <c r="L1493" s="6">
        <v>0</v>
      </c>
      <c r="M1493" s="6">
        <f t="shared" si="297"/>
        <v>8309508</v>
      </c>
      <c r="N1493" s="6">
        <f t="shared" si="296"/>
        <v>1578806.52</v>
      </c>
      <c r="O1493" s="6">
        <f t="shared" si="285"/>
        <v>9888314.5199999996</v>
      </c>
      <c r="P1493" s="6">
        <v>9888314.5199999996</v>
      </c>
      <c r="Q1493" s="6">
        <v>0</v>
      </c>
      <c r="R1493" s="6">
        <f t="shared" si="294"/>
        <v>0</v>
      </c>
      <c r="T1493"/>
    </row>
    <row r="1494" spans="2:22" s="5" customFormat="1" x14ac:dyDescent="0.3">
      <c r="B1494" s="5" t="s">
        <v>16</v>
      </c>
      <c r="C1494" s="5" t="s">
        <v>2274</v>
      </c>
      <c r="D1494" s="5" t="s">
        <v>35</v>
      </c>
      <c r="E1494" s="5" t="s">
        <v>1138</v>
      </c>
      <c r="F1494" s="5" t="s">
        <v>2257</v>
      </c>
      <c r="G1494" s="5" t="s">
        <v>2258</v>
      </c>
      <c r="H1494" s="6">
        <f>+P1494-I1494-J1494</f>
        <v>0</v>
      </c>
      <c r="I1494" s="6">
        <f t="shared" si="284"/>
        <v>10200984</v>
      </c>
      <c r="J1494" s="6">
        <v>1938186.96</v>
      </c>
      <c r="K1494" s="6">
        <v>0</v>
      </c>
      <c r="L1494" s="6">
        <v>0</v>
      </c>
      <c r="M1494" s="6">
        <f t="shared" si="297"/>
        <v>10200984</v>
      </c>
      <c r="N1494" s="6">
        <f t="shared" si="296"/>
        <v>1938186.96</v>
      </c>
      <c r="O1494" s="6">
        <f t="shared" si="285"/>
        <v>12139170.960000001</v>
      </c>
      <c r="P1494" s="6">
        <v>12139170.960000001</v>
      </c>
      <c r="Q1494" s="6">
        <v>0</v>
      </c>
      <c r="R1494" s="6">
        <f t="shared" si="294"/>
        <v>0</v>
      </c>
      <c r="T1494"/>
      <c r="U1494"/>
      <c r="V1494"/>
    </row>
    <row r="1495" spans="2:22" s="5" customFormat="1" x14ac:dyDescent="0.3">
      <c r="B1495" s="5" t="s">
        <v>16</v>
      </c>
      <c r="C1495" s="5" t="s">
        <v>2275</v>
      </c>
      <c r="D1495" s="5" t="s">
        <v>35</v>
      </c>
      <c r="E1495" s="5" t="s">
        <v>807</v>
      </c>
      <c r="F1495" s="5" t="s">
        <v>112</v>
      </c>
      <c r="G1495" s="5" t="s">
        <v>113</v>
      </c>
      <c r="H1495" s="6">
        <v>0</v>
      </c>
      <c r="I1495" s="6">
        <f t="shared" si="284"/>
        <v>1255224</v>
      </c>
      <c r="J1495" s="6">
        <v>238492.56</v>
      </c>
      <c r="K1495" s="6"/>
      <c r="L1495" s="6"/>
      <c r="M1495" s="6">
        <f>+H1495+I1495</f>
        <v>1255224</v>
      </c>
      <c r="N1495" s="6">
        <f>+J1495</f>
        <v>238492.56</v>
      </c>
      <c r="O1495" s="6">
        <f t="shared" si="285"/>
        <v>1493716.56</v>
      </c>
      <c r="P1495" s="6">
        <v>1493716.56</v>
      </c>
      <c r="Q1495" s="6"/>
      <c r="R1495" s="6">
        <f t="shared" si="294"/>
        <v>0</v>
      </c>
      <c r="T1495"/>
    </row>
    <row r="1496" spans="2:22" s="5" customFormat="1" x14ac:dyDescent="0.3">
      <c r="B1496" s="5" t="s">
        <v>16</v>
      </c>
      <c r="C1496" s="5" t="s">
        <v>2276</v>
      </c>
      <c r="D1496" s="5" t="s">
        <v>35</v>
      </c>
      <c r="E1496" s="5" t="s">
        <v>671</v>
      </c>
      <c r="F1496" s="5" t="s">
        <v>112</v>
      </c>
      <c r="G1496" s="5" t="s">
        <v>113</v>
      </c>
      <c r="H1496" s="6">
        <v>0</v>
      </c>
      <c r="I1496" s="6">
        <f t="shared" si="284"/>
        <v>1280016</v>
      </c>
      <c r="J1496" s="6">
        <v>243203.04</v>
      </c>
      <c r="K1496" s="6"/>
      <c r="L1496" s="6"/>
      <c r="M1496" s="6">
        <f>+H1496+I1496</f>
        <v>1280016</v>
      </c>
      <c r="N1496" s="6">
        <f>+J1496</f>
        <v>243203.04</v>
      </c>
      <c r="O1496" s="6">
        <f t="shared" si="285"/>
        <v>1523219.04</v>
      </c>
      <c r="P1496" s="6">
        <v>1523219.04</v>
      </c>
      <c r="Q1496" s="6"/>
      <c r="R1496" s="6">
        <f t="shared" si="294"/>
        <v>0</v>
      </c>
      <c r="T1496"/>
    </row>
    <row r="1497" spans="2:22" s="5" customFormat="1" x14ac:dyDescent="0.3">
      <c r="B1497" s="5" t="s">
        <v>16</v>
      </c>
      <c r="C1497" s="5" t="s">
        <v>2277</v>
      </c>
      <c r="D1497" s="5" t="s">
        <v>35</v>
      </c>
      <c r="E1497" s="5" t="s">
        <v>809</v>
      </c>
      <c r="F1497" s="5" t="s">
        <v>112</v>
      </c>
      <c r="G1497" s="5" t="s">
        <v>113</v>
      </c>
      <c r="H1497" s="6">
        <v>0</v>
      </c>
      <c r="I1497" s="6">
        <f t="shared" si="284"/>
        <v>1244040</v>
      </c>
      <c r="J1497" s="6">
        <v>236367.6</v>
      </c>
      <c r="K1497" s="6"/>
      <c r="L1497" s="6"/>
      <c r="M1497" s="6">
        <f>+H1497+I1497</f>
        <v>1244040</v>
      </c>
      <c r="N1497" s="6">
        <f>+J1497</f>
        <v>236367.6</v>
      </c>
      <c r="O1497" s="6">
        <f t="shared" si="285"/>
        <v>1480407.6</v>
      </c>
      <c r="P1497" s="6">
        <v>1480407.6</v>
      </c>
      <c r="Q1497" s="6"/>
      <c r="R1497" s="6">
        <f t="shared" si="294"/>
        <v>0</v>
      </c>
      <c r="T1497"/>
      <c r="U1497"/>
      <c r="V1497"/>
    </row>
    <row r="1498" spans="2:22" s="5" customFormat="1" x14ac:dyDescent="0.3">
      <c r="B1498" s="5" t="s">
        <v>16</v>
      </c>
      <c r="C1498" s="5" t="s">
        <v>2278</v>
      </c>
      <c r="D1498" s="5" t="s">
        <v>35</v>
      </c>
      <c r="E1498" s="5" t="s">
        <v>1174</v>
      </c>
      <c r="F1498" s="5" t="s">
        <v>112</v>
      </c>
      <c r="G1498" s="5" t="s">
        <v>113</v>
      </c>
      <c r="H1498" s="6">
        <v>0</v>
      </c>
      <c r="I1498" s="6">
        <f t="shared" si="284"/>
        <v>2166120</v>
      </c>
      <c r="J1498" s="6">
        <v>411562.8</v>
      </c>
      <c r="K1498" s="6"/>
      <c r="L1498" s="6"/>
      <c r="M1498" s="6">
        <f>+H1498+I1498</f>
        <v>2166120</v>
      </c>
      <c r="N1498" s="6">
        <f>+J1498</f>
        <v>411562.8</v>
      </c>
      <c r="O1498" s="6">
        <f t="shared" si="285"/>
        <v>2577682.7999999998</v>
      </c>
      <c r="P1498" s="6">
        <v>2577682.7999999998</v>
      </c>
      <c r="Q1498" s="6">
        <f>+M1498</f>
        <v>2166120</v>
      </c>
      <c r="R1498" s="6">
        <f t="shared" si="294"/>
        <v>54153</v>
      </c>
      <c r="T1498"/>
    </row>
    <row r="1499" spans="2:22" s="5" customFormat="1" x14ac:dyDescent="0.3">
      <c r="B1499" s="7" t="s">
        <v>16</v>
      </c>
      <c r="C1499" s="7" t="s">
        <v>2279</v>
      </c>
      <c r="D1499" s="7" t="s">
        <v>35</v>
      </c>
      <c r="E1499" s="7" t="s">
        <v>698</v>
      </c>
      <c r="F1499" s="7" t="s">
        <v>112</v>
      </c>
      <c r="G1499" s="7" t="s">
        <v>113</v>
      </c>
      <c r="H1499" s="8">
        <f>+P1499-I1499-J1499</f>
        <v>0</v>
      </c>
      <c r="I1499" s="8">
        <f t="shared" si="284"/>
        <v>1290996</v>
      </c>
      <c r="J1499" s="8">
        <v>245289.24</v>
      </c>
      <c r="K1499" s="8">
        <v>0</v>
      </c>
      <c r="L1499" s="8">
        <v>0</v>
      </c>
      <c r="M1499" s="8">
        <f>+I1499+H1499</f>
        <v>1290996</v>
      </c>
      <c r="N1499" s="8">
        <f>+J1499+L1499</f>
        <v>245289.24</v>
      </c>
      <c r="O1499" s="8">
        <f t="shared" si="285"/>
        <v>1536285.24</v>
      </c>
      <c r="P1499" s="8">
        <v>1536285.24</v>
      </c>
      <c r="Q1499" s="8">
        <v>0</v>
      </c>
      <c r="R1499" s="8">
        <f t="shared" si="294"/>
        <v>0</v>
      </c>
      <c r="T1499"/>
      <c r="U1499"/>
      <c r="V1499"/>
    </row>
    <row r="1500" spans="2:22" s="5" customFormat="1" x14ac:dyDescent="0.3">
      <c r="B1500" s="5" t="s">
        <v>16</v>
      </c>
      <c r="C1500" s="5" t="s">
        <v>2280</v>
      </c>
      <c r="D1500" s="5" t="s">
        <v>35</v>
      </c>
      <c r="E1500" s="5" t="s">
        <v>2281</v>
      </c>
      <c r="F1500" s="5" t="s">
        <v>112</v>
      </c>
      <c r="G1500" s="5" t="s">
        <v>113</v>
      </c>
      <c r="H1500" s="6">
        <f>+P1500-I1500-J1500</f>
        <v>0</v>
      </c>
      <c r="I1500" s="6">
        <f t="shared" si="284"/>
        <v>2056832</v>
      </c>
      <c r="J1500" s="6">
        <v>390798.08000000002</v>
      </c>
      <c r="K1500" s="6">
        <v>0</v>
      </c>
      <c r="L1500" s="6">
        <v>0</v>
      </c>
      <c r="M1500" s="6">
        <f t="shared" ref="M1500:M1519" si="298">+H1500+I1500+K1500</f>
        <v>2056832</v>
      </c>
      <c r="N1500" s="6">
        <f>J1500+L1500</f>
        <v>390798.08000000002</v>
      </c>
      <c r="O1500" s="6">
        <f t="shared" si="285"/>
        <v>2447630.08</v>
      </c>
      <c r="P1500" s="6">
        <v>2447630.08</v>
      </c>
      <c r="Q1500" s="6">
        <f>+M1500</f>
        <v>2056832</v>
      </c>
      <c r="R1500" s="6">
        <f t="shared" si="294"/>
        <v>51420.800000000003</v>
      </c>
      <c r="S1500"/>
      <c r="T1500"/>
    </row>
    <row r="1501" spans="2:22" s="5" customFormat="1" x14ac:dyDescent="0.3">
      <c r="B1501" s="5" t="s">
        <v>16</v>
      </c>
      <c r="C1501" s="5" t="s">
        <v>2282</v>
      </c>
      <c r="D1501" s="5" t="s">
        <v>35</v>
      </c>
      <c r="E1501" s="5" t="s">
        <v>545</v>
      </c>
      <c r="F1501" s="5" t="s">
        <v>112</v>
      </c>
      <c r="G1501" s="5" t="s">
        <v>113</v>
      </c>
      <c r="H1501" s="6">
        <f>+P1501-I1501-J1501</f>
        <v>0</v>
      </c>
      <c r="I1501" s="6">
        <f t="shared" si="284"/>
        <v>2428068</v>
      </c>
      <c r="J1501" s="6">
        <v>461332.92</v>
      </c>
      <c r="K1501" s="6">
        <v>0</v>
      </c>
      <c r="L1501" s="6">
        <v>0</v>
      </c>
      <c r="M1501" s="6">
        <f t="shared" si="298"/>
        <v>2428068</v>
      </c>
      <c r="N1501" s="6">
        <f t="shared" ref="N1501:N1519" si="299">+J1501+L1501</f>
        <v>461332.92</v>
      </c>
      <c r="O1501" s="6">
        <f t="shared" si="285"/>
        <v>2889400.92</v>
      </c>
      <c r="P1501" s="6">
        <v>2889400.92</v>
      </c>
      <c r="Q1501" s="6">
        <f>+M1501</f>
        <v>2428068</v>
      </c>
      <c r="R1501" s="6">
        <f t="shared" si="294"/>
        <v>60701.7</v>
      </c>
      <c r="T1501"/>
    </row>
    <row r="1502" spans="2:22" s="5" customFormat="1" x14ac:dyDescent="0.3">
      <c r="B1502" s="5" t="s">
        <v>16</v>
      </c>
      <c r="C1502" s="5" t="s">
        <v>22</v>
      </c>
      <c r="D1502" s="5" t="s">
        <v>2283</v>
      </c>
      <c r="E1502" s="5" t="s">
        <v>548</v>
      </c>
      <c r="F1502" s="5" t="s">
        <v>420</v>
      </c>
      <c r="G1502" s="5" t="s">
        <v>421</v>
      </c>
      <c r="H1502" s="6">
        <v>5.3157894872128963E-2</v>
      </c>
      <c r="I1502" s="6">
        <f t="shared" ref="I1502:I1565" si="300">+J1502/19*100</f>
        <v>2184453.7368421052</v>
      </c>
      <c r="J1502" s="6">
        <v>415046.21</v>
      </c>
      <c r="K1502" s="6">
        <v>0</v>
      </c>
      <c r="L1502" s="6">
        <v>0</v>
      </c>
      <c r="M1502" s="6">
        <f t="shared" si="298"/>
        <v>2184453.79</v>
      </c>
      <c r="N1502" s="6">
        <f t="shared" si="299"/>
        <v>415046.21</v>
      </c>
      <c r="O1502" s="6">
        <f t="shared" ref="O1502:O1565" si="301">+M1502+N1502</f>
        <v>2599500</v>
      </c>
      <c r="P1502" s="6">
        <v>2599500</v>
      </c>
      <c r="Q1502" s="6">
        <f>+M1502</f>
        <v>2184453.79</v>
      </c>
      <c r="R1502" s="6">
        <f t="shared" si="294"/>
        <v>54611.344749999997</v>
      </c>
      <c r="S1502"/>
      <c r="T1502"/>
    </row>
    <row r="1503" spans="2:22" s="5" customFormat="1" x14ac:dyDescent="0.3">
      <c r="B1503" s="5" t="s">
        <v>16</v>
      </c>
      <c r="C1503" s="5" t="s">
        <v>2284</v>
      </c>
      <c r="D1503" s="5" t="s">
        <v>2283</v>
      </c>
      <c r="E1503" s="5" t="s">
        <v>293</v>
      </c>
      <c r="F1503" s="5" t="s">
        <v>420</v>
      </c>
      <c r="G1503" s="5" t="s">
        <v>421</v>
      </c>
      <c r="H1503" s="6">
        <f t="shared" ref="H1503:H1515" si="302">+P1503-I1503-J1503</f>
        <v>-4.3684210570063442E-2</v>
      </c>
      <c r="I1503" s="6">
        <f t="shared" si="300"/>
        <v>531092.47368421056</v>
      </c>
      <c r="J1503" s="6">
        <v>100907.57</v>
      </c>
      <c r="K1503" s="6">
        <v>0</v>
      </c>
      <c r="L1503" s="6">
        <v>0</v>
      </c>
      <c r="M1503" s="6">
        <f t="shared" si="298"/>
        <v>531092.42999999993</v>
      </c>
      <c r="N1503" s="6">
        <f t="shared" si="299"/>
        <v>100907.57</v>
      </c>
      <c r="O1503" s="6">
        <f t="shared" si="301"/>
        <v>632000</v>
      </c>
      <c r="P1503" s="6">
        <v>632000</v>
      </c>
      <c r="Q1503" s="6"/>
      <c r="R1503" s="6">
        <f t="shared" si="294"/>
        <v>0</v>
      </c>
      <c r="T1503"/>
    </row>
    <row r="1504" spans="2:22" s="5" customFormat="1" x14ac:dyDescent="0.3">
      <c r="B1504" s="5" t="s">
        <v>16</v>
      </c>
      <c r="C1504" s="5" t="s">
        <v>2285</v>
      </c>
      <c r="D1504" s="5" t="s">
        <v>2283</v>
      </c>
      <c r="E1504" s="5" t="s">
        <v>293</v>
      </c>
      <c r="F1504" s="5" t="s">
        <v>420</v>
      </c>
      <c r="G1504" s="5" t="s">
        <v>421</v>
      </c>
      <c r="H1504" s="6">
        <f t="shared" si="302"/>
        <v>0.13947368401568383</v>
      </c>
      <c r="I1504" s="6">
        <f t="shared" si="300"/>
        <v>2023319.210526316</v>
      </c>
      <c r="J1504" s="6">
        <v>384430.65</v>
      </c>
      <c r="K1504" s="6">
        <v>0</v>
      </c>
      <c r="L1504" s="6">
        <v>0</v>
      </c>
      <c r="M1504" s="6">
        <f t="shared" si="298"/>
        <v>2023319.35</v>
      </c>
      <c r="N1504" s="6">
        <f t="shared" si="299"/>
        <v>384430.65</v>
      </c>
      <c r="O1504" s="6">
        <f t="shared" si="301"/>
        <v>2407750</v>
      </c>
      <c r="P1504" s="6">
        <v>2407750</v>
      </c>
      <c r="Q1504" s="6">
        <f t="shared" ref="Q1504:Q1512" si="303">+M1504</f>
        <v>2023319.35</v>
      </c>
      <c r="R1504" s="6">
        <f t="shared" si="294"/>
        <v>50582.983749999999</v>
      </c>
      <c r="T1504"/>
    </row>
    <row r="1505" spans="2:21" s="5" customFormat="1" x14ac:dyDescent="0.3">
      <c r="B1505" s="5" t="s">
        <v>16</v>
      </c>
      <c r="C1505" s="5" t="s">
        <v>2286</v>
      </c>
      <c r="D1505" s="5" t="s">
        <v>2283</v>
      </c>
      <c r="E1505" s="5" t="s">
        <v>328</v>
      </c>
      <c r="F1505" s="5" t="s">
        <v>420</v>
      </c>
      <c r="G1505" s="5" t="s">
        <v>421</v>
      </c>
      <c r="H1505" s="6">
        <f t="shared" si="302"/>
        <v>-4.8947368049994111E-2</v>
      </c>
      <c r="I1505" s="6">
        <f t="shared" si="300"/>
        <v>6711344.5789473681</v>
      </c>
      <c r="J1505" s="6">
        <v>1275155.47</v>
      </c>
      <c r="K1505" s="6">
        <v>0</v>
      </c>
      <c r="L1505" s="6">
        <v>0</v>
      </c>
      <c r="M1505" s="6">
        <f t="shared" si="298"/>
        <v>6711344.5300000003</v>
      </c>
      <c r="N1505" s="6">
        <f t="shared" si="299"/>
        <v>1275155.47</v>
      </c>
      <c r="O1505" s="6">
        <f t="shared" si="301"/>
        <v>7986500</v>
      </c>
      <c r="P1505" s="6">
        <v>7986500</v>
      </c>
      <c r="Q1505" s="6">
        <f t="shared" si="303"/>
        <v>6711344.5300000003</v>
      </c>
      <c r="R1505" s="6">
        <f t="shared" si="294"/>
        <v>167783.61324999999</v>
      </c>
      <c r="T1505"/>
    </row>
    <row r="1506" spans="2:21" s="5" customFormat="1" x14ac:dyDescent="0.3">
      <c r="B1506" s="5" t="s">
        <v>16</v>
      </c>
      <c r="C1506" s="5" t="s">
        <v>2287</v>
      </c>
      <c r="D1506" s="5" t="s">
        <v>2283</v>
      </c>
      <c r="E1506" s="5" t="s">
        <v>949</v>
      </c>
      <c r="F1506" s="5" t="s">
        <v>420</v>
      </c>
      <c r="G1506" s="5" t="s">
        <v>421</v>
      </c>
      <c r="H1506" s="6">
        <f t="shared" si="302"/>
        <v>5.1578947401139885E-2</v>
      </c>
      <c r="I1506" s="6">
        <f t="shared" si="300"/>
        <v>1523529.3684210526</v>
      </c>
      <c r="J1506" s="6">
        <v>289470.58</v>
      </c>
      <c r="K1506" s="6">
        <v>0</v>
      </c>
      <c r="L1506" s="6">
        <v>0</v>
      </c>
      <c r="M1506" s="6">
        <f t="shared" si="298"/>
        <v>1523529.42</v>
      </c>
      <c r="N1506" s="6">
        <f t="shared" si="299"/>
        <v>289470.58</v>
      </c>
      <c r="O1506" s="6">
        <f t="shared" si="301"/>
        <v>1813000</v>
      </c>
      <c r="P1506" s="6">
        <v>1813000</v>
      </c>
      <c r="Q1506" s="6">
        <f t="shared" si="303"/>
        <v>1523529.42</v>
      </c>
      <c r="R1506" s="6">
        <f t="shared" si="294"/>
        <v>38088.235499999995</v>
      </c>
      <c r="T1506"/>
    </row>
    <row r="1507" spans="2:21" s="5" customFormat="1" x14ac:dyDescent="0.3">
      <c r="B1507" s="5" t="s">
        <v>16</v>
      </c>
      <c r="C1507" s="5" t="s">
        <v>2288</v>
      </c>
      <c r="D1507" s="5" t="s">
        <v>2283</v>
      </c>
      <c r="E1507" s="5" t="s">
        <v>949</v>
      </c>
      <c r="F1507" s="5" t="s">
        <v>420</v>
      </c>
      <c r="G1507" s="5" t="s">
        <v>421</v>
      </c>
      <c r="H1507" s="6">
        <f t="shared" si="302"/>
        <v>7.8947365982457995E-3</v>
      </c>
      <c r="I1507" s="6">
        <f t="shared" si="300"/>
        <v>2654621.8421052634</v>
      </c>
      <c r="J1507" s="6">
        <v>504378.15</v>
      </c>
      <c r="K1507" s="6">
        <v>0</v>
      </c>
      <c r="L1507" s="6">
        <v>0</v>
      </c>
      <c r="M1507" s="6">
        <f t="shared" si="298"/>
        <v>2654621.85</v>
      </c>
      <c r="N1507" s="6">
        <f t="shared" si="299"/>
        <v>504378.15</v>
      </c>
      <c r="O1507" s="6">
        <f t="shared" si="301"/>
        <v>3159000</v>
      </c>
      <c r="P1507" s="6">
        <v>3159000</v>
      </c>
      <c r="Q1507" s="6">
        <f t="shared" si="303"/>
        <v>2654621.85</v>
      </c>
      <c r="R1507" s="6">
        <f t="shared" si="294"/>
        <v>66365.546249999999</v>
      </c>
      <c r="T1507"/>
    </row>
    <row r="1508" spans="2:21" s="5" customFormat="1" x14ac:dyDescent="0.3">
      <c r="B1508" s="5" t="s">
        <v>16</v>
      </c>
      <c r="C1508" s="5" t="s">
        <v>2289</v>
      </c>
      <c r="D1508" s="5" t="s">
        <v>2283</v>
      </c>
      <c r="E1508" s="5" t="s">
        <v>724</v>
      </c>
      <c r="F1508" s="5" t="s">
        <v>420</v>
      </c>
      <c r="G1508" s="5" t="s">
        <v>421</v>
      </c>
      <c r="H1508" s="6">
        <f t="shared" si="302"/>
        <v>0.14631578966509551</v>
      </c>
      <c r="I1508" s="6">
        <f t="shared" si="300"/>
        <v>4478991.4736842103</v>
      </c>
      <c r="J1508" s="6">
        <v>851008.38</v>
      </c>
      <c r="K1508" s="6">
        <v>0</v>
      </c>
      <c r="L1508" s="6">
        <v>0</v>
      </c>
      <c r="M1508" s="6">
        <f t="shared" si="298"/>
        <v>4478991.62</v>
      </c>
      <c r="N1508" s="6">
        <f t="shared" si="299"/>
        <v>851008.38</v>
      </c>
      <c r="O1508" s="6">
        <f t="shared" si="301"/>
        <v>5330000</v>
      </c>
      <c r="P1508" s="6">
        <v>5330000</v>
      </c>
      <c r="Q1508" s="6">
        <f t="shared" si="303"/>
        <v>4478991.62</v>
      </c>
      <c r="R1508" s="6">
        <f t="shared" si="294"/>
        <v>111974.7905</v>
      </c>
      <c r="T1508"/>
    </row>
    <row r="1509" spans="2:21" s="5" customFormat="1" x14ac:dyDescent="0.3">
      <c r="B1509" s="5" t="s">
        <v>16</v>
      </c>
      <c r="C1509" s="5" t="s">
        <v>2290</v>
      </c>
      <c r="E1509" s="5" t="s">
        <v>170</v>
      </c>
      <c r="F1509" s="5" t="s">
        <v>107</v>
      </c>
      <c r="G1509" s="5" t="s">
        <v>108</v>
      </c>
      <c r="H1509" s="6">
        <f t="shared" si="302"/>
        <v>-4.7368421510327607E-3</v>
      </c>
      <c r="I1509" s="6">
        <f t="shared" si="300"/>
        <v>1225024.8947368423</v>
      </c>
      <c r="J1509" s="6">
        <v>232754.73</v>
      </c>
      <c r="K1509" s="6">
        <v>0</v>
      </c>
      <c r="L1509" s="6">
        <v>0</v>
      </c>
      <c r="M1509" s="6">
        <f t="shared" si="298"/>
        <v>1225024.8900000001</v>
      </c>
      <c r="N1509" s="6">
        <f t="shared" si="299"/>
        <v>232754.73</v>
      </c>
      <c r="O1509" s="6">
        <f t="shared" si="301"/>
        <v>1457779.62</v>
      </c>
      <c r="P1509" s="6">
        <v>1457779.62</v>
      </c>
      <c r="Q1509" s="6">
        <f t="shared" si="303"/>
        <v>1225024.8900000001</v>
      </c>
      <c r="R1509" s="6">
        <f t="shared" si="294"/>
        <v>30625.622250000004</v>
      </c>
      <c r="T1509"/>
      <c r="U1509" s="9"/>
    </row>
    <row r="1510" spans="2:21" s="5" customFormat="1" x14ac:dyDescent="0.3">
      <c r="B1510" s="5" t="s">
        <v>16</v>
      </c>
      <c r="C1510" s="5" t="s">
        <v>2291</v>
      </c>
      <c r="E1510" s="5" t="s">
        <v>1014</v>
      </c>
      <c r="F1510" s="5" t="s">
        <v>107</v>
      </c>
      <c r="G1510" s="5" t="s">
        <v>108</v>
      </c>
      <c r="H1510" s="6">
        <f t="shared" si="302"/>
        <v>3.894736833171919E-2</v>
      </c>
      <c r="I1510" s="6">
        <f t="shared" si="300"/>
        <v>1965563.4210526315</v>
      </c>
      <c r="J1510" s="6">
        <v>373457.05</v>
      </c>
      <c r="K1510" s="6">
        <v>0</v>
      </c>
      <c r="L1510" s="6">
        <v>0</v>
      </c>
      <c r="M1510" s="6">
        <f t="shared" si="298"/>
        <v>1965563.4599999997</v>
      </c>
      <c r="N1510" s="6">
        <f t="shared" si="299"/>
        <v>373457.05</v>
      </c>
      <c r="O1510" s="6">
        <f t="shared" si="301"/>
        <v>2339020.5099999998</v>
      </c>
      <c r="P1510" s="6">
        <v>2339020.5099999998</v>
      </c>
      <c r="Q1510" s="6">
        <f t="shared" si="303"/>
        <v>1965563.4599999997</v>
      </c>
      <c r="R1510" s="6">
        <f t="shared" si="294"/>
        <v>49139.086499999998</v>
      </c>
      <c r="T1510"/>
      <c r="U1510" s="9"/>
    </row>
    <row r="1511" spans="2:21" s="5" customFormat="1" x14ac:dyDescent="0.3">
      <c r="B1511" s="5" t="s">
        <v>16</v>
      </c>
      <c r="C1511" s="5" t="s">
        <v>2292</v>
      </c>
      <c r="E1511" s="5" t="s">
        <v>170</v>
      </c>
      <c r="F1511" s="5" t="s">
        <v>107</v>
      </c>
      <c r="G1511" s="5" t="s">
        <v>108</v>
      </c>
      <c r="H1511" s="6">
        <f t="shared" si="302"/>
        <v>-0.20526315737515688</v>
      </c>
      <c r="I1511" s="6">
        <f t="shared" si="300"/>
        <v>12474412.105263157</v>
      </c>
      <c r="J1511" s="6">
        <v>2370138.2999999998</v>
      </c>
      <c r="K1511" s="6">
        <v>0</v>
      </c>
      <c r="L1511" s="6">
        <v>0</v>
      </c>
      <c r="M1511" s="6">
        <f t="shared" si="298"/>
        <v>12474411.899999999</v>
      </c>
      <c r="N1511" s="6">
        <f t="shared" si="299"/>
        <v>2370138.2999999998</v>
      </c>
      <c r="O1511" s="6">
        <f t="shared" si="301"/>
        <v>14844550.199999999</v>
      </c>
      <c r="P1511" s="6">
        <v>14844550.199999999</v>
      </c>
      <c r="Q1511" s="6">
        <f t="shared" si="303"/>
        <v>12474411.899999999</v>
      </c>
      <c r="R1511" s="6">
        <f t="shared" si="294"/>
        <v>311860.29749999999</v>
      </c>
      <c r="S1511" s="7"/>
      <c r="T1511"/>
    </row>
    <row r="1512" spans="2:21" s="5" customFormat="1" x14ac:dyDescent="0.3">
      <c r="B1512" s="5" t="s">
        <v>16</v>
      </c>
      <c r="C1512" s="5" t="s">
        <v>2293</v>
      </c>
      <c r="E1512" s="5" t="s">
        <v>1014</v>
      </c>
      <c r="F1512" s="5" t="s">
        <v>107</v>
      </c>
      <c r="G1512" s="5" t="s">
        <v>108</v>
      </c>
      <c r="H1512" s="6">
        <f t="shared" si="302"/>
        <v>-0.12789473868906498</v>
      </c>
      <c r="I1512" s="6">
        <f t="shared" si="300"/>
        <v>39442773.157894738</v>
      </c>
      <c r="J1512" s="6">
        <v>7494126.9000000004</v>
      </c>
      <c r="K1512" s="6">
        <v>0</v>
      </c>
      <c r="L1512" s="6">
        <v>0</v>
      </c>
      <c r="M1512" s="6">
        <f t="shared" si="298"/>
        <v>39442773.030000001</v>
      </c>
      <c r="N1512" s="6">
        <f t="shared" si="299"/>
        <v>7494126.9000000004</v>
      </c>
      <c r="O1512" s="6">
        <f t="shared" si="301"/>
        <v>46936899.93</v>
      </c>
      <c r="P1512" s="6">
        <v>46936899.93</v>
      </c>
      <c r="Q1512" s="6">
        <f t="shared" si="303"/>
        <v>39442773.030000001</v>
      </c>
      <c r="R1512" s="6">
        <f t="shared" si="294"/>
        <v>986069.32575000008</v>
      </c>
      <c r="T1512"/>
      <c r="U1512" s="9"/>
    </row>
    <row r="1513" spans="2:21" s="5" customFormat="1" x14ac:dyDescent="0.3">
      <c r="B1513" s="5" t="s">
        <v>16</v>
      </c>
      <c r="C1513" s="5" t="s">
        <v>2294</v>
      </c>
      <c r="E1513" s="5" t="s">
        <v>638</v>
      </c>
      <c r="F1513" s="5" t="s">
        <v>107</v>
      </c>
      <c r="G1513" s="5" t="s">
        <v>108</v>
      </c>
      <c r="H1513" s="6">
        <f t="shared" si="302"/>
        <v>3.6842105197138153E-2</v>
      </c>
      <c r="I1513" s="6">
        <f t="shared" si="300"/>
        <v>327599.26315789478</v>
      </c>
      <c r="J1513" s="6">
        <v>62243.86</v>
      </c>
      <c r="K1513" s="6">
        <v>0</v>
      </c>
      <c r="L1513" s="6">
        <v>0</v>
      </c>
      <c r="M1513" s="6">
        <f t="shared" si="298"/>
        <v>327599.3</v>
      </c>
      <c r="N1513" s="6">
        <f t="shared" si="299"/>
        <v>62243.86</v>
      </c>
      <c r="O1513" s="6">
        <f t="shared" si="301"/>
        <v>389843.16</v>
      </c>
      <c r="P1513" s="6">
        <v>389843.16</v>
      </c>
      <c r="Q1513" s="6">
        <v>0</v>
      </c>
      <c r="R1513" s="6">
        <f t="shared" si="294"/>
        <v>0</v>
      </c>
      <c r="T1513"/>
      <c r="U1513" s="9"/>
    </row>
    <row r="1514" spans="2:21" s="5" customFormat="1" x14ac:dyDescent="0.3">
      <c r="B1514" s="5" t="s">
        <v>16</v>
      </c>
      <c r="C1514" s="5" t="s">
        <v>2295</v>
      </c>
      <c r="E1514" s="5" t="s">
        <v>638</v>
      </c>
      <c r="F1514" s="5" t="s">
        <v>107</v>
      </c>
      <c r="G1514" s="5" t="s">
        <v>108</v>
      </c>
      <c r="H1514" s="6">
        <f t="shared" si="302"/>
        <v>1.4736841898411512E-2</v>
      </c>
      <c r="I1514" s="6">
        <f t="shared" si="300"/>
        <v>6974027.1052631577</v>
      </c>
      <c r="J1514" s="6">
        <v>1325065.1499999999</v>
      </c>
      <c r="K1514" s="6">
        <v>0</v>
      </c>
      <c r="L1514" s="6">
        <v>0</v>
      </c>
      <c r="M1514" s="6">
        <f t="shared" si="298"/>
        <v>6974027.1199999992</v>
      </c>
      <c r="N1514" s="6">
        <f t="shared" si="299"/>
        <v>1325065.1499999999</v>
      </c>
      <c r="O1514" s="6">
        <f t="shared" si="301"/>
        <v>8299092.2699999996</v>
      </c>
      <c r="P1514" s="6">
        <v>8299092.2699999996</v>
      </c>
      <c r="Q1514" s="6">
        <f>+M1514-393627</f>
        <v>6580400.1199999992</v>
      </c>
      <c r="R1514" s="6">
        <f t="shared" si="294"/>
        <v>164510.00299999997</v>
      </c>
      <c r="T1514"/>
      <c r="U1514" s="9"/>
    </row>
    <row r="1515" spans="2:21" s="5" customFormat="1" x14ac:dyDescent="0.3">
      <c r="B1515" s="5" t="s">
        <v>16</v>
      </c>
      <c r="C1515" s="5" t="s">
        <v>2296</v>
      </c>
      <c r="D1515" s="5" t="s">
        <v>110</v>
      </c>
      <c r="E1515" s="5" t="s">
        <v>1314</v>
      </c>
      <c r="F1515" s="5" t="s">
        <v>107</v>
      </c>
      <c r="G1515" s="5" t="s">
        <v>2297</v>
      </c>
      <c r="H1515" s="6">
        <f t="shared" si="302"/>
        <v>-3.7894736742600799E-2</v>
      </c>
      <c r="I1515" s="6">
        <f t="shared" si="300"/>
        <v>2990168.1578947366</v>
      </c>
      <c r="J1515" s="6">
        <v>568131.94999999995</v>
      </c>
      <c r="K1515" s="6">
        <v>0</v>
      </c>
      <c r="L1515" s="6">
        <v>0</v>
      </c>
      <c r="M1515" s="6">
        <f t="shared" si="298"/>
        <v>2990168.12</v>
      </c>
      <c r="N1515" s="6">
        <f t="shared" si="299"/>
        <v>568131.94999999995</v>
      </c>
      <c r="O1515" s="6">
        <f t="shared" si="301"/>
        <v>3558300.0700000003</v>
      </c>
      <c r="P1515" s="6">
        <v>3558300.07</v>
      </c>
      <c r="Q1515" s="6">
        <f>+M1515-393612</f>
        <v>2596556.12</v>
      </c>
      <c r="R1515" s="6">
        <f t="shared" si="294"/>
        <v>64913.903000000006</v>
      </c>
      <c r="T1515"/>
      <c r="U1515" s="9"/>
    </row>
    <row r="1516" spans="2:21" s="5" customFormat="1" x14ac:dyDescent="0.3">
      <c r="B1516" s="5" t="s">
        <v>16</v>
      </c>
      <c r="C1516" s="5" t="s">
        <v>2298</v>
      </c>
      <c r="D1516" s="5" t="s">
        <v>110</v>
      </c>
      <c r="E1516" s="5" t="s">
        <v>2197</v>
      </c>
      <c r="F1516" s="5" t="s">
        <v>107</v>
      </c>
      <c r="G1516" s="5" t="s">
        <v>2297</v>
      </c>
      <c r="H1516" s="6">
        <f>+P1516-I1516-J1516-K1516-L1516</f>
        <v>1.6842105258547235E-2</v>
      </c>
      <c r="I1516" s="6">
        <f t="shared" si="300"/>
        <v>301607.26315789472</v>
      </c>
      <c r="J1516" s="6">
        <v>57305.38</v>
      </c>
      <c r="K1516" s="6">
        <v>0</v>
      </c>
      <c r="L1516" s="6">
        <v>0</v>
      </c>
      <c r="M1516" s="6">
        <f t="shared" si="298"/>
        <v>301607.27999999997</v>
      </c>
      <c r="N1516" s="6">
        <f t="shared" si="299"/>
        <v>57305.38</v>
      </c>
      <c r="O1516" s="6">
        <f t="shared" si="301"/>
        <v>358912.66</v>
      </c>
      <c r="P1516" s="6">
        <v>358912.66</v>
      </c>
      <c r="Q1516" s="6">
        <v>0</v>
      </c>
      <c r="R1516" s="6">
        <f t="shared" si="294"/>
        <v>0</v>
      </c>
      <c r="T1516"/>
    </row>
    <row r="1517" spans="2:21" s="5" customFormat="1" x14ac:dyDescent="0.3">
      <c r="B1517" s="5" t="s">
        <v>16</v>
      </c>
      <c r="C1517" s="5" t="s">
        <v>2299</v>
      </c>
      <c r="D1517" s="5" t="s">
        <v>110</v>
      </c>
      <c r="E1517" s="5" t="s">
        <v>761</v>
      </c>
      <c r="F1517" s="5" t="s">
        <v>107</v>
      </c>
      <c r="G1517" s="5" t="s">
        <v>2297</v>
      </c>
      <c r="H1517" s="6">
        <f>+P1517-I1517-J1517-K1517-L1517</f>
        <v>-2.1578945219516754E-2</v>
      </c>
      <c r="I1517" s="6">
        <f t="shared" si="300"/>
        <v>30497955.631578945</v>
      </c>
      <c r="J1517" s="6">
        <v>5794611.5700000003</v>
      </c>
      <c r="K1517" s="6">
        <v>0</v>
      </c>
      <c r="L1517" s="6">
        <v>0</v>
      </c>
      <c r="M1517" s="6">
        <f t="shared" si="298"/>
        <v>30497955.609999999</v>
      </c>
      <c r="N1517" s="6">
        <f t="shared" si="299"/>
        <v>5794611.5700000003</v>
      </c>
      <c r="O1517" s="6">
        <f t="shared" si="301"/>
        <v>36292567.18</v>
      </c>
      <c r="P1517" s="6">
        <v>36292567.18</v>
      </c>
      <c r="Q1517" s="6">
        <f>+M1517</f>
        <v>30497955.609999999</v>
      </c>
      <c r="R1517" s="6">
        <f t="shared" si="294"/>
        <v>762448.89025000005</v>
      </c>
      <c r="T1517"/>
    </row>
    <row r="1518" spans="2:21" s="5" customFormat="1" x14ac:dyDescent="0.3">
      <c r="B1518" s="5" t="s">
        <v>16</v>
      </c>
      <c r="C1518" s="5" t="s">
        <v>2300</v>
      </c>
      <c r="D1518" s="5" t="s">
        <v>110</v>
      </c>
      <c r="E1518" s="5" t="s">
        <v>307</v>
      </c>
      <c r="F1518" s="5" t="s">
        <v>107</v>
      </c>
      <c r="G1518" s="5" t="s">
        <v>2297</v>
      </c>
      <c r="H1518" s="6">
        <v>0</v>
      </c>
      <c r="I1518" s="6">
        <f t="shared" si="300"/>
        <v>1527451.8421052629</v>
      </c>
      <c r="J1518" s="6">
        <v>290215.84999999998</v>
      </c>
      <c r="K1518" s="6">
        <v>0</v>
      </c>
      <c r="L1518" s="6">
        <v>0</v>
      </c>
      <c r="M1518" s="6">
        <f t="shared" si="298"/>
        <v>1527451.8421052629</v>
      </c>
      <c r="N1518" s="6">
        <f t="shared" si="299"/>
        <v>290215.84999999998</v>
      </c>
      <c r="O1518" s="6">
        <f t="shared" si="301"/>
        <v>1817667.692105263</v>
      </c>
      <c r="P1518" s="6">
        <v>1817667.67</v>
      </c>
      <c r="Q1518" s="6">
        <f>+M1518</f>
        <v>1527451.8421052629</v>
      </c>
      <c r="R1518" s="6">
        <f t="shared" si="294"/>
        <v>38186.296052631573</v>
      </c>
      <c r="T1518"/>
    </row>
    <row r="1519" spans="2:21" s="5" customFormat="1" x14ac:dyDescent="0.3">
      <c r="B1519" s="5" t="s">
        <v>16</v>
      </c>
      <c r="C1519" s="5" t="s">
        <v>2301</v>
      </c>
      <c r="D1519" s="5" t="s">
        <v>110</v>
      </c>
      <c r="E1519" s="5" t="s">
        <v>1328</v>
      </c>
      <c r="F1519" s="5" t="s">
        <v>107</v>
      </c>
      <c r="G1519" s="5" t="s">
        <v>2297</v>
      </c>
      <c r="H1519" s="6">
        <v>0</v>
      </c>
      <c r="I1519" s="6">
        <f t="shared" si="300"/>
        <v>4194175.9473684216</v>
      </c>
      <c r="J1519" s="6">
        <v>796893.43</v>
      </c>
      <c r="K1519" s="6">
        <v>0</v>
      </c>
      <c r="L1519" s="6">
        <v>0</v>
      </c>
      <c r="M1519" s="6">
        <f t="shared" si="298"/>
        <v>4194175.9473684216</v>
      </c>
      <c r="N1519" s="6">
        <f t="shared" si="299"/>
        <v>796893.43</v>
      </c>
      <c r="O1519" s="6">
        <f t="shared" si="301"/>
        <v>4991069.3773684213</v>
      </c>
      <c r="P1519" s="6">
        <v>4991069.3600000003</v>
      </c>
      <c r="Q1519" s="6">
        <f>+M1519</f>
        <v>4194175.9473684216</v>
      </c>
      <c r="R1519" s="6">
        <f t="shared" si="294"/>
        <v>104854.39868421054</v>
      </c>
      <c r="T1519"/>
    </row>
    <row r="1520" spans="2:21" s="5" customFormat="1" x14ac:dyDescent="0.3">
      <c r="B1520" s="5" t="s">
        <v>16</v>
      </c>
      <c r="C1520" s="5" t="s">
        <v>2302</v>
      </c>
      <c r="D1520" s="5" t="s">
        <v>2303</v>
      </c>
      <c r="E1520" s="5" t="s">
        <v>633</v>
      </c>
      <c r="F1520" s="5" t="s">
        <v>2304</v>
      </c>
      <c r="G1520" s="5" t="s">
        <v>2305</v>
      </c>
      <c r="H1520" s="6">
        <v>-5.2631567814387381E-4</v>
      </c>
      <c r="I1520" s="6">
        <f t="shared" si="300"/>
        <v>1179616.2105263157</v>
      </c>
      <c r="J1520" s="6">
        <v>224127.08</v>
      </c>
      <c r="K1520" s="6"/>
      <c r="L1520" s="6"/>
      <c r="M1520" s="6">
        <f>+H1520+I1520</f>
        <v>1179616.21</v>
      </c>
      <c r="N1520" s="6">
        <f>+J1520</f>
        <v>224127.08</v>
      </c>
      <c r="O1520" s="6">
        <f t="shared" si="301"/>
        <v>1403743.29</v>
      </c>
      <c r="P1520" s="6">
        <v>1403743.29</v>
      </c>
      <c r="Q1520" s="6"/>
      <c r="R1520" s="6">
        <f t="shared" si="294"/>
        <v>0</v>
      </c>
      <c r="T1520"/>
    </row>
    <row r="1521" spans="2:22" s="5" customFormat="1" x14ac:dyDescent="0.3">
      <c r="B1521" s="7" t="s">
        <v>16</v>
      </c>
      <c r="C1521" s="7" t="s">
        <v>2306</v>
      </c>
      <c r="D1521" s="7" t="s">
        <v>2303</v>
      </c>
      <c r="E1521" s="7" t="s">
        <v>1579</v>
      </c>
      <c r="F1521" s="7" t="s">
        <v>2304</v>
      </c>
      <c r="G1521" s="7" t="s">
        <v>2305</v>
      </c>
      <c r="H1521" s="8">
        <f>+P1521-I1521-J1521</f>
        <v>0</v>
      </c>
      <c r="I1521" s="8">
        <f t="shared" si="300"/>
        <v>380000</v>
      </c>
      <c r="J1521" s="8">
        <v>72200</v>
      </c>
      <c r="K1521" s="8">
        <v>0</v>
      </c>
      <c r="L1521" s="8">
        <v>0</v>
      </c>
      <c r="M1521" s="8">
        <f>+I1521+H1521</f>
        <v>380000</v>
      </c>
      <c r="N1521" s="8">
        <f>+J1521+L1521</f>
        <v>72200</v>
      </c>
      <c r="O1521" s="8">
        <f t="shared" si="301"/>
        <v>452200</v>
      </c>
      <c r="P1521" s="8">
        <v>452200</v>
      </c>
      <c r="Q1521" s="8">
        <v>0</v>
      </c>
      <c r="R1521" s="8">
        <f t="shared" si="294"/>
        <v>0</v>
      </c>
      <c r="T1521"/>
    </row>
    <row r="1522" spans="2:22" s="5" customFormat="1" x14ac:dyDescent="0.3">
      <c r="B1522" s="5" t="s">
        <v>16</v>
      </c>
      <c r="C1522" s="5" t="s">
        <v>2307</v>
      </c>
      <c r="D1522" s="5" t="s">
        <v>2303</v>
      </c>
      <c r="E1522" s="5" t="s">
        <v>1370</v>
      </c>
      <c r="F1522" s="5" t="s">
        <v>2304</v>
      </c>
      <c r="G1522" s="5" t="s">
        <v>2305</v>
      </c>
      <c r="H1522" s="6">
        <f>+P1522-I1522-J1522</f>
        <v>0</v>
      </c>
      <c r="I1522" s="6">
        <f t="shared" si="300"/>
        <v>1303659</v>
      </c>
      <c r="J1522" s="6">
        <v>247695.21</v>
      </c>
      <c r="K1522" s="6">
        <v>0</v>
      </c>
      <c r="L1522" s="6">
        <v>0</v>
      </c>
      <c r="M1522" s="6">
        <f>+H1522+I1522+K1522</f>
        <v>1303659</v>
      </c>
      <c r="N1522" s="6">
        <f>+J1522+L1522</f>
        <v>247695.21</v>
      </c>
      <c r="O1522" s="6">
        <f t="shared" si="301"/>
        <v>1551354.21</v>
      </c>
      <c r="P1522" s="6">
        <v>1551354.21</v>
      </c>
      <c r="Q1522" s="6">
        <v>0</v>
      </c>
      <c r="R1522" s="6">
        <f t="shared" si="294"/>
        <v>0</v>
      </c>
      <c r="S1522"/>
      <c r="T1522"/>
    </row>
    <row r="1523" spans="2:22" s="5" customFormat="1" x14ac:dyDescent="0.3">
      <c r="B1523" s="5" t="s">
        <v>16</v>
      </c>
      <c r="C1523" s="5" t="s">
        <v>2308</v>
      </c>
      <c r="D1523" s="5" t="s">
        <v>2303</v>
      </c>
      <c r="E1523" s="5" t="s">
        <v>121</v>
      </c>
      <c r="F1523" s="5" t="s">
        <v>2304</v>
      </c>
      <c r="G1523" s="5" t="s">
        <v>2305</v>
      </c>
      <c r="H1523" s="6">
        <f>+P1523-I1523-J1523</f>
        <v>-0.20000000030267984</v>
      </c>
      <c r="I1523" s="6">
        <f t="shared" si="300"/>
        <v>1285931.0000000002</v>
      </c>
      <c r="J1523" s="6">
        <v>244326.89</v>
      </c>
      <c r="K1523" s="6">
        <v>0</v>
      </c>
      <c r="L1523" s="6">
        <v>0</v>
      </c>
      <c r="M1523" s="6">
        <f>+H1523+I1523+K1523</f>
        <v>1285930.7999999998</v>
      </c>
      <c r="N1523" s="6">
        <f>+J1523+L1523</f>
        <v>244326.89</v>
      </c>
      <c r="O1523" s="6">
        <f t="shared" si="301"/>
        <v>1530257.69</v>
      </c>
      <c r="P1523" s="6">
        <v>1530257.69</v>
      </c>
      <c r="Q1523" s="6">
        <v>0</v>
      </c>
      <c r="R1523" s="6">
        <f t="shared" si="294"/>
        <v>0</v>
      </c>
      <c r="T1523"/>
    </row>
    <row r="1524" spans="2:22" s="5" customFormat="1" x14ac:dyDescent="0.3">
      <c r="B1524" s="5" t="s">
        <v>16</v>
      </c>
      <c r="C1524" s="5" t="s">
        <v>2309</v>
      </c>
      <c r="D1524" s="5" t="s">
        <v>2310</v>
      </c>
      <c r="E1524" s="5" t="s">
        <v>791</v>
      </c>
      <c r="F1524" s="5" t="s">
        <v>167</v>
      </c>
      <c r="G1524" s="5" t="s">
        <v>168</v>
      </c>
      <c r="H1524" s="6">
        <v>2799384</v>
      </c>
      <c r="I1524" s="6">
        <f t="shared" si="300"/>
        <v>0</v>
      </c>
      <c r="J1524" s="6">
        <v>0</v>
      </c>
      <c r="K1524" s="6">
        <v>0</v>
      </c>
      <c r="L1524" s="6">
        <v>0</v>
      </c>
      <c r="M1524" s="6">
        <f>+H1524+I1524+K1524</f>
        <v>2799384</v>
      </c>
      <c r="N1524" s="6">
        <f>+J1524+L1524</f>
        <v>0</v>
      </c>
      <c r="O1524" s="6">
        <f t="shared" si="301"/>
        <v>2799384</v>
      </c>
      <c r="P1524" s="6">
        <v>2799384</v>
      </c>
      <c r="Q1524" s="6">
        <f>+M1524</f>
        <v>2799384</v>
      </c>
      <c r="R1524" s="6">
        <f t="shared" si="294"/>
        <v>69984.600000000006</v>
      </c>
      <c r="S1524"/>
      <c r="T1524"/>
    </row>
    <row r="1525" spans="2:22" s="5" customFormat="1" x14ac:dyDescent="0.3">
      <c r="B1525" s="5" t="s">
        <v>16</v>
      </c>
      <c r="C1525" s="5" t="s">
        <v>2311</v>
      </c>
      <c r="D1525" s="5" t="s">
        <v>2310</v>
      </c>
      <c r="E1525" s="5" t="s">
        <v>671</v>
      </c>
      <c r="F1525" s="5" t="s">
        <v>167</v>
      </c>
      <c r="G1525" s="5" t="s">
        <v>168</v>
      </c>
      <c r="H1525" s="6">
        <v>2398920</v>
      </c>
      <c r="I1525" s="6">
        <f t="shared" si="300"/>
        <v>0</v>
      </c>
      <c r="J1525" s="6">
        <v>0</v>
      </c>
      <c r="K1525" s="6"/>
      <c r="L1525" s="6"/>
      <c r="M1525" s="6">
        <f>+H1525+I1525</f>
        <v>2398920</v>
      </c>
      <c r="N1525" s="6">
        <f>+J1525</f>
        <v>0</v>
      </c>
      <c r="O1525" s="6">
        <f t="shared" si="301"/>
        <v>2398920</v>
      </c>
      <c r="P1525" s="6">
        <v>2398920</v>
      </c>
      <c r="Q1525" s="6">
        <f>+M1525-2398920</f>
        <v>0</v>
      </c>
      <c r="R1525" s="6">
        <f t="shared" si="294"/>
        <v>0</v>
      </c>
      <c r="S1525"/>
      <c r="T1525"/>
    </row>
    <row r="1526" spans="2:22" s="5" customFormat="1" x14ac:dyDescent="0.3">
      <c r="B1526" s="5" t="s">
        <v>16</v>
      </c>
      <c r="C1526" s="5" t="s">
        <v>2312</v>
      </c>
      <c r="D1526" s="5" t="s">
        <v>2310</v>
      </c>
      <c r="E1526" s="5" t="s">
        <v>936</v>
      </c>
      <c r="F1526" s="5" t="s">
        <v>167</v>
      </c>
      <c r="G1526" s="5" t="s">
        <v>168</v>
      </c>
      <c r="H1526" s="6">
        <v>2412840</v>
      </c>
      <c r="I1526" s="6">
        <f t="shared" si="300"/>
        <v>0</v>
      </c>
      <c r="J1526" s="6">
        <v>0</v>
      </c>
      <c r="K1526" s="6"/>
      <c r="L1526" s="6"/>
      <c r="M1526" s="6">
        <f>+H1526+I1526</f>
        <v>2412840</v>
      </c>
      <c r="N1526" s="6">
        <f>+J1526</f>
        <v>0</v>
      </c>
      <c r="O1526" s="6">
        <f t="shared" si="301"/>
        <v>2412840</v>
      </c>
      <c r="P1526" s="6">
        <v>2412840</v>
      </c>
      <c r="Q1526" s="6">
        <f>+M1526</f>
        <v>2412840</v>
      </c>
      <c r="R1526" s="6">
        <f t="shared" si="294"/>
        <v>60321</v>
      </c>
      <c r="S1526"/>
      <c r="T1526"/>
    </row>
    <row r="1527" spans="2:22" s="5" customFormat="1" x14ac:dyDescent="0.3">
      <c r="B1527" s="5" t="s">
        <v>16</v>
      </c>
      <c r="C1527" s="5" t="s">
        <v>2313</v>
      </c>
      <c r="D1527" s="5" t="s">
        <v>2310</v>
      </c>
      <c r="E1527" s="5" t="s">
        <v>554</v>
      </c>
      <c r="F1527" s="5" t="s">
        <v>167</v>
      </c>
      <c r="G1527" s="5" t="s">
        <v>168</v>
      </c>
      <c r="H1527" s="6">
        <f>+P1527-I1527-J1527</f>
        <v>573750</v>
      </c>
      <c r="I1527" s="6">
        <f t="shared" si="300"/>
        <v>0</v>
      </c>
      <c r="J1527" s="6">
        <v>0</v>
      </c>
      <c r="K1527" s="6">
        <v>0</v>
      </c>
      <c r="L1527" s="6">
        <v>0</v>
      </c>
      <c r="M1527" s="6">
        <f>+H1527+I1527+K1527</f>
        <v>573750</v>
      </c>
      <c r="N1527" s="6">
        <f>+J1527+L1527</f>
        <v>0</v>
      </c>
      <c r="O1527" s="6">
        <f t="shared" si="301"/>
        <v>573750</v>
      </c>
      <c r="P1527" s="6">
        <v>573750</v>
      </c>
      <c r="Q1527" s="6"/>
      <c r="R1527" s="6">
        <f t="shared" si="294"/>
        <v>0</v>
      </c>
      <c r="T1527"/>
      <c r="U1527" s="7"/>
      <c r="V1527" s="7"/>
    </row>
    <row r="1528" spans="2:22" s="5" customFormat="1" x14ac:dyDescent="0.3">
      <c r="B1528" s="5" t="s">
        <v>16</v>
      </c>
      <c r="C1528" s="5" t="s">
        <v>2314</v>
      </c>
      <c r="D1528" s="5" t="s">
        <v>2310</v>
      </c>
      <c r="E1528" s="5" t="s">
        <v>554</v>
      </c>
      <c r="F1528" s="5" t="s">
        <v>167</v>
      </c>
      <c r="G1528" s="5" t="s">
        <v>168</v>
      </c>
      <c r="H1528" s="6">
        <f>+P1528-I1528-J1528</f>
        <v>570288</v>
      </c>
      <c r="I1528" s="6">
        <f t="shared" si="300"/>
        <v>0</v>
      </c>
      <c r="J1528" s="6">
        <v>0</v>
      </c>
      <c r="K1528" s="6">
        <v>0</v>
      </c>
      <c r="L1528" s="6">
        <v>0</v>
      </c>
      <c r="M1528" s="6">
        <f>+H1528+I1528+K1528</f>
        <v>570288</v>
      </c>
      <c r="N1528" s="6">
        <f>+J1528+L1528</f>
        <v>0</v>
      </c>
      <c r="O1528" s="6">
        <f t="shared" si="301"/>
        <v>570288</v>
      </c>
      <c r="P1528" s="6">
        <v>570288</v>
      </c>
      <c r="Q1528" s="6"/>
      <c r="R1528" s="6">
        <f t="shared" si="294"/>
        <v>0</v>
      </c>
      <c r="T1528"/>
      <c r="U1528" s="7"/>
      <c r="V1528" s="7"/>
    </row>
    <row r="1529" spans="2:22" s="5" customFormat="1" x14ac:dyDescent="0.3">
      <c r="B1529" s="5" t="s">
        <v>16</v>
      </c>
      <c r="C1529" s="5" t="s">
        <v>2315</v>
      </c>
      <c r="D1529" s="5" t="s">
        <v>2310</v>
      </c>
      <c r="E1529" s="5" t="s">
        <v>636</v>
      </c>
      <c r="F1529" s="5" t="s">
        <v>167</v>
      </c>
      <c r="G1529" s="5" t="s">
        <v>168</v>
      </c>
      <c r="H1529" s="6">
        <f>+P1529-I1529-J1529</f>
        <v>163092</v>
      </c>
      <c r="I1529" s="6">
        <f t="shared" si="300"/>
        <v>0</v>
      </c>
      <c r="J1529" s="6">
        <v>0</v>
      </c>
      <c r="K1529" s="6">
        <v>0</v>
      </c>
      <c r="L1529" s="6">
        <v>0</v>
      </c>
      <c r="M1529" s="6">
        <f>+H1529+I1529+K1529</f>
        <v>163092</v>
      </c>
      <c r="N1529" s="6">
        <f>+J1529+L1529</f>
        <v>0</v>
      </c>
      <c r="O1529" s="6">
        <f t="shared" si="301"/>
        <v>163092</v>
      </c>
      <c r="P1529" s="6">
        <v>163092</v>
      </c>
      <c r="Q1529" s="6">
        <v>0</v>
      </c>
      <c r="R1529" s="6">
        <f t="shared" si="294"/>
        <v>0</v>
      </c>
      <c r="T1529"/>
      <c r="U1529" s="7"/>
      <c r="V1529" s="7"/>
    </row>
    <row r="1530" spans="2:22" s="5" customFormat="1" x14ac:dyDescent="0.3">
      <c r="B1530" s="5" t="s">
        <v>16</v>
      </c>
      <c r="C1530" s="5" t="s">
        <v>2316</v>
      </c>
      <c r="D1530" s="5" t="s">
        <v>2317</v>
      </c>
      <c r="E1530" s="5" t="s">
        <v>1086</v>
      </c>
      <c r="F1530" s="5" t="s">
        <v>339</v>
      </c>
      <c r="G1530" s="5" t="s">
        <v>340</v>
      </c>
      <c r="H1530" s="6">
        <v>3.8421053439378738E-2</v>
      </c>
      <c r="I1530" s="6">
        <f t="shared" si="300"/>
        <v>12899159.631578946</v>
      </c>
      <c r="J1530" s="6">
        <v>2450840.33</v>
      </c>
      <c r="K1530" s="6"/>
      <c r="L1530" s="6"/>
      <c r="M1530" s="6">
        <f>+H1530+I1530</f>
        <v>12899159.67</v>
      </c>
      <c r="N1530" s="6">
        <f>+J1530</f>
        <v>2450840.33</v>
      </c>
      <c r="O1530" s="6">
        <f t="shared" si="301"/>
        <v>15350000</v>
      </c>
      <c r="P1530" s="6">
        <v>15350000</v>
      </c>
      <c r="Q1530" s="6">
        <f>+M1530</f>
        <v>12899159.67</v>
      </c>
      <c r="R1530" s="6">
        <f t="shared" si="294"/>
        <v>322478.99174999999</v>
      </c>
      <c r="T1530"/>
    </row>
    <row r="1531" spans="2:22" s="5" customFormat="1" x14ac:dyDescent="0.3">
      <c r="B1531" s="5" t="s">
        <v>16</v>
      </c>
      <c r="C1531" s="5" t="s">
        <v>2318</v>
      </c>
      <c r="D1531" s="5" t="s">
        <v>2212</v>
      </c>
      <c r="E1531" s="5" t="s">
        <v>932</v>
      </c>
      <c r="F1531" s="5" t="s">
        <v>2319</v>
      </c>
      <c r="G1531" s="5" t="s">
        <v>2320</v>
      </c>
      <c r="H1531" s="6">
        <v>-11100</v>
      </c>
      <c r="I1531" s="6">
        <f t="shared" si="300"/>
        <v>11100</v>
      </c>
      <c r="J1531" s="6">
        <v>2109</v>
      </c>
      <c r="K1531" s="6"/>
      <c r="L1531" s="6"/>
      <c r="M1531" s="6">
        <f>+H1531+I1531</f>
        <v>0</v>
      </c>
      <c r="N1531" s="6">
        <f>+J1531</f>
        <v>2109</v>
      </c>
      <c r="O1531" s="6">
        <f t="shared" si="301"/>
        <v>2109</v>
      </c>
      <c r="P1531" s="6">
        <v>2109</v>
      </c>
      <c r="Q1531" s="6"/>
      <c r="R1531" s="6">
        <f t="shared" si="294"/>
        <v>0</v>
      </c>
      <c r="T1531"/>
    </row>
    <row r="1532" spans="2:22" s="5" customFormat="1" x14ac:dyDescent="0.3">
      <c r="B1532" s="5" t="s">
        <v>16</v>
      </c>
      <c r="C1532" s="5" t="s">
        <v>2321</v>
      </c>
      <c r="D1532" s="5" t="s">
        <v>2212</v>
      </c>
      <c r="E1532" s="5" t="s">
        <v>932</v>
      </c>
      <c r="F1532" s="5" t="s">
        <v>2319</v>
      </c>
      <c r="G1532" s="5" t="s">
        <v>2320</v>
      </c>
      <c r="H1532" s="6">
        <v>1.947368421126157</v>
      </c>
      <c r="I1532" s="6">
        <f t="shared" si="300"/>
        <v>3166021.0526315789</v>
      </c>
      <c r="J1532" s="6">
        <v>601544</v>
      </c>
      <c r="K1532" s="6"/>
      <c r="L1532" s="6"/>
      <c r="M1532" s="6">
        <f>+H1532+I1532</f>
        <v>3166023</v>
      </c>
      <c r="N1532" s="6">
        <f>+J1532</f>
        <v>601544</v>
      </c>
      <c r="O1532" s="6">
        <f t="shared" si="301"/>
        <v>3767567</v>
      </c>
      <c r="P1532" s="6">
        <v>3767567</v>
      </c>
      <c r="Q1532" s="6"/>
      <c r="R1532" s="6">
        <f t="shared" si="294"/>
        <v>0</v>
      </c>
      <c r="T1532"/>
      <c r="U1532"/>
      <c r="V1532"/>
    </row>
    <row r="1533" spans="2:22" s="5" customFormat="1" x14ac:dyDescent="0.3">
      <c r="B1533" s="5" t="s">
        <v>16</v>
      </c>
      <c r="C1533" s="5" t="s">
        <v>2322</v>
      </c>
      <c r="D1533" s="5" t="s">
        <v>2212</v>
      </c>
      <c r="E1533" s="5" t="s">
        <v>1267</v>
      </c>
      <c r="F1533" s="5" t="s">
        <v>2319</v>
      </c>
      <c r="G1533" s="5" t="s">
        <v>2320</v>
      </c>
      <c r="H1533" s="6">
        <v>1.7368421051651239</v>
      </c>
      <c r="I1533" s="6">
        <f t="shared" si="300"/>
        <v>4224105.2631578948</v>
      </c>
      <c r="J1533" s="6">
        <v>802580</v>
      </c>
      <c r="K1533" s="6"/>
      <c r="L1533" s="6"/>
      <c r="M1533" s="6">
        <f>+H1533+I1533</f>
        <v>4224107</v>
      </c>
      <c r="N1533" s="6">
        <f>+J1533</f>
        <v>802580</v>
      </c>
      <c r="O1533" s="6">
        <f t="shared" si="301"/>
        <v>5026687</v>
      </c>
      <c r="P1533" s="6">
        <v>5026687</v>
      </c>
      <c r="Q1533" s="6"/>
      <c r="R1533" s="6">
        <f t="shared" si="294"/>
        <v>0</v>
      </c>
      <c r="S1533"/>
      <c r="T1533"/>
    </row>
    <row r="1534" spans="2:22" s="5" customFormat="1" x14ac:dyDescent="0.3">
      <c r="B1534" s="5" t="s">
        <v>16</v>
      </c>
      <c r="C1534" s="5" t="s">
        <v>2323</v>
      </c>
      <c r="D1534" s="5" t="s">
        <v>2212</v>
      </c>
      <c r="E1534" s="5" t="s">
        <v>372</v>
      </c>
      <c r="F1534" s="5" t="s">
        <v>2319</v>
      </c>
      <c r="G1534" s="5" t="s">
        <v>2320</v>
      </c>
      <c r="H1534" s="6">
        <f>+P1534-I1534-J1534</f>
        <v>-11100</v>
      </c>
      <c r="I1534" s="6">
        <f t="shared" si="300"/>
        <v>11100</v>
      </c>
      <c r="J1534" s="6">
        <v>2109</v>
      </c>
      <c r="K1534" s="6">
        <v>0</v>
      </c>
      <c r="L1534" s="6">
        <v>0</v>
      </c>
      <c r="M1534" s="6">
        <f>+H1534+I1534+K1534</f>
        <v>0</v>
      </c>
      <c r="N1534" s="6">
        <f>+J1534+L1534</f>
        <v>2109</v>
      </c>
      <c r="O1534" s="6">
        <f t="shared" si="301"/>
        <v>2109</v>
      </c>
      <c r="P1534" s="6">
        <v>2109</v>
      </c>
      <c r="Q1534" s="6">
        <v>0</v>
      </c>
      <c r="R1534" s="6">
        <f t="shared" si="294"/>
        <v>0</v>
      </c>
      <c r="S1534"/>
      <c r="T1534"/>
    </row>
    <row r="1535" spans="2:22" s="5" customFormat="1" x14ac:dyDescent="0.3">
      <c r="B1535" s="5" t="s">
        <v>16</v>
      </c>
      <c r="C1535" s="5" t="s">
        <v>2324</v>
      </c>
      <c r="D1535" s="5" t="s">
        <v>2212</v>
      </c>
      <c r="E1535" s="5" t="s">
        <v>372</v>
      </c>
      <c r="F1535" s="5" t="s">
        <v>2319</v>
      </c>
      <c r="G1535" s="5" t="s">
        <v>2320</v>
      </c>
      <c r="H1535" s="6">
        <f>+P1535-I1535-J1535</f>
        <v>1.368421052582562</v>
      </c>
      <c r="I1535" s="6">
        <f t="shared" si="300"/>
        <v>4201852.6315789474</v>
      </c>
      <c r="J1535" s="6">
        <v>798352</v>
      </c>
      <c r="K1535" s="6">
        <v>0</v>
      </c>
      <c r="L1535" s="6">
        <v>0</v>
      </c>
      <c r="M1535" s="6">
        <f>+H1535+I1535+K1535</f>
        <v>4201854</v>
      </c>
      <c r="N1535" s="6">
        <f>+J1535+L1535</f>
        <v>798352</v>
      </c>
      <c r="O1535" s="6">
        <f t="shared" si="301"/>
        <v>5000206</v>
      </c>
      <c r="P1535" s="6">
        <v>5000206</v>
      </c>
      <c r="Q1535" s="6">
        <v>0</v>
      </c>
      <c r="R1535" s="6">
        <f t="shared" si="294"/>
        <v>0</v>
      </c>
      <c r="S1535"/>
      <c r="T1535"/>
    </row>
    <row r="1536" spans="2:22" s="5" customFormat="1" x14ac:dyDescent="0.3">
      <c r="B1536" s="5" t="s">
        <v>16</v>
      </c>
      <c r="C1536" s="5" t="s">
        <v>2325</v>
      </c>
      <c r="D1536" s="5" t="s">
        <v>2212</v>
      </c>
      <c r="E1536" s="5" t="s">
        <v>1122</v>
      </c>
      <c r="F1536" s="5" t="s">
        <v>2319</v>
      </c>
      <c r="G1536" s="5" t="s">
        <v>2320</v>
      </c>
      <c r="H1536" s="6">
        <v>0</v>
      </c>
      <c r="I1536" s="6">
        <f t="shared" si="300"/>
        <v>7286257.8947368432</v>
      </c>
      <c r="J1536" s="6">
        <v>1384389</v>
      </c>
      <c r="K1536" s="6">
        <v>0</v>
      </c>
      <c r="L1536" s="6">
        <v>0</v>
      </c>
      <c r="M1536" s="6">
        <f>+H1536+I1536+K1536</f>
        <v>7286257.8947368432</v>
      </c>
      <c r="N1536" s="6">
        <f>+J1536+L1536</f>
        <v>1384389</v>
      </c>
      <c r="O1536" s="6">
        <f t="shared" si="301"/>
        <v>8670646.8947368432</v>
      </c>
      <c r="P1536" s="6">
        <v>8670648</v>
      </c>
      <c r="Q1536" s="6">
        <v>0</v>
      </c>
      <c r="R1536" s="6">
        <f t="shared" si="294"/>
        <v>0</v>
      </c>
      <c r="T1536"/>
    </row>
    <row r="1537" spans="2:22" s="5" customFormat="1" x14ac:dyDescent="0.3">
      <c r="B1537" s="5" t="s">
        <v>16</v>
      </c>
      <c r="C1537" s="5" t="s">
        <v>2326</v>
      </c>
      <c r="D1537" s="5" t="s">
        <v>306</v>
      </c>
      <c r="E1537" s="5" t="s">
        <v>551</v>
      </c>
      <c r="F1537" s="5" t="s">
        <v>163</v>
      </c>
      <c r="G1537" s="5" t="s">
        <v>164</v>
      </c>
      <c r="H1537" s="6">
        <v>0.45999999961350113</v>
      </c>
      <c r="I1537" s="6">
        <f t="shared" si="300"/>
        <v>4191973.0000000005</v>
      </c>
      <c r="J1537" s="6">
        <v>796474.87</v>
      </c>
      <c r="K1537" s="6"/>
      <c r="L1537" s="6"/>
      <c r="M1537" s="6">
        <f>+H1537+I1537</f>
        <v>4191973.46</v>
      </c>
      <c r="N1537" s="6">
        <f>+J1537</f>
        <v>796474.87</v>
      </c>
      <c r="O1537" s="6">
        <f t="shared" si="301"/>
        <v>4988448.33</v>
      </c>
      <c r="P1537" s="6">
        <v>4988448.33</v>
      </c>
      <c r="Q1537" s="6"/>
      <c r="R1537" s="6">
        <f t="shared" si="294"/>
        <v>0</v>
      </c>
      <c r="T1537"/>
    </row>
    <row r="1538" spans="2:22" s="5" customFormat="1" x14ac:dyDescent="0.3">
      <c r="B1538" s="5" t="s">
        <v>16</v>
      </c>
      <c r="C1538" s="5" t="s">
        <v>2327</v>
      </c>
      <c r="D1538" s="5" t="s">
        <v>306</v>
      </c>
      <c r="E1538" s="5" t="s">
        <v>581</v>
      </c>
      <c r="F1538" s="5" t="s">
        <v>163</v>
      </c>
      <c r="G1538" s="5" t="s">
        <v>164</v>
      </c>
      <c r="H1538" s="6">
        <f>+P1538-I1538-J1538</f>
        <v>0.5</v>
      </c>
      <c r="I1538" s="6">
        <f t="shared" si="300"/>
        <v>755100</v>
      </c>
      <c r="J1538" s="6">
        <v>143469</v>
      </c>
      <c r="K1538" s="6">
        <v>0</v>
      </c>
      <c r="L1538" s="6">
        <v>0</v>
      </c>
      <c r="M1538" s="6">
        <f t="shared" ref="M1538:M1573" si="304">+H1538+I1538+K1538</f>
        <v>755100.5</v>
      </c>
      <c r="N1538" s="6">
        <f t="shared" ref="N1538:N1573" si="305">+J1538+L1538</f>
        <v>143469</v>
      </c>
      <c r="O1538" s="6">
        <f t="shared" si="301"/>
        <v>898569.5</v>
      </c>
      <c r="P1538" s="6">
        <v>898569.5</v>
      </c>
      <c r="Q1538" s="6">
        <f>+M1538</f>
        <v>755100.5</v>
      </c>
      <c r="R1538" s="6">
        <f t="shared" si="294"/>
        <v>18877.512500000001</v>
      </c>
      <c r="T1538"/>
    </row>
    <row r="1539" spans="2:22" s="5" customFormat="1" x14ac:dyDescent="0.3">
      <c r="B1539" s="5" t="s">
        <v>16</v>
      </c>
      <c r="C1539" s="5" t="s">
        <v>2328</v>
      </c>
      <c r="D1539" s="5" t="s">
        <v>306</v>
      </c>
      <c r="E1539" s="5" t="s">
        <v>541</v>
      </c>
      <c r="F1539" s="5" t="s">
        <v>163</v>
      </c>
      <c r="G1539" s="5" t="s">
        <v>164</v>
      </c>
      <c r="H1539" s="6">
        <f>+P1539-I1539-J1539</f>
        <v>0.20999999961350113</v>
      </c>
      <c r="I1539" s="6">
        <f t="shared" si="300"/>
        <v>3370823.0000000005</v>
      </c>
      <c r="J1539" s="6">
        <v>640456.37</v>
      </c>
      <c r="K1539" s="6">
        <v>0</v>
      </c>
      <c r="L1539" s="6">
        <v>0</v>
      </c>
      <c r="M1539" s="6">
        <f t="shared" si="304"/>
        <v>3370823.21</v>
      </c>
      <c r="N1539" s="6">
        <f t="shared" si="305"/>
        <v>640456.37</v>
      </c>
      <c r="O1539" s="6">
        <f t="shared" si="301"/>
        <v>4011279.58</v>
      </c>
      <c r="P1539" s="6">
        <v>4011279.58</v>
      </c>
      <c r="Q1539" s="6">
        <v>0</v>
      </c>
      <c r="R1539" s="6">
        <f t="shared" si="294"/>
        <v>0</v>
      </c>
      <c r="T1539"/>
    </row>
    <row r="1540" spans="2:22" s="5" customFormat="1" x14ac:dyDescent="0.3">
      <c r="B1540" s="5" t="s">
        <v>16</v>
      </c>
      <c r="C1540" s="5" t="s">
        <v>2329</v>
      </c>
      <c r="D1540" s="5" t="s">
        <v>306</v>
      </c>
      <c r="E1540" s="5" t="s">
        <v>42</v>
      </c>
      <c r="F1540" s="5" t="s">
        <v>163</v>
      </c>
      <c r="G1540" s="5" t="s">
        <v>164</v>
      </c>
      <c r="H1540" s="6">
        <v>0</v>
      </c>
      <c r="I1540" s="6">
        <f t="shared" si="300"/>
        <v>3609495.0000000005</v>
      </c>
      <c r="J1540" s="6">
        <v>685804.05</v>
      </c>
      <c r="K1540" s="6">
        <v>0</v>
      </c>
      <c r="L1540" s="6">
        <v>0</v>
      </c>
      <c r="M1540" s="6">
        <f t="shared" si="304"/>
        <v>3609495.0000000005</v>
      </c>
      <c r="N1540" s="6">
        <f t="shared" si="305"/>
        <v>685804.05</v>
      </c>
      <c r="O1540" s="6">
        <f t="shared" si="301"/>
        <v>4295299.0500000007</v>
      </c>
      <c r="P1540" s="6">
        <v>4295299.38</v>
      </c>
      <c r="Q1540" s="6">
        <f>+M1540</f>
        <v>3609495.0000000005</v>
      </c>
      <c r="R1540" s="6">
        <f t="shared" si="294"/>
        <v>90237.375000000015</v>
      </c>
      <c r="T1540"/>
    </row>
    <row r="1541" spans="2:22" s="5" customFormat="1" x14ac:dyDescent="0.3">
      <c r="B1541" s="5" t="s">
        <v>16</v>
      </c>
      <c r="C1541" s="5" t="s">
        <v>2330</v>
      </c>
      <c r="D1541" s="5" t="s">
        <v>2331</v>
      </c>
      <c r="E1541" s="5" t="s">
        <v>435</v>
      </c>
      <c r="F1541" s="5" t="s">
        <v>516</v>
      </c>
      <c r="G1541" s="5" t="s">
        <v>517</v>
      </c>
      <c r="H1541" s="6">
        <f t="shared" ref="H1541:H1550" si="306">+P1541-I1541-J1541</f>
        <v>0</v>
      </c>
      <c r="I1541" s="6">
        <f t="shared" si="300"/>
        <v>1396674</v>
      </c>
      <c r="J1541" s="6">
        <v>265368.06</v>
      </c>
      <c r="K1541" s="6">
        <v>0</v>
      </c>
      <c r="L1541" s="6">
        <v>0</v>
      </c>
      <c r="M1541" s="6">
        <f t="shared" si="304"/>
        <v>1396674</v>
      </c>
      <c r="N1541" s="6">
        <f t="shared" si="305"/>
        <v>265368.06</v>
      </c>
      <c r="O1541" s="6">
        <f t="shared" si="301"/>
        <v>1662042.06</v>
      </c>
      <c r="P1541" s="6">
        <v>1662042.06</v>
      </c>
      <c r="Q1541" s="6">
        <f>+M1541</f>
        <v>1396674</v>
      </c>
      <c r="R1541" s="6">
        <f t="shared" ref="R1541:R1604" si="307">+Q1541*2.5/100</f>
        <v>34916.85</v>
      </c>
      <c r="T1541"/>
    </row>
    <row r="1542" spans="2:22" s="5" customFormat="1" x14ac:dyDescent="0.3">
      <c r="B1542" s="5" t="s">
        <v>16</v>
      </c>
      <c r="C1542" s="5" t="s">
        <v>269</v>
      </c>
      <c r="D1542" s="5" t="s">
        <v>2332</v>
      </c>
      <c r="E1542" s="5" t="s">
        <v>152</v>
      </c>
      <c r="F1542" s="5" t="s">
        <v>171</v>
      </c>
      <c r="G1542" s="5" t="s">
        <v>172</v>
      </c>
      <c r="H1542" s="6">
        <f t="shared" si="306"/>
        <v>3.4210526315728202</v>
      </c>
      <c r="I1542" s="6">
        <f t="shared" si="300"/>
        <v>336131.57894736843</v>
      </c>
      <c r="J1542" s="6">
        <v>63865</v>
      </c>
      <c r="K1542" s="6">
        <v>0</v>
      </c>
      <c r="L1542" s="6">
        <v>0</v>
      </c>
      <c r="M1542" s="6">
        <f t="shared" si="304"/>
        <v>336135</v>
      </c>
      <c r="N1542" s="6">
        <f t="shared" si="305"/>
        <v>63865</v>
      </c>
      <c r="O1542" s="6">
        <f t="shared" si="301"/>
        <v>400000</v>
      </c>
      <c r="P1542" s="6">
        <v>400000</v>
      </c>
      <c r="Q1542" s="6">
        <v>0</v>
      </c>
      <c r="R1542" s="6">
        <f t="shared" si="307"/>
        <v>0</v>
      </c>
      <c r="T1542"/>
    </row>
    <row r="1543" spans="2:22" s="5" customFormat="1" x14ac:dyDescent="0.3">
      <c r="B1543" s="5" t="s">
        <v>16</v>
      </c>
      <c r="C1543" s="5" t="s">
        <v>2333</v>
      </c>
      <c r="D1543" s="5" t="s">
        <v>2332</v>
      </c>
      <c r="E1543" s="5" t="s">
        <v>152</v>
      </c>
      <c r="F1543" s="5" t="s">
        <v>171</v>
      </c>
      <c r="G1543" s="5" t="s">
        <v>172</v>
      </c>
      <c r="H1543" s="6">
        <f t="shared" si="306"/>
        <v>25680.105263157748</v>
      </c>
      <c r="I1543" s="6">
        <f t="shared" si="300"/>
        <v>1234957.8947368423</v>
      </c>
      <c r="J1543" s="6">
        <v>234642</v>
      </c>
      <c r="K1543" s="6">
        <v>0</v>
      </c>
      <c r="L1543" s="6">
        <v>0</v>
      </c>
      <c r="M1543" s="6">
        <f t="shared" si="304"/>
        <v>1260638</v>
      </c>
      <c r="N1543" s="6">
        <f t="shared" si="305"/>
        <v>234642</v>
      </c>
      <c r="O1543" s="6">
        <f t="shared" si="301"/>
        <v>1495280</v>
      </c>
      <c r="P1543" s="6">
        <v>1495280</v>
      </c>
      <c r="Q1543" s="6">
        <f>+M1543</f>
        <v>1260638</v>
      </c>
      <c r="R1543" s="6">
        <f t="shared" si="307"/>
        <v>31515.95</v>
      </c>
      <c r="S1543"/>
      <c r="T1543"/>
    </row>
    <row r="1544" spans="2:22" s="5" customFormat="1" x14ac:dyDescent="0.3">
      <c r="B1544" s="5" t="s">
        <v>16</v>
      </c>
      <c r="C1544" s="5" t="s">
        <v>1633</v>
      </c>
      <c r="D1544" s="5" t="s">
        <v>2332</v>
      </c>
      <c r="E1544" s="5" t="s">
        <v>152</v>
      </c>
      <c r="F1544" s="5" t="s">
        <v>171</v>
      </c>
      <c r="G1544" s="5" t="s">
        <v>172</v>
      </c>
      <c r="H1544" s="6">
        <f t="shared" si="306"/>
        <v>1483202.1578947369</v>
      </c>
      <c r="I1544" s="6">
        <f t="shared" si="300"/>
        <v>971036.84210526315</v>
      </c>
      <c r="J1544" s="6">
        <v>184497</v>
      </c>
      <c r="K1544" s="6">
        <v>0</v>
      </c>
      <c r="L1544" s="6">
        <v>0</v>
      </c>
      <c r="M1544" s="6">
        <f t="shared" si="304"/>
        <v>2454239</v>
      </c>
      <c r="N1544" s="6">
        <f t="shared" si="305"/>
        <v>184497</v>
      </c>
      <c r="O1544" s="6">
        <f t="shared" si="301"/>
        <v>2638736</v>
      </c>
      <c r="P1544" s="6">
        <v>2638736</v>
      </c>
      <c r="Q1544" s="6">
        <f>+M1544</f>
        <v>2454239</v>
      </c>
      <c r="R1544" s="6">
        <f t="shared" si="307"/>
        <v>61355.974999999999</v>
      </c>
      <c r="T1544"/>
    </row>
    <row r="1545" spans="2:22" s="5" customFormat="1" x14ac:dyDescent="0.3">
      <c r="B1545" s="5" t="s">
        <v>16</v>
      </c>
      <c r="C1545" s="5" t="s">
        <v>2334</v>
      </c>
      <c r="D1545" s="5" t="s">
        <v>2332</v>
      </c>
      <c r="E1545" s="5" t="s">
        <v>98</v>
      </c>
      <c r="F1545" s="5" t="s">
        <v>171</v>
      </c>
      <c r="G1545" s="5" t="s">
        <v>172</v>
      </c>
      <c r="H1545" s="6">
        <f t="shared" si="306"/>
        <v>0.52631578920409083</v>
      </c>
      <c r="I1545" s="6">
        <f t="shared" si="300"/>
        <v>2974789.4736842108</v>
      </c>
      <c r="J1545" s="6">
        <v>565210</v>
      </c>
      <c r="K1545" s="6">
        <v>0</v>
      </c>
      <c r="L1545" s="6">
        <v>0</v>
      </c>
      <c r="M1545" s="6">
        <f t="shared" si="304"/>
        <v>2974790</v>
      </c>
      <c r="N1545" s="6">
        <f t="shared" si="305"/>
        <v>565210</v>
      </c>
      <c r="O1545" s="6">
        <f t="shared" si="301"/>
        <v>3540000</v>
      </c>
      <c r="P1545" s="6">
        <v>3540000</v>
      </c>
      <c r="Q1545" s="6">
        <f>+M1545</f>
        <v>2974790</v>
      </c>
      <c r="R1545" s="6">
        <f t="shared" si="307"/>
        <v>74369.75</v>
      </c>
      <c r="T1545"/>
    </row>
    <row r="1546" spans="2:22" s="5" customFormat="1" x14ac:dyDescent="0.3">
      <c r="B1546" s="5" t="s">
        <v>16</v>
      </c>
      <c r="C1546" s="5" t="s">
        <v>2335</v>
      </c>
      <c r="D1546" s="5" t="s">
        <v>2332</v>
      </c>
      <c r="E1546" s="5" t="s">
        <v>349</v>
      </c>
      <c r="F1546" s="5" t="s">
        <v>171</v>
      </c>
      <c r="G1546" s="5" t="s">
        <v>172</v>
      </c>
      <c r="H1546" s="6">
        <f t="shared" si="306"/>
        <v>-1.7368421051651239</v>
      </c>
      <c r="I1546" s="6">
        <f t="shared" si="300"/>
        <v>4043194.7368421052</v>
      </c>
      <c r="J1546" s="6">
        <v>768207</v>
      </c>
      <c r="K1546" s="6">
        <v>0</v>
      </c>
      <c r="L1546" s="6">
        <v>0</v>
      </c>
      <c r="M1546" s="6">
        <f t="shared" si="304"/>
        <v>4043193</v>
      </c>
      <c r="N1546" s="6">
        <f t="shared" si="305"/>
        <v>768207</v>
      </c>
      <c r="O1546" s="6">
        <f t="shared" si="301"/>
        <v>4811400</v>
      </c>
      <c r="P1546" s="6">
        <v>4811400</v>
      </c>
      <c r="Q1546" s="6">
        <f>+M1546</f>
        <v>4043193</v>
      </c>
      <c r="R1546" s="6">
        <f t="shared" si="307"/>
        <v>101079.825</v>
      </c>
      <c r="S1546"/>
      <c r="T1546"/>
    </row>
    <row r="1547" spans="2:22" s="5" customFormat="1" x14ac:dyDescent="0.3">
      <c r="B1547" s="5" t="s">
        <v>16</v>
      </c>
      <c r="C1547" s="5" t="s">
        <v>2336</v>
      </c>
      <c r="D1547" s="5" t="s">
        <v>2332</v>
      </c>
      <c r="E1547" s="5" t="s">
        <v>435</v>
      </c>
      <c r="F1547" s="5" t="s">
        <v>171</v>
      </c>
      <c r="G1547" s="5" t="s">
        <v>172</v>
      </c>
      <c r="H1547" s="6">
        <f t="shared" si="306"/>
        <v>1110748.0526315791</v>
      </c>
      <c r="I1547" s="6">
        <f t="shared" si="300"/>
        <v>1443678.9473684209</v>
      </c>
      <c r="J1547" s="6">
        <v>274299</v>
      </c>
      <c r="K1547" s="6">
        <v>0</v>
      </c>
      <c r="L1547" s="6">
        <v>0</v>
      </c>
      <c r="M1547" s="6">
        <f t="shared" si="304"/>
        <v>2554427</v>
      </c>
      <c r="N1547" s="6">
        <f t="shared" si="305"/>
        <v>274299</v>
      </c>
      <c r="O1547" s="6">
        <f t="shared" si="301"/>
        <v>2828726</v>
      </c>
      <c r="P1547" s="6">
        <v>2828726</v>
      </c>
      <c r="Q1547" s="6">
        <f>+M1547-160901</f>
        <v>2393526</v>
      </c>
      <c r="R1547" s="6">
        <f t="shared" si="307"/>
        <v>59838.15</v>
      </c>
      <c r="T1547"/>
    </row>
    <row r="1548" spans="2:22" s="5" customFormat="1" x14ac:dyDescent="0.3">
      <c r="B1548" s="5" t="s">
        <v>16</v>
      </c>
      <c r="C1548" s="5" t="s">
        <v>2337</v>
      </c>
      <c r="D1548" s="5" t="s">
        <v>2332</v>
      </c>
      <c r="E1548" s="5" t="s">
        <v>212</v>
      </c>
      <c r="F1548" s="5" t="s">
        <v>171</v>
      </c>
      <c r="G1548" s="5" t="s">
        <v>172</v>
      </c>
      <c r="H1548" s="6">
        <f t="shared" si="306"/>
        <v>-1.1578947366215289</v>
      </c>
      <c r="I1548" s="6">
        <f t="shared" si="300"/>
        <v>3374963.1578947366</v>
      </c>
      <c r="J1548" s="6">
        <v>641243</v>
      </c>
      <c r="K1548" s="6">
        <v>0</v>
      </c>
      <c r="L1548" s="6">
        <v>0</v>
      </c>
      <c r="M1548" s="6">
        <f t="shared" si="304"/>
        <v>3374962</v>
      </c>
      <c r="N1548" s="6">
        <f t="shared" si="305"/>
        <v>641243</v>
      </c>
      <c r="O1548" s="6">
        <f t="shared" si="301"/>
        <v>4016205</v>
      </c>
      <c r="P1548" s="6">
        <v>4016205</v>
      </c>
      <c r="Q1548" s="6">
        <f>+M1548</f>
        <v>3374962</v>
      </c>
      <c r="R1548" s="6">
        <f t="shared" si="307"/>
        <v>84374.05</v>
      </c>
      <c r="S1548"/>
      <c r="T1548"/>
    </row>
    <row r="1549" spans="2:22" s="5" customFormat="1" x14ac:dyDescent="0.3">
      <c r="B1549" s="5" t="s">
        <v>16</v>
      </c>
      <c r="C1549" s="5" t="s">
        <v>2338</v>
      </c>
      <c r="D1549" s="5" t="s">
        <v>2332</v>
      </c>
      <c r="E1549" s="5" t="s">
        <v>409</v>
      </c>
      <c r="F1549" s="5" t="s">
        <v>171</v>
      </c>
      <c r="G1549" s="5" t="s">
        <v>172</v>
      </c>
      <c r="H1549" s="6">
        <f t="shared" si="306"/>
        <v>-2.1578947370871902</v>
      </c>
      <c r="I1549" s="6">
        <f t="shared" si="300"/>
        <v>4344963.1578947371</v>
      </c>
      <c r="J1549" s="6">
        <v>825543</v>
      </c>
      <c r="K1549" s="6">
        <v>0</v>
      </c>
      <c r="L1549" s="6">
        <v>0</v>
      </c>
      <c r="M1549" s="6">
        <f t="shared" si="304"/>
        <v>4344961</v>
      </c>
      <c r="N1549" s="6">
        <f t="shared" si="305"/>
        <v>825543</v>
      </c>
      <c r="O1549" s="6">
        <f t="shared" si="301"/>
        <v>5170504</v>
      </c>
      <c r="P1549" s="6">
        <v>5170504</v>
      </c>
      <c r="Q1549" s="6">
        <f>+M1549</f>
        <v>4344961</v>
      </c>
      <c r="R1549" s="6">
        <f t="shared" si="307"/>
        <v>108624.02499999999</v>
      </c>
      <c r="T1549"/>
    </row>
    <row r="1550" spans="2:22" s="5" customFormat="1" x14ac:dyDescent="0.3">
      <c r="B1550" s="5" t="s">
        <v>16</v>
      </c>
      <c r="C1550" s="5" t="s">
        <v>2339</v>
      </c>
      <c r="D1550" s="5" t="s">
        <v>2332</v>
      </c>
      <c r="E1550" s="5" t="s">
        <v>409</v>
      </c>
      <c r="F1550" s="5" t="s">
        <v>171</v>
      </c>
      <c r="G1550" s="5" t="s">
        <v>172</v>
      </c>
      <c r="H1550" s="6">
        <f t="shared" si="306"/>
        <v>0.94736842066049576</v>
      </c>
      <c r="I1550" s="6">
        <f t="shared" si="300"/>
        <v>12954621.052631579</v>
      </c>
      <c r="J1550" s="6">
        <v>2461378</v>
      </c>
      <c r="K1550" s="6">
        <v>0</v>
      </c>
      <c r="L1550" s="6">
        <v>0</v>
      </c>
      <c r="M1550" s="6">
        <f t="shared" si="304"/>
        <v>12954622</v>
      </c>
      <c r="N1550" s="6">
        <f t="shared" si="305"/>
        <v>2461378</v>
      </c>
      <c r="O1550" s="6">
        <f t="shared" si="301"/>
        <v>15416000</v>
      </c>
      <c r="P1550" s="6">
        <v>15416000</v>
      </c>
      <c r="Q1550" s="6">
        <f>+M1550</f>
        <v>12954622</v>
      </c>
      <c r="R1550" s="6">
        <f t="shared" si="307"/>
        <v>323865.55</v>
      </c>
      <c r="T1550"/>
      <c r="U1550" s="9"/>
    </row>
    <row r="1551" spans="2:22" s="5" customFormat="1" x14ac:dyDescent="0.3">
      <c r="B1551" s="5" t="s">
        <v>16</v>
      </c>
      <c r="C1551" s="5" t="s">
        <v>2340</v>
      </c>
      <c r="D1551" s="5" t="s">
        <v>2332</v>
      </c>
      <c r="E1551" s="5" t="s">
        <v>620</v>
      </c>
      <c r="F1551" s="5" t="s">
        <v>171</v>
      </c>
      <c r="G1551" s="5" t="s">
        <v>172</v>
      </c>
      <c r="H1551" s="6">
        <f t="shared" ref="H1551:H1557" si="308">+P1551-I1551-J1551-K1551-L1551</f>
        <v>-0.15789473801851273</v>
      </c>
      <c r="I1551" s="6">
        <f t="shared" si="300"/>
        <v>8987663.157894738</v>
      </c>
      <c r="J1551" s="6">
        <v>1707656</v>
      </c>
      <c r="K1551" s="6">
        <v>0</v>
      </c>
      <c r="L1551" s="6">
        <v>0</v>
      </c>
      <c r="M1551" s="6">
        <f t="shared" si="304"/>
        <v>8987663</v>
      </c>
      <c r="N1551" s="6">
        <f t="shared" si="305"/>
        <v>1707656</v>
      </c>
      <c r="O1551" s="6">
        <f t="shared" si="301"/>
        <v>10695319</v>
      </c>
      <c r="P1551" s="6">
        <v>10695319</v>
      </c>
      <c r="Q1551" s="6">
        <f>+M1551-8987663</f>
        <v>0</v>
      </c>
      <c r="R1551" s="6">
        <f t="shared" si="307"/>
        <v>0</v>
      </c>
      <c r="T1551"/>
      <c r="U1551" s="9"/>
    </row>
    <row r="1552" spans="2:22" s="5" customFormat="1" x14ac:dyDescent="0.3">
      <c r="B1552" s="5" t="s">
        <v>16</v>
      </c>
      <c r="C1552" s="5" t="s">
        <v>2341</v>
      </c>
      <c r="D1552" s="5" t="s">
        <v>2332</v>
      </c>
      <c r="E1552" s="5" t="s">
        <v>1071</v>
      </c>
      <c r="F1552" s="5" t="s">
        <v>171</v>
      </c>
      <c r="G1552" s="5" t="s">
        <v>172</v>
      </c>
      <c r="H1552" s="6">
        <f t="shared" si="308"/>
        <v>129602.57894736854</v>
      </c>
      <c r="I1552" s="6">
        <f t="shared" si="300"/>
        <v>882168.42105263146</v>
      </c>
      <c r="J1552" s="6">
        <v>167612</v>
      </c>
      <c r="K1552" s="6">
        <v>0</v>
      </c>
      <c r="L1552" s="6">
        <v>0</v>
      </c>
      <c r="M1552" s="6">
        <f t="shared" si="304"/>
        <v>1011771</v>
      </c>
      <c r="N1552" s="6">
        <f t="shared" si="305"/>
        <v>167612</v>
      </c>
      <c r="O1552" s="6">
        <f t="shared" si="301"/>
        <v>1179383</v>
      </c>
      <c r="P1552" s="6">
        <v>1179383</v>
      </c>
      <c r="Q1552" s="6">
        <f t="shared" ref="Q1552:Q1562" si="309">+M1552</f>
        <v>1011771</v>
      </c>
      <c r="R1552" s="6">
        <f t="shared" si="307"/>
        <v>25294.275000000001</v>
      </c>
      <c r="T1552"/>
      <c r="U1552" s="7"/>
      <c r="V1552" s="7"/>
    </row>
    <row r="1553" spans="2:22" s="5" customFormat="1" x14ac:dyDescent="0.3">
      <c r="B1553" s="5" t="s">
        <v>16</v>
      </c>
      <c r="C1553" s="5" t="s">
        <v>2342</v>
      </c>
      <c r="D1553" s="5" t="s">
        <v>2332</v>
      </c>
      <c r="E1553" s="5" t="s">
        <v>620</v>
      </c>
      <c r="F1553" s="5" t="s">
        <v>171</v>
      </c>
      <c r="G1553" s="5" t="s">
        <v>172</v>
      </c>
      <c r="H1553" s="6">
        <f t="shared" si="308"/>
        <v>0</v>
      </c>
      <c r="I1553" s="6">
        <f t="shared" si="300"/>
        <v>1972000</v>
      </c>
      <c r="J1553" s="6">
        <v>374680</v>
      </c>
      <c r="K1553" s="6">
        <v>0</v>
      </c>
      <c r="L1553" s="6">
        <v>0</v>
      </c>
      <c r="M1553" s="6">
        <f t="shared" si="304"/>
        <v>1972000</v>
      </c>
      <c r="N1553" s="6">
        <f t="shared" si="305"/>
        <v>374680</v>
      </c>
      <c r="O1553" s="6">
        <f t="shared" si="301"/>
        <v>2346680</v>
      </c>
      <c r="P1553" s="6">
        <v>2346680</v>
      </c>
      <c r="Q1553" s="6">
        <f t="shared" si="309"/>
        <v>1972000</v>
      </c>
      <c r="R1553" s="6">
        <f t="shared" si="307"/>
        <v>49300</v>
      </c>
      <c r="T1553"/>
    </row>
    <row r="1554" spans="2:22" s="5" customFormat="1" x14ac:dyDescent="0.3">
      <c r="B1554" s="5" t="s">
        <v>16</v>
      </c>
      <c r="C1554" s="5" t="s">
        <v>2343</v>
      </c>
      <c r="D1554" s="5" t="s">
        <v>2332</v>
      </c>
      <c r="E1554" s="5" t="s">
        <v>620</v>
      </c>
      <c r="F1554" s="5" t="s">
        <v>171</v>
      </c>
      <c r="G1554" s="5" t="s">
        <v>172</v>
      </c>
      <c r="H1554" s="6">
        <f t="shared" si="308"/>
        <v>0.52631578966975212</v>
      </c>
      <c r="I1554" s="6">
        <f t="shared" si="300"/>
        <v>9108989.4736842103</v>
      </c>
      <c r="J1554" s="6">
        <v>1730708</v>
      </c>
      <c r="K1554" s="6">
        <v>0</v>
      </c>
      <c r="L1554" s="6">
        <v>0</v>
      </c>
      <c r="M1554" s="6">
        <f t="shared" si="304"/>
        <v>9108990</v>
      </c>
      <c r="N1554" s="6">
        <f t="shared" si="305"/>
        <v>1730708</v>
      </c>
      <c r="O1554" s="6">
        <f t="shared" si="301"/>
        <v>10839698</v>
      </c>
      <c r="P1554" s="6">
        <v>10839698</v>
      </c>
      <c r="Q1554" s="6">
        <f t="shared" si="309"/>
        <v>9108990</v>
      </c>
      <c r="R1554" s="6">
        <f t="shared" si="307"/>
        <v>227724.75</v>
      </c>
      <c r="T1554"/>
      <c r="U1554" s="9"/>
    </row>
    <row r="1555" spans="2:22" s="5" customFormat="1" x14ac:dyDescent="0.3">
      <c r="B1555" s="5" t="s">
        <v>16</v>
      </c>
      <c r="C1555" s="5" t="s">
        <v>2344</v>
      </c>
      <c r="D1555" s="5" t="s">
        <v>2332</v>
      </c>
      <c r="E1555" s="5" t="s">
        <v>620</v>
      </c>
      <c r="F1555" s="5" t="s">
        <v>171</v>
      </c>
      <c r="G1555" s="5" t="s">
        <v>172</v>
      </c>
      <c r="H1555" s="6">
        <f t="shared" si="308"/>
        <v>-0.26315789483487606</v>
      </c>
      <c r="I1555" s="6">
        <f t="shared" si="300"/>
        <v>11514405.263157895</v>
      </c>
      <c r="J1555" s="6">
        <v>2187737</v>
      </c>
      <c r="K1555" s="6">
        <v>0</v>
      </c>
      <c r="L1555" s="6">
        <v>0</v>
      </c>
      <c r="M1555" s="6">
        <f t="shared" si="304"/>
        <v>11514405</v>
      </c>
      <c r="N1555" s="6">
        <f t="shared" si="305"/>
        <v>2187737</v>
      </c>
      <c r="O1555" s="6">
        <f t="shared" si="301"/>
        <v>13702142</v>
      </c>
      <c r="P1555" s="6">
        <v>13702142</v>
      </c>
      <c r="Q1555" s="6">
        <f t="shared" si="309"/>
        <v>11514405</v>
      </c>
      <c r="R1555" s="6">
        <f t="shared" si="307"/>
        <v>287860.125</v>
      </c>
      <c r="T1555"/>
      <c r="U1555" s="7"/>
      <c r="V1555" s="7"/>
    </row>
    <row r="1556" spans="2:22" s="5" customFormat="1" x14ac:dyDescent="0.3">
      <c r="B1556" s="5" t="s">
        <v>16</v>
      </c>
      <c r="C1556" s="5" t="s">
        <v>2345</v>
      </c>
      <c r="D1556" s="5" t="s">
        <v>2332</v>
      </c>
      <c r="E1556" s="5" t="s">
        <v>620</v>
      </c>
      <c r="F1556" s="5" t="s">
        <v>171</v>
      </c>
      <c r="G1556" s="5" t="s">
        <v>172</v>
      </c>
      <c r="H1556" s="6">
        <f t="shared" si="308"/>
        <v>2.6842105258256197</v>
      </c>
      <c r="I1556" s="6">
        <f t="shared" si="300"/>
        <v>12579226.315789474</v>
      </c>
      <c r="J1556" s="6">
        <v>2390053</v>
      </c>
      <c r="K1556" s="6">
        <v>0</v>
      </c>
      <c r="L1556" s="6">
        <v>0</v>
      </c>
      <c r="M1556" s="6">
        <f t="shared" si="304"/>
        <v>12579229</v>
      </c>
      <c r="N1556" s="6">
        <f t="shared" si="305"/>
        <v>2390053</v>
      </c>
      <c r="O1556" s="6">
        <f t="shared" si="301"/>
        <v>14969282</v>
      </c>
      <c r="P1556" s="6">
        <v>14969282</v>
      </c>
      <c r="Q1556" s="6">
        <f t="shared" si="309"/>
        <v>12579229</v>
      </c>
      <c r="R1556" s="6">
        <f t="shared" si="307"/>
        <v>314480.72499999998</v>
      </c>
      <c r="T1556"/>
    </row>
    <row r="1557" spans="2:22" s="5" customFormat="1" x14ac:dyDescent="0.3">
      <c r="B1557" s="5" t="s">
        <v>16</v>
      </c>
      <c r="C1557" s="5" t="s">
        <v>2346</v>
      </c>
      <c r="D1557" s="5" t="s">
        <v>2332</v>
      </c>
      <c r="E1557" s="5" t="s">
        <v>620</v>
      </c>
      <c r="F1557" s="5" t="s">
        <v>171</v>
      </c>
      <c r="G1557" s="5" t="s">
        <v>172</v>
      </c>
      <c r="H1557" s="6">
        <f t="shared" si="308"/>
        <v>460799.05263157934</v>
      </c>
      <c r="I1557" s="6">
        <f t="shared" si="300"/>
        <v>19765978.947368421</v>
      </c>
      <c r="J1557" s="6">
        <v>3755536</v>
      </c>
      <c r="K1557" s="6">
        <v>0</v>
      </c>
      <c r="L1557" s="6">
        <v>0</v>
      </c>
      <c r="M1557" s="6">
        <f t="shared" si="304"/>
        <v>20226778</v>
      </c>
      <c r="N1557" s="6">
        <f t="shared" si="305"/>
        <v>3755536</v>
      </c>
      <c r="O1557" s="6">
        <f t="shared" si="301"/>
        <v>23982314</v>
      </c>
      <c r="P1557" s="6">
        <v>23982314</v>
      </c>
      <c r="Q1557" s="6">
        <f t="shared" si="309"/>
        <v>20226778</v>
      </c>
      <c r="R1557" s="6">
        <f t="shared" si="307"/>
        <v>505669.45</v>
      </c>
      <c r="T1557"/>
    </row>
    <row r="1558" spans="2:22" s="5" customFormat="1" x14ac:dyDescent="0.3">
      <c r="B1558" s="5" t="s">
        <v>16</v>
      </c>
      <c r="C1558" s="5" t="s">
        <v>2347</v>
      </c>
      <c r="D1558" s="5" t="s">
        <v>2332</v>
      </c>
      <c r="E1558" s="5" t="s">
        <v>909</v>
      </c>
      <c r="F1558" s="5" t="s">
        <v>171</v>
      </c>
      <c r="G1558" s="5" t="s">
        <v>172</v>
      </c>
      <c r="H1558" s="6">
        <v>0</v>
      </c>
      <c r="I1558" s="6">
        <f t="shared" si="300"/>
        <v>0</v>
      </c>
      <c r="J1558" s="6">
        <v>0</v>
      </c>
      <c r="K1558" s="6">
        <v>0</v>
      </c>
      <c r="L1558" s="6">
        <v>0</v>
      </c>
      <c r="M1558" s="6">
        <f t="shared" si="304"/>
        <v>0</v>
      </c>
      <c r="N1558" s="6">
        <f t="shared" si="305"/>
        <v>0</v>
      </c>
      <c r="O1558" s="6">
        <f t="shared" si="301"/>
        <v>0</v>
      </c>
      <c r="P1558" s="6">
        <v>65900927</v>
      </c>
      <c r="Q1558" s="6">
        <f t="shared" si="309"/>
        <v>0</v>
      </c>
      <c r="R1558" s="6">
        <f t="shared" si="307"/>
        <v>0</v>
      </c>
      <c r="S1558" s="9"/>
      <c r="T1558"/>
    </row>
    <row r="1559" spans="2:22" s="5" customFormat="1" x14ac:dyDescent="0.3">
      <c r="B1559" s="5" t="s">
        <v>16</v>
      </c>
      <c r="C1559" s="5" t="s">
        <v>2348</v>
      </c>
      <c r="D1559" s="5" t="s">
        <v>2332</v>
      </c>
      <c r="E1559" s="5" t="s">
        <v>909</v>
      </c>
      <c r="F1559" s="5" t="s">
        <v>171</v>
      </c>
      <c r="G1559" s="5" t="s">
        <v>172</v>
      </c>
      <c r="H1559" s="6">
        <v>0</v>
      </c>
      <c r="I1559" s="6">
        <f t="shared" si="300"/>
        <v>0</v>
      </c>
      <c r="J1559" s="6">
        <v>0</v>
      </c>
      <c r="K1559" s="6">
        <v>0</v>
      </c>
      <c r="L1559" s="6">
        <v>0</v>
      </c>
      <c r="M1559" s="6">
        <f t="shared" si="304"/>
        <v>0</v>
      </c>
      <c r="N1559" s="6">
        <f t="shared" si="305"/>
        <v>0</v>
      </c>
      <c r="O1559" s="6">
        <f t="shared" si="301"/>
        <v>0</v>
      </c>
      <c r="P1559" s="6">
        <v>8317944</v>
      </c>
      <c r="Q1559" s="6">
        <f t="shared" si="309"/>
        <v>0</v>
      </c>
      <c r="R1559" s="6">
        <f t="shared" si="307"/>
        <v>0</v>
      </c>
      <c r="S1559" s="9"/>
      <c r="T1559"/>
    </row>
    <row r="1560" spans="2:22" s="5" customFormat="1" x14ac:dyDescent="0.3">
      <c r="B1560" s="5" t="s">
        <v>16</v>
      </c>
      <c r="C1560" s="5" t="s">
        <v>2349</v>
      </c>
      <c r="D1560" s="5" t="s">
        <v>2332</v>
      </c>
      <c r="E1560" s="5" t="s">
        <v>890</v>
      </c>
      <c r="F1560" s="5" t="s">
        <v>171</v>
      </c>
      <c r="G1560" s="5" t="s">
        <v>172</v>
      </c>
      <c r="H1560" s="6">
        <v>0</v>
      </c>
      <c r="I1560" s="6">
        <f t="shared" si="300"/>
        <v>2470336.8421052629</v>
      </c>
      <c r="J1560" s="6">
        <v>469364</v>
      </c>
      <c r="K1560" s="6">
        <v>0</v>
      </c>
      <c r="L1560" s="6">
        <v>0</v>
      </c>
      <c r="M1560" s="6">
        <f t="shared" si="304"/>
        <v>2470336.8421052629</v>
      </c>
      <c r="N1560" s="6">
        <f t="shared" si="305"/>
        <v>469364</v>
      </c>
      <c r="O1560" s="6">
        <f t="shared" si="301"/>
        <v>2939700.8421052629</v>
      </c>
      <c r="P1560" s="6">
        <v>2939702</v>
      </c>
      <c r="Q1560" s="6">
        <f t="shared" si="309"/>
        <v>2470336.8421052629</v>
      </c>
      <c r="R1560" s="6">
        <f t="shared" si="307"/>
        <v>61758.421052631566</v>
      </c>
      <c r="T1560"/>
    </row>
    <row r="1561" spans="2:22" s="5" customFormat="1" x14ac:dyDescent="0.3">
      <c r="B1561" s="5" t="s">
        <v>16</v>
      </c>
      <c r="C1561" s="5" t="s">
        <v>2350</v>
      </c>
      <c r="D1561" s="5" t="s">
        <v>2332</v>
      </c>
      <c r="E1561" s="5" t="s">
        <v>909</v>
      </c>
      <c r="F1561" s="5" t="s">
        <v>171</v>
      </c>
      <c r="G1561" s="5" t="s">
        <v>172</v>
      </c>
      <c r="H1561" s="6">
        <v>0</v>
      </c>
      <c r="I1561" s="6">
        <f t="shared" si="300"/>
        <v>8927347.3684210517</v>
      </c>
      <c r="J1561" s="6">
        <v>1696196</v>
      </c>
      <c r="K1561" s="6">
        <v>0</v>
      </c>
      <c r="L1561" s="6">
        <v>0</v>
      </c>
      <c r="M1561" s="6">
        <f t="shared" si="304"/>
        <v>8927347.3684210517</v>
      </c>
      <c r="N1561" s="6">
        <f t="shared" si="305"/>
        <v>1696196</v>
      </c>
      <c r="O1561" s="6">
        <f t="shared" si="301"/>
        <v>10623543.368421052</v>
      </c>
      <c r="P1561" s="6">
        <v>10623541</v>
      </c>
      <c r="Q1561" s="6">
        <f t="shared" si="309"/>
        <v>8927347.3684210517</v>
      </c>
      <c r="R1561" s="6">
        <f t="shared" si="307"/>
        <v>223183.68421052626</v>
      </c>
      <c r="S1561" s="9"/>
      <c r="T1561"/>
    </row>
    <row r="1562" spans="2:22" s="5" customFormat="1" x14ac:dyDescent="0.3">
      <c r="B1562" s="5" t="s">
        <v>16</v>
      </c>
      <c r="C1562" s="5" t="s">
        <v>2351</v>
      </c>
      <c r="D1562" s="5" t="s">
        <v>2332</v>
      </c>
      <c r="E1562" s="5" t="s">
        <v>890</v>
      </c>
      <c r="F1562" s="5" t="s">
        <v>171</v>
      </c>
      <c r="G1562" s="5" t="s">
        <v>172</v>
      </c>
      <c r="H1562" s="6">
        <v>0</v>
      </c>
      <c r="I1562" s="6">
        <f t="shared" si="300"/>
        <v>9221784.2105263155</v>
      </c>
      <c r="J1562" s="6">
        <v>1752139</v>
      </c>
      <c r="K1562" s="6">
        <v>0</v>
      </c>
      <c r="L1562" s="6">
        <v>0</v>
      </c>
      <c r="M1562" s="6">
        <f t="shared" si="304"/>
        <v>9221784.2105263155</v>
      </c>
      <c r="N1562" s="6">
        <f t="shared" si="305"/>
        <v>1752139</v>
      </c>
      <c r="O1562" s="6">
        <f t="shared" si="301"/>
        <v>10973923.210526315</v>
      </c>
      <c r="P1562" s="6">
        <v>10973925</v>
      </c>
      <c r="Q1562" s="6">
        <f t="shared" si="309"/>
        <v>9221784.2105263155</v>
      </c>
      <c r="R1562" s="6">
        <f t="shared" si="307"/>
        <v>230544.60526315789</v>
      </c>
      <c r="S1562" s="9"/>
      <c r="T1562"/>
    </row>
    <row r="1563" spans="2:22" s="5" customFormat="1" x14ac:dyDescent="0.3">
      <c r="B1563" s="5" t="s">
        <v>16</v>
      </c>
      <c r="C1563" s="5" t="s">
        <v>2352</v>
      </c>
      <c r="D1563" s="5" t="s">
        <v>2332</v>
      </c>
      <c r="E1563" s="5" t="s">
        <v>253</v>
      </c>
      <c r="F1563" s="5" t="s">
        <v>171</v>
      </c>
      <c r="G1563" s="5" t="s">
        <v>172</v>
      </c>
      <c r="H1563" s="6">
        <f>+P1563-I1563-J1563</f>
        <v>3.4210526315728202</v>
      </c>
      <c r="I1563" s="6">
        <f t="shared" si="300"/>
        <v>336131.57894736843</v>
      </c>
      <c r="J1563" s="6">
        <v>63865</v>
      </c>
      <c r="K1563" s="6">
        <v>0</v>
      </c>
      <c r="L1563" s="6">
        <v>0</v>
      </c>
      <c r="M1563" s="6">
        <f t="shared" si="304"/>
        <v>336135</v>
      </c>
      <c r="N1563" s="6">
        <f t="shared" si="305"/>
        <v>63865</v>
      </c>
      <c r="O1563" s="6">
        <f t="shared" si="301"/>
        <v>400000</v>
      </c>
      <c r="P1563" s="6">
        <v>400000</v>
      </c>
      <c r="Q1563" s="6">
        <v>0</v>
      </c>
      <c r="R1563" s="6">
        <f t="shared" si="307"/>
        <v>0</v>
      </c>
      <c r="S1563" s="9"/>
      <c r="T1563"/>
    </row>
    <row r="1564" spans="2:22" s="5" customFormat="1" x14ac:dyDescent="0.3">
      <c r="B1564" s="5" t="s">
        <v>16</v>
      </c>
      <c r="C1564" s="5" t="s">
        <v>2353</v>
      </c>
      <c r="D1564" s="5" t="s">
        <v>2332</v>
      </c>
      <c r="E1564" s="5" t="s">
        <v>1060</v>
      </c>
      <c r="F1564" s="5" t="s">
        <v>171</v>
      </c>
      <c r="G1564" s="5" t="s">
        <v>172</v>
      </c>
      <c r="H1564" s="6">
        <f>+P1564-I1564-J1564</f>
        <v>-1.368421052582562</v>
      </c>
      <c r="I1564" s="6">
        <f t="shared" si="300"/>
        <v>4898547.3684210526</v>
      </c>
      <c r="J1564" s="6">
        <v>930724</v>
      </c>
      <c r="K1564" s="6">
        <v>0</v>
      </c>
      <c r="L1564" s="6">
        <v>0</v>
      </c>
      <c r="M1564" s="6">
        <f t="shared" si="304"/>
        <v>4898546</v>
      </c>
      <c r="N1564" s="6">
        <f t="shared" si="305"/>
        <v>930724</v>
      </c>
      <c r="O1564" s="6">
        <f t="shared" si="301"/>
        <v>5829270</v>
      </c>
      <c r="P1564" s="6">
        <v>5829270</v>
      </c>
      <c r="Q1564" s="6">
        <f>+M1564</f>
        <v>4898546</v>
      </c>
      <c r="R1564" s="6">
        <f t="shared" si="307"/>
        <v>122463.65</v>
      </c>
      <c r="S1564" s="9"/>
      <c r="T1564"/>
    </row>
    <row r="1565" spans="2:22" s="5" customFormat="1" x14ac:dyDescent="0.3">
      <c r="B1565" s="5" t="s">
        <v>16</v>
      </c>
      <c r="C1565" s="5" t="s">
        <v>2354</v>
      </c>
      <c r="D1565" s="5" t="s">
        <v>2355</v>
      </c>
      <c r="E1565" s="5" t="s">
        <v>533</v>
      </c>
      <c r="F1565" s="5" t="s">
        <v>171</v>
      </c>
      <c r="G1565" s="5" t="s">
        <v>2356</v>
      </c>
      <c r="H1565" s="6">
        <v>1.5789473720360547E-2</v>
      </c>
      <c r="I1565" s="6">
        <f t="shared" si="300"/>
        <v>268066.68421052629</v>
      </c>
      <c r="J1565" s="6">
        <v>50932.67</v>
      </c>
      <c r="K1565" s="6">
        <v>0</v>
      </c>
      <c r="L1565" s="6">
        <v>0</v>
      </c>
      <c r="M1565" s="6">
        <f t="shared" si="304"/>
        <v>268066.7</v>
      </c>
      <c r="N1565" s="6">
        <f t="shared" si="305"/>
        <v>50932.67</v>
      </c>
      <c r="O1565" s="6">
        <f t="shared" si="301"/>
        <v>318999.37</v>
      </c>
      <c r="P1565" s="6">
        <v>318999.37</v>
      </c>
      <c r="Q1565" s="6">
        <v>0</v>
      </c>
      <c r="R1565" s="6">
        <f t="shared" si="307"/>
        <v>0</v>
      </c>
      <c r="T1565"/>
    </row>
    <row r="1566" spans="2:22" s="5" customFormat="1" x14ac:dyDescent="0.3">
      <c r="B1566" s="5" t="s">
        <v>16</v>
      </c>
      <c r="C1566" s="5" t="s">
        <v>2357</v>
      </c>
      <c r="D1566" s="5" t="s">
        <v>2355</v>
      </c>
      <c r="E1566" s="5" t="s">
        <v>1666</v>
      </c>
      <c r="F1566" s="5" t="s">
        <v>171</v>
      </c>
      <c r="G1566" s="5" t="s">
        <v>2356</v>
      </c>
      <c r="H1566" s="6">
        <v>2.1052631549537182E-2</v>
      </c>
      <c r="I1566" s="6">
        <f t="shared" ref="I1566:I1629" si="310">+J1566/19*100</f>
        <v>931161.57894736843</v>
      </c>
      <c r="J1566" s="6">
        <v>176920.7</v>
      </c>
      <c r="K1566" s="6">
        <v>0</v>
      </c>
      <c r="L1566" s="6">
        <v>0</v>
      </c>
      <c r="M1566" s="6">
        <f t="shared" si="304"/>
        <v>931161.59999999998</v>
      </c>
      <c r="N1566" s="6">
        <f t="shared" si="305"/>
        <v>176920.7</v>
      </c>
      <c r="O1566" s="6">
        <f t="shared" ref="O1566:O1629" si="311">+M1566+N1566</f>
        <v>1108082.3</v>
      </c>
      <c r="P1566" s="6">
        <v>1108082.3</v>
      </c>
      <c r="Q1566" s="6">
        <v>0</v>
      </c>
      <c r="R1566" s="6">
        <f t="shared" si="307"/>
        <v>0</v>
      </c>
      <c r="T1566"/>
    </row>
    <row r="1567" spans="2:22" s="5" customFormat="1" x14ac:dyDescent="0.3">
      <c r="B1567" s="5" t="s">
        <v>16</v>
      </c>
      <c r="C1567" s="5" t="s">
        <v>2358</v>
      </c>
      <c r="D1567" s="5" t="s">
        <v>2355</v>
      </c>
      <c r="E1567" s="5" t="s">
        <v>1666</v>
      </c>
      <c r="F1567" s="5" t="s">
        <v>171</v>
      </c>
      <c r="G1567" s="5" t="s">
        <v>2356</v>
      </c>
      <c r="H1567" s="6">
        <v>2.1052631549537182E-2</v>
      </c>
      <c r="I1567" s="6">
        <f t="shared" si="310"/>
        <v>961512.57894736843</v>
      </c>
      <c r="J1567" s="6">
        <v>182687.39</v>
      </c>
      <c r="K1567" s="6">
        <v>0</v>
      </c>
      <c r="L1567" s="6">
        <v>0</v>
      </c>
      <c r="M1567" s="6">
        <f t="shared" si="304"/>
        <v>961512.6</v>
      </c>
      <c r="N1567" s="6">
        <f t="shared" si="305"/>
        <v>182687.39</v>
      </c>
      <c r="O1567" s="6">
        <f t="shared" si="311"/>
        <v>1144199.99</v>
      </c>
      <c r="P1567" s="6">
        <v>1144199.99</v>
      </c>
      <c r="Q1567" s="6">
        <v>0</v>
      </c>
      <c r="R1567" s="6">
        <f t="shared" si="307"/>
        <v>0</v>
      </c>
      <c r="T1567"/>
    </row>
    <row r="1568" spans="2:22" s="5" customFormat="1" x14ac:dyDescent="0.3">
      <c r="B1568" s="5" t="s">
        <v>16</v>
      </c>
      <c r="C1568" s="5" t="s">
        <v>2359</v>
      </c>
      <c r="D1568" s="5" t="s">
        <v>2355</v>
      </c>
      <c r="E1568" s="5" t="s">
        <v>549</v>
      </c>
      <c r="F1568" s="5" t="s">
        <v>171</v>
      </c>
      <c r="G1568" s="5" t="s">
        <v>2356</v>
      </c>
      <c r="H1568" s="6">
        <v>550607.87157894764</v>
      </c>
      <c r="I1568" s="6">
        <f t="shared" si="310"/>
        <v>1578147.3684210526</v>
      </c>
      <c r="J1568" s="6">
        <v>299848</v>
      </c>
      <c r="K1568" s="6">
        <v>0</v>
      </c>
      <c r="L1568" s="6">
        <v>0</v>
      </c>
      <c r="M1568" s="6">
        <f t="shared" si="304"/>
        <v>2128755.2400000002</v>
      </c>
      <c r="N1568" s="6">
        <f t="shared" si="305"/>
        <v>299848</v>
      </c>
      <c r="O1568" s="6">
        <f t="shared" si="311"/>
        <v>2428603.2400000002</v>
      </c>
      <c r="P1568" s="6">
        <v>2428603.2400000002</v>
      </c>
      <c r="Q1568" s="6">
        <f t="shared" ref="Q1568:Q1573" si="312">+M1568</f>
        <v>2128755.2400000002</v>
      </c>
      <c r="R1568" s="6">
        <f t="shared" si="307"/>
        <v>53218.881000000008</v>
      </c>
      <c r="T1568"/>
    </row>
    <row r="1569" spans="2:22" s="5" customFormat="1" x14ac:dyDescent="0.3">
      <c r="B1569" s="5" t="s">
        <v>16</v>
      </c>
      <c r="C1569" s="5" t="s">
        <v>2360</v>
      </c>
      <c r="D1569" s="5" t="s">
        <v>2355</v>
      </c>
      <c r="E1569" s="5" t="s">
        <v>1666</v>
      </c>
      <c r="F1569" s="5" t="s">
        <v>171</v>
      </c>
      <c r="G1569" s="5" t="s">
        <v>2356</v>
      </c>
      <c r="H1569" s="6">
        <v>0.13894736813381314</v>
      </c>
      <c r="I1569" s="6">
        <f t="shared" si="310"/>
        <v>3078151.4210526319</v>
      </c>
      <c r="J1569" s="6">
        <v>584848.77</v>
      </c>
      <c r="K1569" s="6">
        <v>0</v>
      </c>
      <c r="L1569" s="6">
        <v>0</v>
      </c>
      <c r="M1569" s="6">
        <f t="shared" si="304"/>
        <v>3078151.56</v>
      </c>
      <c r="N1569" s="6">
        <f t="shared" si="305"/>
        <v>584848.77</v>
      </c>
      <c r="O1569" s="6">
        <f t="shared" si="311"/>
        <v>3663000.33</v>
      </c>
      <c r="P1569" s="6">
        <v>3663000.33</v>
      </c>
      <c r="Q1569" s="6">
        <f t="shared" si="312"/>
        <v>3078151.56</v>
      </c>
      <c r="R1569" s="6">
        <f t="shared" si="307"/>
        <v>76953.789000000004</v>
      </c>
      <c r="T1569"/>
    </row>
    <row r="1570" spans="2:22" s="5" customFormat="1" x14ac:dyDescent="0.3">
      <c r="B1570" s="5" t="s">
        <v>16</v>
      </c>
      <c r="C1570" s="5" t="s">
        <v>2361</v>
      </c>
      <c r="D1570" s="5" t="s">
        <v>2355</v>
      </c>
      <c r="E1570" s="5" t="s">
        <v>791</v>
      </c>
      <c r="F1570" s="5" t="s">
        <v>171</v>
      </c>
      <c r="G1570" s="5" t="s">
        <v>2356</v>
      </c>
      <c r="H1570" s="6">
        <v>2034480.1636842105</v>
      </c>
      <c r="I1570" s="6">
        <f t="shared" si="310"/>
        <v>1238644.5263157894</v>
      </c>
      <c r="J1570" s="6">
        <v>235342.46</v>
      </c>
      <c r="K1570" s="6">
        <v>0</v>
      </c>
      <c r="L1570" s="6">
        <v>0</v>
      </c>
      <c r="M1570" s="6">
        <f t="shared" si="304"/>
        <v>3273124.69</v>
      </c>
      <c r="N1570" s="6">
        <f t="shared" si="305"/>
        <v>235342.46</v>
      </c>
      <c r="O1570" s="6">
        <f t="shared" si="311"/>
        <v>3508467.15</v>
      </c>
      <c r="P1570" s="6">
        <v>3508467.15</v>
      </c>
      <c r="Q1570" s="6">
        <f t="shared" si="312"/>
        <v>3273124.69</v>
      </c>
      <c r="R1570" s="6">
        <f t="shared" si="307"/>
        <v>81828.117249999996</v>
      </c>
      <c r="T1570"/>
    </row>
    <row r="1571" spans="2:22" s="5" customFormat="1" x14ac:dyDescent="0.3">
      <c r="B1571" s="5" t="s">
        <v>16</v>
      </c>
      <c r="C1571" s="5" t="s">
        <v>2362</v>
      </c>
      <c r="D1571" s="5" t="s">
        <v>2355</v>
      </c>
      <c r="E1571" s="5" t="s">
        <v>230</v>
      </c>
      <c r="F1571" s="5" t="s">
        <v>171</v>
      </c>
      <c r="G1571" s="5" t="s">
        <v>2356</v>
      </c>
      <c r="H1571" s="6">
        <v>3870000</v>
      </c>
      <c r="I1571" s="6">
        <f t="shared" si="310"/>
        <v>0</v>
      </c>
      <c r="J1571" s="6">
        <v>0</v>
      </c>
      <c r="K1571" s="6">
        <v>0</v>
      </c>
      <c r="L1571" s="6">
        <v>0</v>
      </c>
      <c r="M1571" s="6">
        <f t="shared" si="304"/>
        <v>3870000</v>
      </c>
      <c r="N1571" s="6">
        <f t="shared" si="305"/>
        <v>0</v>
      </c>
      <c r="O1571" s="6">
        <f t="shared" si="311"/>
        <v>3870000</v>
      </c>
      <c r="P1571" s="6">
        <v>3870000</v>
      </c>
      <c r="Q1571" s="6">
        <f t="shared" si="312"/>
        <v>3870000</v>
      </c>
      <c r="R1571" s="6">
        <f t="shared" si="307"/>
        <v>96750</v>
      </c>
      <c r="T1571"/>
    </row>
    <row r="1572" spans="2:22" s="5" customFormat="1" x14ac:dyDescent="0.3">
      <c r="B1572" s="5" t="s">
        <v>16</v>
      </c>
      <c r="C1572" s="5" t="s">
        <v>2363</v>
      </c>
      <c r="D1572" s="5" t="s">
        <v>2355</v>
      </c>
      <c r="E1572" s="5" t="s">
        <v>230</v>
      </c>
      <c r="F1572" s="5" t="s">
        <v>171</v>
      </c>
      <c r="G1572" s="5" t="s">
        <v>2356</v>
      </c>
      <c r="H1572" s="6">
        <v>3870000</v>
      </c>
      <c r="I1572" s="6">
        <f t="shared" si="310"/>
        <v>0</v>
      </c>
      <c r="J1572" s="6">
        <v>0</v>
      </c>
      <c r="K1572" s="6">
        <v>0</v>
      </c>
      <c r="L1572" s="6">
        <v>0</v>
      </c>
      <c r="M1572" s="6">
        <f t="shared" si="304"/>
        <v>3870000</v>
      </c>
      <c r="N1572" s="6">
        <f t="shared" si="305"/>
        <v>0</v>
      </c>
      <c r="O1572" s="6">
        <f t="shared" si="311"/>
        <v>3870000</v>
      </c>
      <c r="P1572" s="6">
        <v>3870000</v>
      </c>
      <c r="Q1572" s="6">
        <f t="shared" si="312"/>
        <v>3870000</v>
      </c>
      <c r="R1572" s="6">
        <f t="shared" si="307"/>
        <v>96750</v>
      </c>
      <c r="T1572"/>
      <c r="U1572" s="9"/>
    </row>
    <row r="1573" spans="2:22" s="5" customFormat="1" x14ac:dyDescent="0.3">
      <c r="B1573" s="5" t="s">
        <v>16</v>
      </c>
      <c r="C1573" s="5" t="s">
        <v>2364</v>
      </c>
      <c r="D1573" s="5" t="s">
        <v>2355</v>
      </c>
      <c r="E1573" s="5" t="s">
        <v>1666</v>
      </c>
      <c r="F1573" s="5" t="s">
        <v>171</v>
      </c>
      <c r="G1573" s="5" t="s">
        <v>2356</v>
      </c>
      <c r="H1573" s="6">
        <v>9612000</v>
      </c>
      <c r="I1573" s="6">
        <f t="shared" si="310"/>
        <v>485295</v>
      </c>
      <c r="J1573" s="6">
        <v>92206.05</v>
      </c>
      <c r="K1573" s="6">
        <v>0</v>
      </c>
      <c r="L1573" s="6">
        <v>0</v>
      </c>
      <c r="M1573" s="6">
        <f t="shared" si="304"/>
        <v>10097295</v>
      </c>
      <c r="N1573" s="6">
        <f t="shared" si="305"/>
        <v>92206.05</v>
      </c>
      <c r="O1573" s="6">
        <f t="shared" si="311"/>
        <v>10189501.050000001</v>
      </c>
      <c r="P1573" s="6">
        <v>10189501.050000001</v>
      </c>
      <c r="Q1573" s="6">
        <f t="shared" si="312"/>
        <v>10097295</v>
      </c>
      <c r="R1573" s="6">
        <f t="shared" si="307"/>
        <v>252432.375</v>
      </c>
      <c r="T1573"/>
      <c r="U1573" s="9"/>
    </row>
    <row r="1574" spans="2:22" s="5" customFormat="1" x14ac:dyDescent="0.3">
      <c r="B1574" s="5" t="s">
        <v>16</v>
      </c>
      <c r="C1574" s="5" t="s">
        <v>2365</v>
      </c>
      <c r="D1574" s="5" t="s">
        <v>2355</v>
      </c>
      <c r="E1574" s="5" t="s">
        <v>932</v>
      </c>
      <c r="F1574" s="5" t="s">
        <v>171</v>
      </c>
      <c r="G1574" s="5" t="s">
        <v>2356</v>
      </c>
      <c r="H1574" s="6">
        <v>1296000</v>
      </c>
      <c r="I1574" s="6">
        <f t="shared" si="310"/>
        <v>0</v>
      </c>
      <c r="J1574" s="6">
        <v>0</v>
      </c>
      <c r="K1574" s="6"/>
      <c r="L1574" s="6"/>
      <c r="M1574" s="6">
        <f t="shared" ref="M1574:M1584" si="313">+H1574+I1574</f>
        <v>1296000</v>
      </c>
      <c r="N1574" s="6">
        <f t="shared" ref="N1574:N1584" si="314">+J1574</f>
        <v>0</v>
      </c>
      <c r="O1574" s="6">
        <f t="shared" si="311"/>
        <v>1296000</v>
      </c>
      <c r="P1574" s="6">
        <v>1296000</v>
      </c>
      <c r="Q1574" s="6"/>
      <c r="R1574" s="6">
        <f t="shared" si="307"/>
        <v>0</v>
      </c>
      <c r="T1574"/>
    </row>
    <row r="1575" spans="2:22" s="5" customFormat="1" x14ac:dyDescent="0.3">
      <c r="B1575" s="5" t="s">
        <v>16</v>
      </c>
      <c r="C1575" s="5" t="s">
        <v>2366</v>
      </c>
      <c r="D1575" s="5" t="s">
        <v>2355</v>
      </c>
      <c r="E1575" s="5" t="s">
        <v>938</v>
      </c>
      <c r="F1575" s="5" t="s">
        <v>171</v>
      </c>
      <c r="G1575" s="5" t="s">
        <v>2356</v>
      </c>
      <c r="H1575" s="6">
        <v>-3.1578947382513434E-3</v>
      </c>
      <c r="I1575" s="6">
        <f t="shared" si="310"/>
        <v>223230.26315789475</v>
      </c>
      <c r="J1575" s="6">
        <v>42413.75</v>
      </c>
      <c r="K1575" s="6"/>
      <c r="L1575" s="6"/>
      <c r="M1575" s="6">
        <f t="shared" si="313"/>
        <v>223230.26</v>
      </c>
      <c r="N1575" s="6">
        <f t="shared" si="314"/>
        <v>42413.75</v>
      </c>
      <c r="O1575" s="6">
        <f t="shared" si="311"/>
        <v>265644.01</v>
      </c>
      <c r="P1575" s="6">
        <v>265644.01</v>
      </c>
      <c r="Q1575" s="6"/>
      <c r="R1575" s="6">
        <f t="shared" si="307"/>
        <v>0</v>
      </c>
      <c r="T1575"/>
      <c r="U1575"/>
      <c r="V1575"/>
    </row>
    <row r="1576" spans="2:22" s="5" customFormat="1" x14ac:dyDescent="0.3">
      <c r="B1576" s="5" t="s">
        <v>16</v>
      </c>
      <c r="C1576" s="5" t="s">
        <v>2367</v>
      </c>
      <c r="D1576" s="5" t="s">
        <v>2355</v>
      </c>
      <c r="E1576" s="5" t="s">
        <v>671</v>
      </c>
      <c r="F1576" s="5" t="s">
        <v>171</v>
      </c>
      <c r="G1576" s="5" t="s">
        <v>2356</v>
      </c>
      <c r="H1576" s="6">
        <v>0</v>
      </c>
      <c r="I1576" s="6">
        <f t="shared" si="310"/>
        <v>1785882</v>
      </c>
      <c r="J1576" s="6">
        <v>339317.58</v>
      </c>
      <c r="K1576" s="6"/>
      <c r="L1576" s="6"/>
      <c r="M1576" s="6">
        <f t="shared" si="313"/>
        <v>1785882</v>
      </c>
      <c r="N1576" s="6">
        <f t="shared" si="314"/>
        <v>339317.58</v>
      </c>
      <c r="O1576" s="6">
        <f t="shared" si="311"/>
        <v>2125199.58</v>
      </c>
      <c r="P1576" s="6">
        <v>2125199.58</v>
      </c>
      <c r="Q1576" s="6">
        <f t="shared" ref="Q1576:Q1584" si="315">+M1576</f>
        <v>1785882</v>
      </c>
      <c r="R1576" s="6">
        <f t="shared" si="307"/>
        <v>44647.05</v>
      </c>
      <c r="S1576" s="7"/>
      <c r="T1576"/>
    </row>
    <row r="1577" spans="2:22" s="5" customFormat="1" x14ac:dyDescent="0.3">
      <c r="B1577" s="5" t="s">
        <v>16</v>
      </c>
      <c r="C1577" s="5" t="s">
        <v>2368</v>
      </c>
      <c r="D1577" s="5" t="s">
        <v>2355</v>
      </c>
      <c r="E1577" s="5" t="s">
        <v>1484</v>
      </c>
      <c r="F1577" s="5" t="s">
        <v>171</v>
      </c>
      <c r="G1577" s="5" t="s">
        <v>2356</v>
      </c>
      <c r="H1577" s="6">
        <v>527999.73578947387</v>
      </c>
      <c r="I1577" s="6">
        <f t="shared" si="310"/>
        <v>1474315.6842105261</v>
      </c>
      <c r="J1577" s="6">
        <v>280119.98</v>
      </c>
      <c r="K1577" s="6"/>
      <c r="L1577" s="6"/>
      <c r="M1577" s="6">
        <f t="shared" si="313"/>
        <v>2002315.42</v>
      </c>
      <c r="N1577" s="6">
        <f t="shared" si="314"/>
        <v>280119.98</v>
      </c>
      <c r="O1577" s="6">
        <f t="shared" si="311"/>
        <v>2282435.4</v>
      </c>
      <c r="P1577" s="6">
        <v>2282435.4</v>
      </c>
      <c r="Q1577" s="6">
        <f t="shared" si="315"/>
        <v>2002315.42</v>
      </c>
      <c r="R1577" s="6">
        <f t="shared" si="307"/>
        <v>50057.885499999997</v>
      </c>
      <c r="S1577" s="7"/>
      <c r="T1577"/>
      <c r="U1577" s="7"/>
      <c r="V1577" s="7"/>
    </row>
    <row r="1578" spans="2:22" s="5" customFormat="1" x14ac:dyDescent="0.3">
      <c r="B1578" s="5" t="s">
        <v>16</v>
      </c>
      <c r="C1578" s="5" t="s">
        <v>2369</v>
      </c>
      <c r="D1578" s="5" t="s">
        <v>2355</v>
      </c>
      <c r="E1578" s="5" t="s">
        <v>1271</v>
      </c>
      <c r="F1578" s="5" t="s">
        <v>171</v>
      </c>
      <c r="G1578" s="5" t="s">
        <v>2356</v>
      </c>
      <c r="H1578" s="6">
        <v>706239.9868421054</v>
      </c>
      <c r="I1578" s="6">
        <f t="shared" si="310"/>
        <v>1319131.2631578946</v>
      </c>
      <c r="J1578" s="6">
        <v>250634.94</v>
      </c>
      <c r="K1578" s="6"/>
      <c r="L1578" s="6"/>
      <c r="M1578" s="6">
        <f t="shared" si="313"/>
        <v>2025371.25</v>
      </c>
      <c r="N1578" s="6">
        <f t="shared" si="314"/>
        <v>250634.94</v>
      </c>
      <c r="O1578" s="6">
        <f t="shared" si="311"/>
        <v>2276006.19</v>
      </c>
      <c r="P1578" s="6">
        <v>2276006.19</v>
      </c>
      <c r="Q1578" s="6">
        <f t="shared" si="315"/>
        <v>2025371.25</v>
      </c>
      <c r="R1578" s="6">
        <f t="shared" si="307"/>
        <v>50634.28125</v>
      </c>
      <c r="S1578" s="7"/>
      <c r="T1578"/>
    </row>
    <row r="1579" spans="2:22" s="5" customFormat="1" x14ac:dyDescent="0.3">
      <c r="B1579" s="5" t="s">
        <v>16</v>
      </c>
      <c r="C1579" s="5" t="s">
        <v>2370</v>
      </c>
      <c r="D1579" s="5" t="s">
        <v>2355</v>
      </c>
      <c r="E1579" s="5" t="s">
        <v>671</v>
      </c>
      <c r="F1579" s="5" t="s">
        <v>171</v>
      </c>
      <c r="G1579" s="5" t="s">
        <v>2356</v>
      </c>
      <c r="H1579" s="6">
        <v>0.113684210809879</v>
      </c>
      <c r="I1579" s="6">
        <f t="shared" si="310"/>
        <v>2518487.5263157892</v>
      </c>
      <c r="J1579" s="6">
        <v>478512.63</v>
      </c>
      <c r="K1579" s="6"/>
      <c r="L1579" s="6"/>
      <c r="M1579" s="6">
        <f t="shared" si="313"/>
        <v>2518487.64</v>
      </c>
      <c r="N1579" s="6">
        <f t="shared" si="314"/>
        <v>478512.63</v>
      </c>
      <c r="O1579" s="6">
        <f t="shared" si="311"/>
        <v>2997000.27</v>
      </c>
      <c r="P1579" s="6">
        <v>2997000.27</v>
      </c>
      <c r="Q1579" s="6">
        <f t="shared" si="315"/>
        <v>2518487.64</v>
      </c>
      <c r="R1579" s="6">
        <f t="shared" si="307"/>
        <v>62962.191000000006</v>
      </c>
      <c r="T1579"/>
      <c r="U1579" s="9"/>
    </row>
    <row r="1580" spans="2:22" s="5" customFormat="1" x14ac:dyDescent="0.3">
      <c r="B1580" s="5" t="s">
        <v>16</v>
      </c>
      <c r="C1580" s="5" t="s">
        <v>2371</v>
      </c>
      <c r="D1580" s="5" t="s">
        <v>2355</v>
      </c>
      <c r="E1580" s="5" t="s">
        <v>671</v>
      </c>
      <c r="F1580" s="5" t="s">
        <v>171</v>
      </c>
      <c r="G1580" s="5" t="s">
        <v>2356</v>
      </c>
      <c r="H1580" s="6">
        <v>3420000</v>
      </c>
      <c r="I1580" s="6">
        <f t="shared" si="310"/>
        <v>0</v>
      </c>
      <c r="J1580" s="6">
        <v>0</v>
      </c>
      <c r="K1580" s="6"/>
      <c r="L1580" s="6"/>
      <c r="M1580" s="6">
        <f t="shared" si="313"/>
        <v>3420000</v>
      </c>
      <c r="N1580" s="6">
        <f t="shared" si="314"/>
        <v>0</v>
      </c>
      <c r="O1580" s="6">
        <f t="shared" si="311"/>
        <v>3420000</v>
      </c>
      <c r="P1580" s="6">
        <v>3420000</v>
      </c>
      <c r="Q1580" s="6">
        <f t="shared" si="315"/>
        <v>3420000</v>
      </c>
      <c r="R1580" s="6">
        <f t="shared" si="307"/>
        <v>85500</v>
      </c>
      <c r="T1580"/>
      <c r="U1580" s="9"/>
      <c r="V1580"/>
    </row>
    <row r="1581" spans="2:22" s="5" customFormat="1" x14ac:dyDescent="0.3">
      <c r="B1581" s="5" t="s">
        <v>16</v>
      </c>
      <c r="C1581" s="5" t="s">
        <v>2372</v>
      </c>
      <c r="D1581" s="5" t="s">
        <v>2355</v>
      </c>
      <c r="E1581" s="5" t="s">
        <v>932</v>
      </c>
      <c r="F1581" s="5" t="s">
        <v>171</v>
      </c>
      <c r="G1581" s="5" t="s">
        <v>2356</v>
      </c>
      <c r="H1581" s="6">
        <v>0</v>
      </c>
      <c r="I1581" s="6">
        <f t="shared" si="310"/>
        <v>3655461</v>
      </c>
      <c r="J1581" s="6">
        <v>694537.59</v>
      </c>
      <c r="K1581" s="6"/>
      <c r="L1581" s="6"/>
      <c r="M1581" s="6">
        <f t="shared" si="313"/>
        <v>3655461</v>
      </c>
      <c r="N1581" s="6">
        <f t="shared" si="314"/>
        <v>694537.59</v>
      </c>
      <c r="O1581" s="6">
        <f t="shared" si="311"/>
        <v>4349998.59</v>
      </c>
      <c r="P1581" s="6">
        <v>4349998.59</v>
      </c>
      <c r="Q1581" s="6">
        <f t="shared" si="315"/>
        <v>3655461</v>
      </c>
      <c r="R1581" s="6">
        <f t="shared" si="307"/>
        <v>91386.524999999994</v>
      </c>
      <c r="S1581"/>
      <c r="T1581"/>
      <c r="U1581" s="9"/>
    </row>
    <row r="1582" spans="2:22" s="5" customFormat="1" x14ac:dyDescent="0.3">
      <c r="B1582" s="5" t="s">
        <v>16</v>
      </c>
      <c r="C1582" s="5" t="s">
        <v>2373</v>
      </c>
      <c r="D1582" s="5" t="s">
        <v>2355</v>
      </c>
      <c r="E1582" s="5" t="s">
        <v>932</v>
      </c>
      <c r="F1582" s="5" t="s">
        <v>171</v>
      </c>
      <c r="G1582" s="5" t="s">
        <v>2356</v>
      </c>
      <c r="H1582" s="6">
        <v>3210255.96</v>
      </c>
      <c r="I1582" s="6">
        <f t="shared" si="310"/>
        <v>838477</v>
      </c>
      <c r="J1582" s="6">
        <v>159310.63</v>
      </c>
      <c r="K1582" s="6"/>
      <c r="L1582" s="6"/>
      <c r="M1582" s="6">
        <f t="shared" si="313"/>
        <v>4048732.96</v>
      </c>
      <c r="N1582" s="6">
        <f t="shared" si="314"/>
        <v>159310.63</v>
      </c>
      <c r="O1582" s="6">
        <f t="shared" si="311"/>
        <v>4208043.59</v>
      </c>
      <c r="P1582" s="6">
        <v>4208043.59</v>
      </c>
      <c r="Q1582" s="6">
        <f t="shared" si="315"/>
        <v>4048732.96</v>
      </c>
      <c r="R1582" s="6">
        <f t="shared" si="307"/>
        <v>101218.32400000001</v>
      </c>
      <c r="T1582"/>
      <c r="U1582" s="9"/>
    </row>
    <row r="1583" spans="2:22" s="5" customFormat="1" x14ac:dyDescent="0.3">
      <c r="B1583" s="5" t="s">
        <v>16</v>
      </c>
      <c r="C1583" s="5" t="s">
        <v>2374</v>
      </c>
      <c r="D1583" s="5" t="s">
        <v>2355</v>
      </c>
      <c r="E1583" s="5" t="s">
        <v>692</v>
      </c>
      <c r="F1583" s="5" t="s">
        <v>171</v>
      </c>
      <c r="G1583" s="5" t="s">
        <v>2356</v>
      </c>
      <c r="H1583" s="6">
        <v>0.22315789514686912</v>
      </c>
      <c r="I1583" s="6">
        <f t="shared" si="310"/>
        <v>4943697.7368421052</v>
      </c>
      <c r="J1583" s="6">
        <v>939302.57</v>
      </c>
      <c r="K1583" s="6"/>
      <c r="L1583" s="6"/>
      <c r="M1583" s="6">
        <f t="shared" si="313"/>
        <v>4943697.96</v>
      </c>
      <c r="N1583" s="6">
        <f t="shared" si="314"/>
        <v>939302.57</v>
      </c>
      <c r="O1583" s="6">
        <f t="shared" si="311"/>
        <v>5883000.5300000003</v>
      </c>
      <c r="P1583" s="6">
        <v>5883000.5300000003</v>
      </c>
      <c r="Q1583" s="6">
        <f t="shared" si="315"/>
        <v>4943697.96</v>
      </c>
      <c r="R1583" s="6">
        <f t="shared" si="307"/>
        <v>123592.44900000001</v>
      </c>
      <c r="T1583"/>
    </row>
    <row r="1584" spans="2:22" s="5" customFormat="1" x14ac:dyDescent="0.3">
      <c r="B1584" s="5" t="s">
        <v>16</v>
      </c>
      <c r="C1584" s="5" t="s">
        <v>2375</v>
      </c>
      <c r="D1584" s="5" t="s">
        <v>2376</v>
      </c>
      <c r="E1584" s="5" t="s">
        <v>1271</v>
      </c>
      <c r="F1584" s="5" t="s">
        <v>171</v>
      </c>
      <c r="G1584" s="5" t="s">
        <v>2356</v>
      </c>
      <c r="H1584" s="6">
        <v>0</v>
      </c>
      <c r="I1584" s="6">
        <f t="shared" si="310"/>
        <v>24327721.000000004</v>
      </c>
      <c r="J1584" s="6">
        <v>4622266.99</v>
      </c>
      <c r="K1584" s="6"/>
      <c r="L1584" s="6"/>
      <c r="M1584" s="6">
        <f t="shared" si="313"/>
        <v>24327721.000000004</v>
      </c>
      <c r="N1584" s="6">
        <f t="shared" si="314"/>
        <v>4622266.99</v>
      </c>
      <c r="O1584" s="6">
        <f t="shared" si="311"/>
        <v>28949987.990000002</v>
      </c>
      <c r="P1584" s="6">
        <v>28949987.989999998</v>
      </c>
      <c r="Q1584" s="6">
        <f t="shared" si="315"/>
        <v>24327721.000000004</v>
      </c>
      <c r="R1584" s="6">
        <f t="shared" si="307"/>
        <v>608193.02500000002</v>
      </c>
      <c r="T1584"/>
    </row>
    <row r="1585" spans="2:22" s="5" customFormat="1" x14ac:dyDescent="0.3">
      <c r="B1585" s="7" t="s">
        <v>16</v>
      </c>
      <c r="C1585" s="7" t="s">
        <v>2377</v>
      </c>
      <c r="D1585" s="7" t="s">
        <v>2355</v>
      </c>
      <c r="E1585" s="7" t="s">
        <v>825</v>
      </c>
      <c r="F1585" s="7" t="s">
        <v>171</v>
      </c>
      <c r="G1585" s="7" t="s">
        <v>2356</v>
      </c>
      <c r="H1585" s="8">
        <f t="shared" ref="H1585:H1607" si="316">+P1585-I1585-J1585</f>
        <v>1.2631578938453458E-2</v>
      </c>
      <c r="I1585" s="8">
        <f t="shared" si="310"/>
        <v>471023.94736842107</v>
      </c>
      <c r="J1585" s="8">
        <v>89494.55</v>
      </c>
      <c r="K1585" s="8">
        <v>0</v>
      </c>
      <c r="L1585" s="8">
        <v>0</v>
      </c>
      <c r="M1585" s="8">
        <f>+I1585+H1585</f>
        <v>471023.96</v>
      </c>
      <c r="N1585" s="8">
        <f t="shared" ref="N1585:N1595" si="317">+J1585+L1585</f>
        <v>89494.55</v>
      </c>
      <c r="O1585" s="8">
        <f t="shared" si="311"/>
        <v>560518.51</v>
      </c>
      <c r="P1585" s="8">
        <v>560518.51</v>
      </c>
      <c r="Q1585" s="8">
        <v>0</v>
      </c>
      <c r="R1585" s="8">
        <f t="shared" si="307"/>
        <v>0</v>
      </c>
      <c r="T1585"/>
    </row>
    <row r="1586" spans="2:22" s="5" customFormat="1" x14ac:dyDescent="0.3">
      <c r="B1586" s="7" t="s">
        <v>16</v>
      </c>
      <c r="C1586" s="7" t="s">
        <v>2378</v>
      </c>
      <c r="D1586" s="7" t="s">
        <v>2355</v>
      </c>
      <c r="E1586" s="7" t="s">
        <v>1278</v>
      </c>
      <c r="F1586" s="7" t="s">
        <v>171</v>
      </c>
      <c r="G1586" s="7" t="s">
        <v>2356</v>
      </c>
      <c r="H1586" s="8">
        <f t="shared" si="316"/>
        <v>1.3684210134670138E-2</v>
      </c>
      <c r="I1586" s="8">
        <f t="shared" si="310"/>
        <v>2440756.5263157897</v>
      </c>
      <c r="J1586" s="8">
        <v>463743.74</v>
      </c>
      <c r="K1586" s="8">
        <v>0</v>
      </c>
      <c r="L1586" s="8">
        <v>0</v>
      </c>
      <c r="M1586" s="8">
        <f>+I1586+H1586</f>
        <v>2440756.54</v>
      </c>
      <c r="N1586" s="8">
        <f t="shared" si="317"/>
        <v>463743.74</v>
      </c>
      <c r="O1586" s="8">
        <f t="shared" si="311"/>
        <v>2904500.2800000003</v>
      </c>
      <c r="P1586" s="8">
        <v>2904500.28</v>
      </c>
      <c r="Q1586" s="8">
        <f>+M1586</f>
        <v>2440756.54</v>
      </c>
      <c r="R1586" s="8">
        <f t="shared" si="307"/>
        <v>61018.913499999995</v>
      </c>
      <c r="T1586"/>
    </row>
    <row r="1587" spans="2:22" s="5" customFormat="1" x14ac:dyDescent="0.3">
      <c r="B1587" s="7" t="s">
        <v>16</v>
      </c>
      <c r="C1587" s="7" t="s">
        <v>2379</v>
      </c>
      <c r="D1587" s="7" t="s">
        <v>2355</v>
      </c>
      <c r="E1587" s="7" t="s">
        <v>825</v>
      </c>
      <c r="F1587" s="7" t="s">
        <v>171</v>
      </c>
      <c r="G1587" s="7" t="s">
        <v>2356</v>
      </c>
      <c r="H1587" s="8">
        <f t="shared" si="316"/>
        <v>0.10105263150762767</v>
      </c>
      <c r="I1587" s="8">
        <f t="shared" si="310"/>
        <v>3015966.5789473685</v>
      </c>
      <c r="J1587" s="8">
        <v>573033.65</v>
      </c>
      <c r="K1587" s="8">
        <v>0</v>
      </c>
      <c r="L1587" s="8">
        <v>0</v>
      </c>
      <c r="M1587" s="8">
        <f>+I1587+H1587</f>
        <v>3015966.68</v>
      </c>
      <c r="N1587" s="8">
        <f t="shared" si="317"/>
        <v>573033.65</v>
      </c>
      <c r="O1587" s="8">
        <f t="shared" si="311"/>
        <v>3589000.33</v>
      </c>
      <c r="P1587" s="8">
        <v>3589000.33</v>
      </c>
      <c r="Q1587" s="8">
        <f>+M1587</f>
        <v>3015966.68</v>
      </c>
      <c r="R1587" s="8">
        <f t="shared" si="307"/>
        <v>75399.167000000001</v>
      </c>
      <c r="T1587"/>
    </row>
    <row r="1588" spans="2:22" s="5" customFormat="1" x14ac:dyDescent="0.3">
      <c r="B1588" s="5" t="s">
        <v>16</v>
      </c>
      <c r="C1588" s="5" t="s">
        <v>2380</v>
      </c>
      <c r="D1588" s="5" t="s">
        <v>2355</v>
      </c>
      <c r="E1588" s="5" t="s">
        <v>361</v>
      </c>
      <c r="F1588" s="5" t="s">
        <v>171</v>
      </c>
      <c r="G1588" s="5" t="s">
        <v>2356</v>
      </c>
      <c r="H1588" s="6">
        <f t="shared" si="316"/>
        <v>-0.23210526311595459</v>
      </c>
      <c r="I1588" s="6">
        <f t="shared" si="310"/>
        <v>480352.84210526315</v>
      </c>
      <c r="J1588" s="6">
        <v>91267.04</v>
      </c>
      <c r="K1588" s="6">
        <v>0</v>
      </c>
      <c r="L1588" s="6">
        <v>0</v>
      </c>
      <c r="M1588" s="6">
        <f t="shared" ref="M1588:M1609" si="318">+H1588+I1588+K1588</f>
        <v>480352.61000000004</v>
      </c>
      <c r="N1588" s="6">
        <f t="shared" si="317"/>
        <v>91267.04</v>
      </c>
      <c r="O1588" s="6">
        <f t="shared" si="311"/>
        <v>571619.65</v>
      </c>
      <c r="P1588" s="6">
        <v>571619.65</v>
      </c>
      <c r="Q1588" s="6"/>
      <c r="R1588" s="6">
        <f t="shared" si="307"/>
        <v>0</v>
      </c>
      <c r="T1588"/>
      <c r="U1588" s="7"/>
      <c r="V1588" s="7"/>
    </row>
    <row r="1589" spans="2:22" s="5" customFormat="1" x14ac:dyDescent="0.3">
      <c r="B1589" s="5" t="s">
        <v>16</v>
      </c>
      <c r="C1589" s="5" t="s">
        <v>2381</v>
      </c>
      <c r="D1589" s="5" t="s">
        <v>2355</v>
      </c>
      <c r="E1589" s="5" t="s">
        <v>361</v>
      </c>
      <c r="F1589" s="5" t="s">
        <v>171</v>
      </c>
      <c r="G1589" s="5" t="s">
        <v>2356</v>
      </c>
      <c r="H1589" s="6">
        <f t="shared" si="316"/>
        <v>-7.3684210074134171E-3</v>
      </c>
      <c r="I1589" s="6">
        <f t="shared" si="310"/>
        <v>682352.94736842101</v>
      </c>
      <c r="J1589" s="6">
        <v>129647.06</v>
      </c>
      <c r="K1589" s="6">
        <v>0</v>
      </c>
      <c r="L1589" s="6">
        <v>0</v>
      </c>
      <c r="M1589" s="6">
        <f t="shared" si="318"/>
        <v>682352.94</v>
      </c>
      <c r="N1589" s="6">
        <f t="shared" si="317"/>
        <v>129647.06</v>
      </c>
      <c r="O1589" s="6">
        <f t="shared" si="311"/>
        <v>812000</v>
      </c>
      <c r="P1589" s="6">
        <v>812000</v>
      </c>
      <c r="Q1589" s="6"/>
      <c r="R1589" s="6">
        <f t="shared" si="307"/>
        <v>0</v>
      </c>
      <c r="T1589"/>
      <c r="U1589" s="7"/>
      <c r="V1589" s="7"/>
    </row>
    <row r="1590" spans="2:22" x14ac:dyDescent="0.3">
      <c r="B1590" s="5" t="s">
        <v>16</v>
      </c>
      <c r="C1590" s="5" t="s">
        <v>2382</v>
      </c>
      <c r="D1590" s="5" t="s">
        <v>2355</v>
      </c>
      <c r="E1590" s="5" t="s">
        <v>836</v>
      </c>
      <c r="F1590" s="5" t="s">
        <v>171</v>
      </c>
      <c r="G1590" s="5" t="s">
        <v>2356</v>
      </c>
      <c r="H1590" s="6">
        <f t="shared" si="316"/>
        <v>0.17263157881097868</v>
      </c>
      <c r="I1590" s="6">
        <f t="shared" si="310"/>
        <v>1074323.9473684211</v>
      </c>
      <c r="J1590" s="6">
        <v>204121.55</v>
      </c>
      <c r="K1590" s="6">
        <v>0</v>
      </c>
      <c r="L1590" s="6">
        <v>0</v>
      </c>
      <c r="M1590" s="6">
        <f t="shared" si="318"/>
        <v>1074324.1199999999</v>
      </c>
      <c r="N1590" s="6">
        <f t="shared" si="317"/>
        <v>204121.55</v>
      </c>
      <c r="O1590" s="6">
        <f t="shared" si="311"/>
        <v>1278445.67</v>
      </c>
      <c r="P1590" s="6">
        <v>1278445.67</v>
      </c>
      <c r="Q1590" s="6"/>
      <c r="R1590" s="6">
        <f t="shared" si="307"/>
        <v>0</v>
      </c>
      <c r="S1590" s="5"/>
      <c r="U1590" s="7"/>
      <c r="V1590" s="7"/>
    </row>
    <row r="1591" spans="2:22" s="5" customFormat="1" x14ac:dyDescent="0.3">
      <c r="B1591" s="5" t="s">
        <v>16</v>
      </c>
      <c r="C1591" s="5" t="s">
        <v>2383</v>
      </c>
      <c r="D1591" s="5" t="s">
        <v>2355</v>
      </c>
      <c r="E1591" s="5" t="s">
        <v>293</v>
      </c>
      <c r="F1591" s="5" t="s">
        <v>171</v>
      </c>
      <c r="G1591" s="5" t="s">
        <v>2356</v>
      </c>
      <c r="H1591" s="6">
        <f t="shared" si="316"/>
        <v>-2.6315789669752121E-2</v>
      </c>
      <c r="I1591" s="6">
        <f t="shared" si="310"/>
        <v>1474789.5263157897</v>
      </c>
      <c r="J1591" s="6">
        <v>280210.01</v>
      </c>
      <c r="K1591" s="6">
        <v>0</v>
      </c>
      <c r="L1591" s="6">
        <v>0</v>
      </c>
      <c r="M1591" s="6">
        <f t="shared" si="318"/>
        <v>1474789.5</v>
      </c>
      <c r="N1591" s="6">
        <f t="shared" si="317"/>
        <v>280210.01</v>
      </c>
      <c r="O1591" s="6">
        <f t="shared" si="311"/>
        <v>1754999.51</v>
      </c>
      <c r="P1591" s="6">
        <v>1754999.51</v>
      </c>
      <c r="Q1591" s="6">
        <f>+M1591</f>
        <v>1474789.5</v>
      </c>
      <c r="R1591" s="6">
        <f t="shared" si="307"/>
        <v>36869.737500000003</v>
      </c>
      <c r="T1591"/>
      <c r="U1591" s="7"/>
      <c r="V1591" s="7"/>
    </row>
    <row r="1592" spans="2:22" s="5" customFormat="1" x14ac:dyDescent="0.3">
      <c r="B1592" s="5" t="s">
        <v>16</v>
      </c>
      <c r="C1592" s="5" t="s">
        <v>2384</v>
      </c>
      <c r="D1592" s="5" t="s">
        <v>2355</v>
      </c>
      <c r="E1592" s="5" t="s">
        <v>836</v>
      </c>
      <c r="F1592" s="5" t="s">
        <v>171</v>
      </c>
      <c r="G1592" s="5" t="s">
        <v>2356</v>
      </c>
      <c r="H1592" s="6">
        <f t="shared" si="316"/>
        <v>634200.01894736791</v>
      </c>
      <c r="I1592" s="6">
        <f t="shared" si="310"/>
        <v>2501545.4210526319</v>
      </c>
      <c r="J1592" s="6">
        <v>475293.63</v>
      </c>
      <c r="K1592" s="6">
        <v>0</v>
      </c>
      <c r="L1592" s="6">
        <v>0</v>
      </c>
      <c r="M1592" s="6">
        <f t="shared" si="318"/>
        <v>3135745.44</v>
      </c>
      <c r="N1592" s="6">
        <f t="shared" si="317"/>
        <v>475293.63</v>
      </c>
      <c r="O1592" s="6">
        <f t="shared" si="311"/>
        <v>3611039.07</v>
      </c>
      <c r="P1592" s="6">
        <v>3611039.07</v>
      </c>
      <c r="Q1592" s="6">
        <f>+M1592</f>
        <v>3135745.44</v>
      </c>
      <c r="R1592" s="6">
        <f t="shared" si="307"/>
        <v>78393.635999999999</v>
      </c>
      <c r="T1592"/>
      <c r="U1592" s="7"/>
      <c r="V1592" s="7"/>
    </row>
    <row r="1593" spans="2:22" s="5" customFormat="1" x14ac:dyDescent="0.3">
      <c r="B1593" s="5" t="s">
        <v>16</v>
      </c>
      <c r="C1593" s="5" t="s">
        <v>2385</v>
      </c>
      <c r="D1593" s="5" t="s">
        <v>2355</v>
      </c>
      <c r="E1593" s="5" t="s">
        <v>361</v>
      </c>
      <c r="F1593" s="5" t="s">
        <v>171</v>
      </c>
      <c r="G1593" s="5" t="s">
        <v>2356</v>
      </c>
      <c r="H1593" s="6">
        <f t="shared" si="316"/>
        <v>403200.1721052638</v>
      </c>
      <c r="I1593" s="6">
        <f t="shared" si="310"/>
        <v>3822241.1578947366</v>
      </c>
      <c r="J1593" s="6">
        <v>726225.82</v>
      </c>
      <c r="K1593" s="6">
        <v>0</v>
      </c>
      <c r="L1593" s="6">
        <v>0</v>
      </c>
      <c r="M1593" s="6">
        <f t="shared" si="318"/>
        <v>4225441.33</v>
      </c>
      <c r="N1593" s="6">
        <f t="shared" si="317"/>
        <v>726225.82</v>
      </c>
      <c r="O1593" s="6">
        <f t="shared" si="311"/>
        <v>4951667.1500000004</v>
      </c>
      <c r="P1593" s="6">
        <v>4951667.1500000004</v>
      </c>
      <c r="Q1593" s="6">
        <f>+M1593</f>
        <v>4225441.33</v>
      </c>
      <c r="R1593" s="6">
        <f t="shared" si="307"/>
        <v>105636.03324999999</v>
      </c>
      <c r="T1593"/>
      <c r="U1593" s="7"/>
      <c r="V1593" s="7"/>
    </row>
    <row r="1594" spans="2:22" s="5" customFormat="1" x14ac:dyDescent="0.3">
      <c r="B1594" s="5" t="s">
        <v>16</v>
      </c>
      <c r="C1594" s="5" t="s">
        <v>2386</v>
      </c>
      <c r="D1594" s="5" t="s">
        <v>2355</v>
      </c>
      <c r="E1594" s="5" t="s">
        <v>293</v>
      </c>
      <c r="F1594" s="5" t="s">
        <v>171</v>
      </c>
      <c r="G1594" s="5" t="s">
        <v>2356</v>
      </c>
      <c r="H1594" s="6">
        <f t="shared" si="316"/>
        <v>-0.12105263175908476</v>
      </c>
      <c r="I1594" s="6">
        <f t="shared" si="310"/>
        <v>4686553.4210526319</v>
      </c>
      <c r="J1594" s="6">
        <v>890445.15</v>
      </c>
      <c r="K1594" s="6">
        <v>0</v>
      </c>
      <c r="L1594" s="6">
        <v>0</v>
      </c>
      <c r="M1594" s="6">
        <f t="shared" si="318"/>
        <v>4686553.3</v>
      </c>
      <c r="N1594" s="6">
        <f t="shared" si="317"/>
        <v>890445.15</v>
      </c>
      <c r="O1594" s="6">
        <f t="shared" si="311"/>
        <v>5576998.4500000002</v>
      </c>
      <c r="P1594" s="6">
        <v>5576998.4500000002</v>
      </c>
      <c r="Q1594" s="6">
        <f>+M1594</f>
        <v>4686553.3</v>
      </c>
      <c r="R1594" s="6">
        <f t="shared" si="307"/>
        <v>117163.8325</v>
      </c>
      <c r="T1594"/>
    </row>
    <row r="1595" spans="2:22" s="5" customFormat="1" x14ac:dyDescent="0.3">
      <c r="B1595" s="5" t="s">
        <v>16</v>
      </c>
      <c r="C1595" s="5" t="s">
        <v>2387</v>
      </c>
      <c r="D1595" s="5" t="s">
        <v>2388</v>
      </c>
      <c r="E1595" s="5" t="s">
        <v>992</v>
      </c>
      <c r="F1595" s="5" t="s">
        <v>171</v>
      </c>
      <c r="G1595" s="5" t="s">
        <v>2356</v>
      </c>
      <c r="H1595" s="6">
        <f t="shared" si="316"/>
        <v>4.842105254647322E-2</v>
      </c>
      <c r="I1595" s="6">
        <f t="shared" si="310"/>
        <v>1276189.6315789474</v>
      </c>
      <c r="J1595" s="6">
        <v>242476.03</v>
      </c>
      <c r="K1595" s="6">
        <v>0</v>
      </c>
      <c r="L1595" s="6">
        <v>0</v>
      </c>
      <c r="M1595" s="6">
        <f t="shared" si="318"/>
        <v>1276189.68</v>
      </c>
      <c r="N1595" s="6">
        <f t="shared" si="317"/>
        <v>242476.03</v>
      </c>
      <c r="O1595" s="6">
        <f t="shared" si="311"/>
        <v>1518665.71</v>
      </c>
      <c r="P1595" s="6">
        <v>1518665.71</v>
      </c>
      <c r="Q1595" s="6">
        <v>0</v>
      </c>
      <c r="R1595" s="6">
        <f t="shared" si="307"/>
        <v>0</v>
      </c>
      <c r="T1595"/>
    </row>
    <row r="1596" spans="2:22" s="5" customFormat="1" x14ac:dyDescent="0.3">
      <c r="B1596" s="5" t="s">
        <v>16</v>
      </c>
      <c r="C1596" s="5" t="s">
        <v>2389</v>
      </c>
      <c r="D1596" s="5" t="s">
        <v>2388</v>
      </c>
      <c r="E1596" s="5" t="s">
        <v>706</v>
      </c>
      <c r="F1596" s="5" t="s">
        <v>171</v>
      </c>
      <c r="G1596" s="5" t="s">
        <v>2356</v>
      </c>
      <c r="H1596" s="6">
        <f t="shared" si="316"/>
        <v>-3.6842105037067086E-3</v>
      </c>
      <c r="I1596" s="6">
        <f t="shared" si="310"/>
        <v>341176.4736842105</v>
      </c>
      <c r="J1596" s="6">
        <v>64823.53</v>
      </c>
      <c r="K1596" s="6">
        <v>0</v>
      </c>
      <c r="L1596" s="6">
        <v>0</v>
      </c>
      <c r="M1596" s="6">
        <f t="shared" si="318"/>
        <v>341176.47</v>
      </c>
      <c r="N1596" s="6">
        <f>J1596+L1596</f>
        <v>64823.53</v>
      </c>
      <c r="O1596" s="6">
        <f t="shared" si="311"/>
        <v>406000</v>
      </c>
      <c r="P1596" s="6">
        <v>406000</v>
      </c>
      <c r="Q1596" s="6">
        <v>0</v>
      </c>
      <c r="R1596" s="6">
        <f t="shared" si="307"/>
        <v>0</v>
      </c>
      <c r="T1596"/>
    </row>
    <row r="1597" spans="2:22" s="5" customFormat="1" x14ac:dyDescent="0.3">
      <c r="B1597" s="5" t="s">
        <v>16</v>
      </c>
      <c r="C1597" s="5" t="s">
        <v>2390</v>
      </c>
      <c r="D1597" s="5" t="s">
        <v>2388</v>
      </c>
      <c r="E1597" s="5" t="s">
        <v>845</v>
      </c>
      <c r="F1597" s="5" t="s">
        <v>171</v>
      </c>
      <c r="G1597" s="5" t="s">
        <v>2356</v>
      </c>
      <c r="H1597" s="6">
        <f t="shared" si="316"/>
        <v>5.684210523031652E-2</v>
      </c>
      <c r="I1597" s="6">
        <f t="shared" si="310"/>
        <v>1405042.2631578948</v>
      </c>
      <c r="J1597" s="6">
        <v>266958.03000000003</v>
      </c>
      <c r="K1597" s="6">
        <v>0</v>
      </c>
      <c r="L1597" s="6">
        <v>0</v>
      </c>
      <c r="M1597" s="6">
        <f t="shared" si="318"/>
        <v>1405042.32</v>
      </c>
      <c r="N1597" s="6">
        <f>J1597+L1597</f>
        <v>266958.03000000003</v>
      </c>
      <c r="O1597" s="6">
        <f t="shared" si="311"/>
        <v>1672000.35</v>
      </c>
      <c r="P1597" s="6">
        <v>1672000.35</v>
      </c>
      <c r="Q1597" s="6">
        <f t="shared" ref="Q1597:Q1603" si="319">+M1597</f>
        <v>1405042.32</v>
      </c>
      <c r="R1597" s="6">
        <f t="shared" si="307"/>
        <v>35126.058000000005</v>
      </c>
      <c r="T1597"/>
    </row>
    <row r="1598" spans="2:22" s="5" customFormat="1" x14ac:dyDescent="0.3">
      <c r="B1598" s="5" t="s">
        <v>16</v>
      </c>
      <c r="C1598" s="5" t="s">
        <v>2391</v>
      </c>
      <c r="D1598" s="5" t="s">
        <v>2388</v>
      </c>
      <c r="E1598" s="5" t="s">
        <v>1436</v>
      </c>
      <c r="F1598" s="5" t="s">
        <v>171</v>
      </c>
      <c r="G1598" s="5" t="s">
        <v>2356</v>
      </c>
      <c r="H1598" s="6">
        <f t="shared" si="316"/>
        <v>462000.02684210544</v>
      </c>
      <c r="I1598" s="6">
        <f t="shared" si="310"/>
        <v>1561547.2631578946</v>
      </c>
      <c r="J1598" s="6">
        <v>296693.98</v>
      </c>
      <c r="K1598" s="6">
        <v>0</v>
      </c>
      <c r="L1598" s="6">
        <v>0</v>
      </c>
      <c r="M1598" s="6">
        <f t="shared" si="318"/>
        <v>2023547.29</v>
      </c>
      <c r="N1598" s="6">
        <f>+J1598+L1598</f>
        <v>296693.98</v>
      </c>
      <c r="O1598" s="6">
        <f t="shared" si="311"/>
        <v>2320241.27</v>
      </c>
      <c r="P1598" s="6">
        <v>2320241.27</v>
      </c>
      <c r="Q1598" s="6">
        <f t="shared" si="319"/>
        <v>2023547.29</v>
      </c>
      <c r="R1598" s="6">
        <f t="shared" si="307"/>
        <v>50588.682249999998</v>
      </c>
      <c r="T1598"/>
    </row>
    <row r="1599" spans="2:22" s="5" customFormat="1" x14ac:dyDescent="0.3">
      <c r="B1599" s="5" t="s">
        <v>16</v>
      </c>
      <c r="C1599" s="5" t="s">
        <v>2392</v>
      </c>
      <c r="D1599" s="5" t="s">
        <v>2388</v>
      </c>
      <c r="E1599" s="5" t="s">
        <v>1436</v>
      </c>
      <c r="F1599" s="5" t="s">
        <v>171</v>
      </c>
      <c r="G1599" s="5" t="s">
        <v>2356</v>
      </c>
      <c r="H1599" s="6">
        <f t="shared" si="316"/>
        <v>364319.95842105313</v>
      </c>
      <c r="I1599" s="6">
        <f t="shared" si="310"/>
        <v>2053740.631578947</v>
      </c>
      <c r="J1599" s="6">
        <v>390210.72</v>
      </c>
      <c r="K1599" s="6">
        <v>0</v>
      </c>
      <c r="L1599" s="6">
        <v>0</v>
      </c>
      <c r="M1599" s="6">
        <f t="shared" si="318"/>
        <v>2418060.59</v>
      </c>
      <c r="N1599" s="6">
        <f>+J1599+L1599</f>
        <v>390210.72</v>
      </c>
      <c r="O1599" s="6">
        <f t="shared" si="311"/>
        <v>2808271.3099999996</v>
      </c>
      <c r="P1599" s="6">
        <v>2808271.31</v>
      </c>
      <c r="Q1599" s="6">
        <f t="shared" si="319"/>
        <v>2418060.59</v>
      </c>
      <c r="R1599" s="6">
        <f t="shared" si="307"/>
        <v>60451.514749999995</v>
      </c>
      <c r="S1599" s="9"/>
      <c r="T1599"/>
    </row>
    <row r="1600" spans="2:22" s="5" customFormat="1" x14ac:dyDescent="0.3">
      <c r="B1600" s="5" t="s">
        <v>16</v>
      </c>
      <c r="C1600" s="5" t="s">
        <v>2393</v>
      </c>
      <c r="D1600" s="5" t="s">
        <v>2388</v>
      </c>
      <c r="E1600" s="5" t="s">
        <v>845</v>
      </c>
      <c r="F1600" s="5" t="s">
        <v>171</v>
      </c>
      <c r="G1600" s="5" t="s">
        <v>2356</v>
      </c>
      <c r="H1600" s="6">
        <f t="shared" si="316"/>
        <v>0</v>
      </c>
      <c r="I1600" s="6">
        <f t="shared" si="310"/>
        <v>2436974</v>
      </c>
      <c r="J1600" s="6">
        <v>463025.06</v>
      </c>
      <c r="K1600" s="6">
        <v>0</v>
      </c>
      <c r="L1600" s="6">
        <v>0</v>
      </c>
      <c r="M1600" s="6">
        <f t="shared" si="318"/>
        <v>2436974</v>
      </c>
      <c r="N1600" s="6">
        <f>J1600+L1600</f>
        <v>463025.06</v>
      </c>
      <c r="O1600" s="6">
        <f t="shared" si="311"/>
        <v>2899999.06</v>
      </c>
      <c r="P1600" s="6">
        <v>2899999.06</v>
      </c>
      <c r="Q1600" s="6">
        <f t="shared" si="319"/>
        <v>2436974</v>
      </c>
      <c r="R1600" s="6">
        <f t="shared" si="307"/>
        <v>60924.35</v>
      </c>
      <c r="S1600" s="9"/>
      <c r="T1600"/>
    </row>
    <row r="1601" spans="2:22" s="5" customFormat="1" x14ac:dyDescent="0.3">
      <c r="B1601" s="5" t="s">
        <v>16</v>
      </c>
      <c r="C1601" s="5" t="s">
        <v>2394</v>
      </c>
      <c r="D1601" s="5" t="s">
        <v>2388</v>
      </c>
      <c r="E1601" s="5" t="s">
        <v>706</v>
      </c>
      <c r="F1601" s="5" t="s">
        <v>171</v>
      </c>
      <c r="G1601" s="5" t="s">
        <v>2356</v>
      </c>
      <c r="H1601" s="6">
        <f t="shared" si="316"/>
        <v>1.9999999785795808E-2</v>
      </c>
      <c r="I1601" s="6">
        <f t="shared" si="310"/>
        <v>5077312</v>
      </c>
      <c r="J1601" s="6">
        <v>964689.28</v>
      </c>
      <c r="K1601" s="6">
        <v>0</v>
      </c>
      <c r="L1601" s="6">
        <v>0</v>
      </c>
      <c r="M1601" s="6">
        <f t="shared" si="318"/>
        <v>5077312.0199999996</v>
      </c>
      <c r="N1601" s="6">
        <f>J1601+L1601</f>
        <v>964689.28</v>
      </c>
      <c r="O1601" s="6">
        <f t="shared" si="311"/>
        <v>6042001.2999999998</v>
      </c>
      <c r="P1601" s="6">
        <v>6042001.2999999998</v>
      </c>
      <c r="Q1601" s="6">
        <f t="shared" si="319"/>
        <v>5077312.0199999996</v>
      </c>
      <c r="R1601" s="6">
        <f t="shared" si="307"/>
        <v>126932.80049999998</v>
      </c>
      <c r="S1601" s="7"/>
      <c r="T1601"/>
    </row>
    <row r="1602" spans="2:22" s="5" customFormat="1" x14ac:dyDescent="0.3">
      <c r="B1602" s="5" t="s">
        <v>16</v>
      </c>
      <c r="C1602" s="5" t="s">
        <v>2395</v>
      </c>
      <c r="D1602" s="5" t="s">
        <v>2388</v>
      </c>
      <c r="E1602" s="5" t="s">
        <v>706</v>
      </c>
      <c r="F1602" s="5" t="s">
        <v>171</v>
      </c>
      <c r="G1602" s="5" t="s">
        <v>2356</v>
      </c>
      <c r="H1602" s="6">
        <f t="shared" si="316"/>
        <v>0.1373684216523543</v>
      </c>
      <c r="I1602" s="6">
        <f t="shared" si="310"/>
        <v>5125211.0526315784</v>
      </c>
      <c r="J1602" s="6">
        <v>973790.1</v>
      </c>
      <c r="K1602" s="6">
        <v>0</v>
      </c>
      <c r="L1602" s="6">
        <v>0</v>
      </c>
      <c r="M1602" s="6">
        <f t="shared" si="318"/>
        <v>5125211.1900000004</v>
      </c>
      <c r="N1602" s="6">
        <f>J1602+L1602</f>
        <v>973790.1</v>
      </c>
      <c r="O1602" s="6">
        <f t="shared" si="311"/>
        <v>6099001.29</v>
      </c>
      <c r="P1602" s="6">
        <v>6099001.29</v>
      </c>
      <c r="Q1602" s="6">
        <f t="shared" si="319"/>
        <v>5125211.1900000004</v>
      </c>
      <c r="R1602" s="6">
        <f t="shared" si="307"/>
        <v>128130.27975000002</v>
      </c>
      <c r="T1602"/>
    </row>
    <row r="1603" spans="2:22" s="5" customFormat="1" x14ac:dyDescent="0.3">
      <c r="B1603" s="5" t="s">
        <v>16</v>
      </c>
      <c r="C1603" s="5" t="s">
        <v>2396</v>
      </c>
      <c r="D1603" s="5" t="s">
        <v>2388</v>
      </c>
      <c r="E1603" s="5" t="s">
        <v>2397</v>
      </c>
      <c r="F1603" s="5" t="s">
        <v>171</v>
      </c>
      <c r="G1603" s="5" t="s">
        <v>2356</v>
      </c>
      <c r="H1603" s="6">
        <f t="shared" si="316"/>
        <v>7.1052632294595242E-2</v>
      </c>
      <c r="I1603" s="6">
        <f t="shared" si="310"/>
        <v>5348740.5789473681</v>
      </c>
      <c r="J1603" s="6">
        <v>1016260.71</v>
      </c>
      <c r="K1603" s="6">
        <v>0</v>
      </c>
      <c r="L1603" s="6">
        <v>0</v>
      </c>
      <c r="M1603" s="6">
        <f t="shared" si="318"/>
        <v>5348740.6500000004</v>
      </c>
      <c r="N1603" s="6">
        <f t="shared" ref="N1603:N1615" si="320">+J1603+L1603</f>
        <v>1016260.71</v>
      </c>
      <c r="O1603" s="6">
        <f t="shared" si="311"/>
        <v>6365001.3600000003</v>
      </c>
      <c r="P1603" s="6">
        <v>6365001.3600000003</v>
      </c>
      <c r="Q1603" s="6">
        <f t="shared" si="319"/>
        <v>5348740.6500000004</v>
      </c>
      <c r="R1603" s="6">
        <f t="shared" si="307"/>
        <v>133718.51624999999</v>
      </c>
      <c r="S1603" s="9"/>
      <c r="T1603"/>
    </row>
    <row r="1604" spans="2:22" s="5" customFormat="1" x14ac:dyDescent="0.3">
      <c r="B1604" s="5" t="s">
        <v>16</v>
      </c>
      <c r="C1604" s="5" t="s">
        <v>2398</v>
      </c>
      <c r="D1604" s="5" t="s">
        <v>2399</v>
      </c>
      <c r="E1604" s="5" t="s">
        <v>1865</v>
      </c>
      <c r="F1604" s="5" t="s">
        <v>171</v>
      </c>
      <c r="G1604" s="5" t="s">
        <v>2356</v>
      </c>
      <c r="H1604" s="6">
        <f t="shared" si="316"/>
        <v>-1.7894736842135899</v>
      </c>
      <c r="I1604" s="6">
        <f t="shared" si="310"/>
        <v>285715.78947368421</v>
      </c>
      <c r="J1604" s="6">
        <v>54286</v>
      </c>
      <c r="K1604" s="6">
        <v>0</v>
      </c>
      <c r="L1604" s="6">
        <v>0</v>
      </c>
      <c r="M1604" s="6">
        <f t="shared" si="318"/>
        <v>285714</v>
      </c>
      <c r="N1604" s="6">
        <f t="shared" si="320"/>
        <v>54286</v>
      </c>
      <c r="O1604" s="6">
        <f t="shared" si="311"/>
        <v>340000</v>
      </c>
      <c r="P1604" s="6">
        <v>340000</v>
      </c>
      <c r="Q1604" s="6">
        <v>0</v>
      </c>
      <c r="R1604" s="6">
        <f t="shared" si="307"/>
        <v>0</v>
      </c>
      <c r="S1604" s="7"/>
      <c r="T1604"/>
    </row>
    <row r="1605" spans="2:22" x14ac:dyDescent="0.3">
      <c r="B1605" s="5" t="s">
        <v>16</v>
      </c>
      <c r="C1605" s="5" t="s">
        <v>2400</v>
      </c>
      <c r="D1605" s="5" t="s">
        <v>2388</v>
      </c>
      <c r="E1605" s="5" t="s">
        <v>2401</v>
      </c>
      <c r="F1605" s="5" t="s">
        <v>171</v>
      </c>
      <c r="G1605" s="5" t="s">
        <v>2356</v>
      </c>
      <c r="H1605" s="6">
        <f t="shared" si="316"/>
        <v>-5.8947368641383946E-2</v>
      </c>
      <c r="I1605" s="6">
        <f t="shared" si="310"/>
        <v>3489491.5789473685</v>
      </c>
      <c r="J1605" s="6">
        <v>663003.4</v>
      </c>
      <c r="K1605" s="6">
        <v>0</v>
      </c>
      <c r="L1605" s="6">
        <v>0</v>
      </c>
      <c r="M1605" s="6">
        <f t="shared" si="318"/>
        <v>3489491.52</v>
      </c>
      <c r="N1605" s="6">
        <f t="shared" si="320"/>
        <v>663003.4</v>
      </c>
      <c r="O1605" s="6">
        <f t="shared" si="311"/>
        <v>4152494.92</v>
      </c>
      <c r="P1605" s="6">
        <v>4152494.92</v>
      </c>
      <c r="Q1605" s="6">
        <f>+M1605</f>
        <v>3489491.52</v>
      </c>
      <c r="R1605" s="6">
        <f t="shared" ref="R1605:R1668" si="321">+Q1605*2.5/100</f>
        <v>87237.288</v>
      </c>
      <c r="S1605" s="5"/>
      <c r="U1605" s="5"/>
      <c r="V1605" s="5"/>
    </row>
    <row r="1606" spans="2:22" s="5" customFormat="1" x14ac:dyDescent="0.3">
      <c r="B1606" s="5" t="s">
        <v>16</v>
      </c>
      <c r="C1606" s="5" t="s">
        <v>2402</v>
      </c>
      <c r="D1606" s="5" t="s">
        <v>2388</v>
      </c>
      <c r="E1606" s="5" t="s">
        <v>1613</v>
      </c>
      <c r="F1606" s="5" t="s">
        <v>171</v>
      </c>
      <c r="G1606" s="5" t="s">
        <v>2356</v>
      </c>
      <c r="H1606" s="6">
        <f t="shared" si="316"/>
        <v>0</v>
      </c>
      <c r="I1606" s="6">
        <f t="shared" si="310"/>
        <v>10336130</v>
      </c>
      <c r="J1606" s="6">
        <v>1963864.7</v>
      </c>
      <c r="K1606" s="6">
        <v>0</v>
      </c>
      <c r="L1606" s="6">
        <v>0</v>
      </c>
      <c r="M1606" s="6">
        <f t="shared" si="318"/>
        <v>10336130</v>
      </c>
      <c r="N1606" s="6">
        <f t="shared" si="320"/>
        <v>1963864.7</v>
      </c>
      <c r="O1606" s="6">
        <f t="shared" si="311"/>
        <v>12299994.699999999</v>
      </c>
      <c r="P1606" s="6">
        <v>12299994.699999999</v>
      </c>
      <c r="Q1606" s="6">
        <f>+M1606</f>
        <v>10336130</v>
      </c>
      <c r="R1606" s="6">
        <f t="shared" si="321"/>
        <v>258403.25</v>
      </c>
      <c r="T1606"/>
      <c r="U1606"/>
      <c r="V1606"/>
    </row>
    <row r="1607" spans="2:22" s="5" customFormat="1" x14ac:dyDescent="0.3">
      <c r="B1607" s="5" t="s">
        <v>16</v>
      </c>
      <c r="C1607" s="5" t="s">
        <v>2403</v>
      </c>
      <c r="D1607" s="5" t="s">
        <v>2399</v>
      </c>
      <c r="E1607" s="5" t="s">
        <v>2404</v>
      </c>
      <c r="F1607" s="5" t="s">
        <v>171</v>
      </c>
      <c r="G1607" s="5" t="s">
        <v>2356</v>
      </c>
      <c r="H1607" s="6">
        <f t="shared" si="316"/>
        <v>2.2631578947402886</v>
      </c>
      <c r="I1607" s="6">
        <f t="shared" si="310"/>
        <v>63594.73684210526</v>
      </c>
      <c r="J1607" s="6">
        <v>12083</v>
      </c>
      <c r="K1607" s="6">
        <v>0</v>
      </c>
      <c r="L1607" s="6">
        <v>0</v>
      </c>
      <c r="M1607" s="6">
        <f t="shared" si="318"/>
        <v>63597</v>
      </c>
      <c r="N1607" s="6">
        <f t="shared" si="320"/>
        <v>12083</v>
      </c>
      <c r="O1607" s="6">
        <f t="shared" si="311"/>
        <v>75680</v>
      </c>
      <c r="P1607" s="6">
        <v>75680</v>
      </c>
      <c r="Q1607" s="6">
        <v>0</v>
      </c>
      <c r="R1607" s="6">
        <f t="shared" si="321"/>
        <v>0</v>
      </c>
      <c r="T1607"/>
      <c r="U1607"/>
      <c r="V1607"/>
    </row>
    <row r="1608" spans="2:22" s="5" customFormat="1" x14ac:dyDescent="0.3">
      <c r="B1608" s="5" t="s">
        <v>2405</v>
      </c>
      <c r="C1608" s="5" t="s">
        <v>2406</v>
      </c>
      <c r="D1608" s="5" t="s">
        <v>2355</v>
      </c>
      <c r="E1608" s="5" t="s">
        <v>526</v>
      </c>
      <c r="F1608" s="5" t="s">
        <v>171</v>
      </c>
      <c r="G1608" s="5" t="s">
        <v>2356</v>
      </c>
      <c r="H1608" s="6">
        <v>5130000</v>
      </c>
      <c r="I1608" s="6">
        <f t="shared" si="310"/>
        <v>0</v>
      </c>
      <c r="J1608" s="6">
        <v>0</v>
      </c>
      <c r="K1608" s="6">
        <v>0</v>
      </c>
      <c r="L1608" s="6">
        <v>0</v>
      </c>
      <c r="M1608" s="6">
        <f t="shared" si="318"/>
        <v>5130000</v>
      </c>
      <c r="N1608" s="6">
        <f t="shared" si="320"/>
        <v>0</v>
      </c>
      <c r="O1608" s="6">
        <f t="shared" si="311"/>
        <v>5130000</v>
      </c>
      <c r="P1608" s="6">
        <v>5130000</v>
      </c>
      <c r="Q1608" s="6">
        <f>+M1608</f>
        <v>5130000</v>
      </c>
      <c r="R1608" s="6">
        <f t="shared" si="321"/>
        <v>128250</v>
      </c>
      <c r="T1608"/>
    </row>
    <row r="1609" spans="2:22" s="5" customFormat="1" x14ac:dyDescent="0.3">
      <c r="B1609" s="5" t="s">
        <v>2405</v>
      </c>
      <c r="C1609" s="5" t="s">
        <v>2407</v>
      </c>
      <c r="D1609" s="5" t="s">
        <v>2355</v>
      </c>
      <c r="E1609" s="5" t="s">
        <v>1663</v>
      </c>
      <c r="F1609" s="5" t="s">
        <v>171</v>
      </c>
      <c r="G1609" s="5" t="s">
        <v>2356</v>
      </c>
      <c r="H1609" s="6">
        <v>2.6315788738429546E-2</v>
      </c>
      <c r="I1609" s="6">
        <f t="shared" si="310"/>
        <v>6193283.4736842113</v>
      </c>
      <c r="J1609" s="6">
        <v>1176723.8600000001</v>
      </c>
      <c r="K1609" s="6">
        <v>0</v>
      </c>
      <c r="L1609" s="6">
        <v>0</v>
      </c>
      <c r="M1609" s="6">
        <f t="shared" si="318"/>
        <v>6193283.5</v>
      </c>
      <c r="N1609" s="6">
        <f t="shared" si="320"/>
        <v>1176723.8600000001</v>
      </c>
      <c r="O1609" s="6">
        <f t="shared" si="311"/>
        <v>7370007.3600000003</v>
      </c>
      <c r="P1609" s="6">
        <v>7370007.3600000003</v>
      </c>
      <c r="Q1609" s="6">
        <f>+M1609</f>
        <v>6193283.5</v>
      </c>
      <c r="R1609" s="6">
        <f t="shared" si="321"/>
        <v>154832.08749999999</v>
      </c>
      <c r="T1609"/>
    </row>
    <row r="1610" spans="2:22" s="5" customFormat="1" x14ac:dyDescent="0.3">
      <c r="B1610" s="7" t="s">
        <v>16</v>
      </c>
      <c r="C1610" s="7" t="s">
        <v>2408</v>
      </c>
      <c r="D1610" s="7" t="s">
        <v>2409</v>
      </c>
      <c r="E1610" s="7" t="s">
        <v>464</v>
      </c>
      <c r="F1610" s="7" t="s">
        <v>2410</v>
      </c>
      <c r="G1610" s="7" t="s">
        <v>2411</v>
      </c>
      <c r="H1610" s="8">
        <f>+P1610-I1610-J1610</f>
        <v>2.5263157789595425E-2</v>
      </c>
      <c r="I1610" s="8">
        <f t="shared" si="310"/>
        <v>4974789.8947368423</v>
      </c>
      <c r="J1610" s="8">
        <v>945210.08</v>
      </c>
      <c r="K1610" s="8">
        <v>0</v>
      </c>
      <c r="L1610" s="8">
        <v>0</v>
      </c>
      <c r="M1610" s="8">
        <f>+I1610+H1610</f>
        <v>4974789.92</v>
      </c>
      <c r="N1610" s="8">
        <f t="shared" si="320"/>
        <v>945210.08</v>
      </c>
      <c r="O1610" s="8">
        <f t="shared" si="311"/>
        <v>5920000</v>
      </c>
      <c r="P1610" s="8">
        <v>5920000</v>
      </c>
      <c r="Q1610" s="8">
        <v>0</v>
      </c>
      <c r="R1610" s="8">
        <f t="shared" si="321"/>
        <v>0</v>
      </c>
      <c r="T1610"/>
    </row>
    <row r="1611" spans="2:22" s="5" customFormat="1" x14ac:dyDescent="0.3">
      <c r="B1611" s="5" t="s">
        <v>16</v>
      </c>
      <c r="C1611" s="5" t="s">
        <v>2412</v>
      </c>
      <c r="D1611" s="5" t="s">
        <v>35</v>
      </c>
      <c r="E1611" s="5" t="s">
        <v>784</v>
      </c>
      <c r="F1611" s="5" t="s">
        <v>380</v>
      </c>
      <c r="G1611" s="5" t="s">
        <v>381</v>
      </c>
      <c r="H1611" s="6">
        <f>+P1611-I1611-J1611</f>
        <v>0</v>
      </c>
      <c r="I1611" s="6">
        <f t="shared" si="310"/>
        <v>15077730.000000002</v>
      </c>
      <c r="J1611" s="6">
        <v>2864768.7</v>
      </c>
      <c r="K1611" s="6">
        <v>0</v>
      </c>
      <c r="L1611" s="6">
        <v>0</v>
      </c>
      <c r="M1611" s="6">
        <f>+H1611+I1611+K1611</f>
        <v>15077730.000000002</v>
      </c>
      <c r="N1611" s="6">
        <f t="shared" si="320"/>
        <v>2864768.7</v>
      </c>
      <c r="O1611" s="6">
        <f t="shared" si="311"/>
        <v>17942498.700000003</v>
      </c>
      <c r="P1611" s="6">
        <v>17942498.699999999</v>
      </c>
      <c r="Q1611" s="6">
        <f>+M1611</f>
        <v>15077730.000000002</v>
      </c>
      <c r="R1611" s="6">
        <f t="shared" si="321"/>
        <v>376943.25000000006</v>
      </c>
      <c r="T1611"/>
    </row>
    <row r="1612" spans="2:22" s="5" customFormat="1" x14ac:dyDescent="0.3">
      <c r="B1612" s="5" t="s">
        <v>16</v>
      </c>
      <c r="C1612" s="5" t="s">
        <v>2413</v>
      </c>
      <c r="D1612" s="5" t="s">
        <v>2414</v>
      </c>
      <c r="E1612" s="5" t="s">
        <v>460</v>
      </c>
      <c r="F1612" s="5" t="s">
        <v>2415</v>
      </c>
      <c r="G1612" s="5" t="s">
        <v>2416</v>
      </c>
      <c r="H1612" s="6">
        <v>-8.4210526110837236E-3</v>
      </c>
      <c r="I1612" s="6">
        <f t="shared" si="310"/>
        <v>108403.36842105261</v>
      </c>
      <c r="J1612" s="6">
        <v>20596.64</v>
      </c>
      <c r="K1612" s="6">
        <v>0</v>
      </c>
      <c r="L1612" s="6">
        <v>0</v>
      </c>
      <c r="M1612" s="6">
        <f>+H1612+I1612+K1612</f>
        <v>108403.36</v>
      </c>
      <c r="N1612" s="6">
        <f t="shared" si="320"/>
        <v>20596.64</v>
      </c>
      <c r="O1612" s="6">
        <f t="shared" si="311"/>
        <v>129000</v>
      </c>
      <c r="P1612" s="6">
        <v>129000</v>
      </c>
      <c r="Q1612" s="6">
        <f>+P1612-O1612</f>
        <v>0</v>
      </c>
      <c r="R1612" s="6">
        <f t="shared" si="321"/>
        <v>0</v>
      </c>
      <c r="T1612"/>
    </row>
    <row r="1613" spans="2:22" s="5" customFormat="1" x14ac:dyDescent="0.3">
      <c r="B1613" s="7" t="s">
        <v>16</v>
      </c>
      <c r="C1613" s="7" t="s">
        <v>2417</v>
      </c>
      <c r="D1613" s="7" t="s">
        <v>35</v>
      </c>
      <c r="E1613" s="7" t="s">
        <v>696</v>
      </c>
      <c r="F1613" s="7" t="s">
        <v>122</v>
      </c>
      <c r="G1613" s="7" t="s">
        <v>123</v>
      </c>
      <c r="H1613" s="8">
        <f t="shared" ref="H1613:H1624" si="322">+P1613-I1613-J1613</f>
        <v>1521194.8873684211</v>
      </c>
      <c r="I1613" s="8">
        <f t="shared" si="310"/>
        <v>2875015.0526315789</v>
      </c>
      <c r="J1613" s="8">
        <v>546252.86</v>
      </c>
      <c r="K1613" s="8">
        <v>0</v>
      </c>
      <c r="L1613" s="8">
        <v>0</v>
      </c>
      <c r="M1613" s="8">
        <f>+I1613+H1613</f>
        <v>4396209.9399999995</v>
      </c>
      <c r="N1613" s="8">
        <f t="shared" si="320"/>
        <v>546252.86</v>
      </c>
      <c r="O1613" s="8">
        <f t="shared" si="311"/>
        <v>4942462.8</v>
      </c>
      <c r="P1613" s="8">
        <v>4942462.8</v>
      </c>
      <c r="Q1613" s="8">
        <f t="shared" ref="Q1613:Q1619" si="323">+M1613</f>
        <v>4396209.9399999995</v>
      </c>
      <c r="R1613" s="8">
        <f t="shared" si="321"/>
        <v>109905.24849999997</v>
      </c>
      <c r="T1613"/>
    </row>
    <row r="1614" spans="2:22" s="5" customFormat="1" x14ac:dyDescent="0.3">
      <c r="B1614" s="5" t="s">
        <v>16</v>
      </c>
      <c r="C1614" s="5" t="s">
        <v>2418</v>
      </c>
      <c r="D1614" s="5" t="s">
        <v>35</v>
      </c>
      <c r="E1614" s="5" t="s">
        <v>554</v>
      </c>
      <c r="F1614" s="5" t="s">
        <v>122</v>
      </c>
      <c r="G1614" s="5" t="s">
        <v>123</v>
      </c>
      <c r="H1614" s="6">
        <f t="shared" si="322"/>
        <v>1634804.9194736839</v>
      </c>
      <c r="I1614" s="6">
        <f t="shared" si="310"/>
        <v>589667.21052631584</v>
      </c>
      <c r="J1614" s="6">
        <v>112036.77</v>
      </c>
      <c r="K1614" s="6">
        <v>0</v>
      </c>
      <c r="L1614" s="6">
        <v>0</v>
      </c>
      <c r="M1614" s="6">
        <f t="shared" ref="M1614:M1631" si="324">+H1614+I1614+K1614</f>
        <v>2224472.13</v>
      </c>
      <c r="N1614" s="6">
        <f t="shared" si="320"/>
        <v>112036.77</v>
      </c>
      <c r="O1614" s="6">
        <f t="shared" si="311"/>
        <v>2336508.9</v>
      </c>
      <c r="P1614" s="6">
        <v>2336508.9</v>
      </c>
      <c r="Q1614" s="6">
        <f t="shared" si="323"/>
        <v>2224472.13</v>
      </c>
      <c r="R1614" s="6">
        <f t="shared" si="321"/>
        <v>55611.80324999999</v>
      </c>
      <c r="T1614"/>
      <c r="U1614" s="9"/>
      <c r="V1614" s="9"/>
    </row>
    <row r="1615" spans="2:22" s="5" customFormat="1" x14ac:dyDescent="0.3">
      <c r="B1615" s="5" t="s">
        <v>16</v>
      </c>
      <c r="C1615" s="5" t="s">
        <v>2419</v>
      </c>
      <c r="D1615" s="5" t="s">
        <v>35</v>
      </c>
      <c r="E1615" s="5" t="s">
        <v>994</v>
      </c>
      <c r="F1615" s="5" t="s">
        <v>122</v>
      </c>
      <c r="G1615" s="5" t="s">
        <v>123</v>
      </c>
      <c r="H1615" s="6">
        <f t="shared" si="322"/>
        <v>1365786.2784210523</v>
      </c>
      <c r="I1615" s="6">
        <f t="shared" si="310"/>
        <v>874008.63157894742</v>
      </c>
      <c r="J1615" s="6">
        <v>166061.64000000001</v>
      </c>
      <c r="K1615" s="6">
        <v>0</v>
      </c>
      <c r="L1615" s="6">
        <v>0</v>
      </c>
      <c r="M1615" s="6">
        <f t="shared" si="324"/>
        <v>2239794.9099999997</v>
      </c>
      <c r="N1615" s="6">
        <f t="shared" si="320"/>
        <v>166061.64000000001</v>
      </c>
      <c r="O1615" s="6">
        <f t="shared" si="311"/>
        <v>2405856.5499999998</v>
      </c>
      <c r="P1615" s="6">
        <v>2405856.5499999998</v>
      </c>
      <c r="Q1615" s="6">
        <f t="shared" si="323"/>
        <v>2239794.9099999997</v>
      </c>
      <c r="R1615" s="6">
        <f t="shared" si="321"/>
        <v>55994.872749999995</v>
      </c>
      <c r="T1615"/>
      <c r="U1615" s="9"/>
      <c r="V1615" s="9"/>
    </row>
    <row r="1616" spans="2:22" s="5" customFormat="1" x14ac:dyDescent="0.3">
      <c r="B1616" s="5" t="s">
        <v>16</v>
      </c>
      <c r="C1616" s="5" t="s">
        <v>2420</v>
      </c>
      <c r="D1616" s="5" t="s">
        <v>35</v>
      </c>
      <c r="E1616" s="5" t="s">
        <v>1148</v>
      </c>
      <c r="F1616" s="5" t="s">
        <v>122</v>
      </c>
      <c r="G1616" s="5" t="s">
        <v>123</v>
      </c>
      <c r="H1616" s="6">
        <f t="shared" si="322"/>
        <v>0.3784210525918752</v>
      </c>
      <c r="I1616" s="6">
        <f t="shared" si="310"/>
        <v>2549031.6315789474</v>
      </c>
      <c r="J1616" s="6">
        <v>484316.01</v>
      </c>
      <c r="K1616" s="6">
        <v>0</v>
      </c>
      <c r="L1616" s="6">
        <v>0</v>
      </c>
      <c r="M1616" s="6">
        <f t="shared" si="324"/>
        <v>2549032.0099999998</v>
      </c>
      <c r="N1616" s="6">
        <f>J1616+L1616</f>
        <v>484316.01</v>
      </c>
      <c r="O1616" s="6">
        <f t="shared" si="311"/>
        <v>3033348.0199999996</v>
      </c>
      <c r="P1616" s="6">
        <v>3033348.02</v>
      </c>
      <c r="Q1616" s="6">
        <f t="shared" si="323"/>
        <v>2549032.0099999998</v>
      </c>
      <c r="R1616" s="6">
        <f t="shared" si="321"/>
        <v>63725.800249999993</v>
      </c>
      <c r="T1616"/>
      <c r="U1616" s="9"/>
      <c r="V1616" s="9"/>
    </row>
    <row r="1617" spans="2:22" s="5" customFormat="1" x14ac:dyDescent="0.3">
      <c r="B1617" s="5" t="s">
        <v>16</v>
      </c>
      <c r="C1617" s="5" t="s">
        <v>2421</v>
      </c>
      <c r="D1617" s="5" t="s">
        <v>35</v>
      </c>
      <c r="E1617" s="5" t="s">
        <v>751</v>
      </c>
      <c r="F1617" s="5" t="s">
        <v>122</v>
      </c>
      <c r="G1617" s="5" t="s">
        <v>123</v>
      </c>
      <c r="H1617" s="6">
        <f t="shared" si="322"/>
        <v>6.2631578824948519E-2</v>
      </c>
      <c r="I1617" s="6">
        <f t="shared" si="310"/>
        <v>1051979.9473684211</v>
      </c>
      <c r="J1617" s="6">
        <v>199876.19</v>
      </c>
      <c r="K1617" s="6">
        <v>0</v>
      </c>
      <c r="L1617" s="6">
        <v>0</v>
      </c>
      <c r="M1617" s="6">
        <f t="shared" si="324"/>
        <v>1051980.01</v>
      </c>
      <c r="N1617" s="6">
        <f t="shared" ref="N1617:N1631" si="325">+J1617+L1617</f>
        <v>199876.19</v>
      </c>
      <c r="O1617" s="6">
        <f t="shared" si="311"/>
        <v>1251856.2</v>
      </c>
      <c r="P1617" s="6">
        <v>1251856.2</v>
      </c>
      <c r="Q1617" s="6">
        <f t="shared" si="323"/>
        <v>1051980.01</v>
      </c>
      <c r="R1617" s="6">
        <f t="shared" si="321"/>
        <v>26299.500249999997</v>
      </c>
      <c r="T1617"/>
      <c r="U1617" s="9"/>
      <c r="V1617" s="9"/>
    </row>
    <row r="1618" spans="2:22" s="5" customFormat="1" x14ac:dyDescent="0.3">
      <c r="B1618" s="5" t="s">
        <v>16</v>
      </c>
      <c r="C1618" s="5" t="s">
        <v>2422</v>
      </c>
      <c r="D1618" s="5" t="s">
        <v>35</v>
      </c>
      <c r="E1618" s="5" t="s">
        <v>332</v>
      </c>
      <c r="F1618" s="5" t="s">
        <v>122</v>
      </c>
      <c r="G1618" s="5" t="s">
        <v>123</v>
      </c>
      <c r="H1618" s="6">
        <f t="shared" si="322"/>
        <v>0.53210526297334582</v>
      </c>
      <c r="I1618" s="6">
        <f t="shared" si="310"/>
        <v>3395869.1578947371</v>
      </c>
      <c r="J1618" s="6">
        <v>645215.14</v>
      </c>
      <c r="K1618" s="6">
        <v>0</v>
      </c>
      <c r="L1618" s="6">
        <v>0</v>
      </c>
      <c r="M1618" s="6">
        <f t="shared" si="324"/>
        <v>3395869.69</v>
      </c>
      <c r="N1618" s="6">
        <f t="shared" si="325"/>
        <v>645215.14</v>
      </c>
      <c r="O1618" s="6">
        <f t="shared" si="311"/>
        <v>4041084.83</v>
      </c>
      <c r="P1618" s="6">
        <v>4041084.83</v>
      </c>
      <c r="Q1618" s="6">
        <f t="shared" si="323"/>
        <v>3395869.69</v>
      </c>
      <c r="R1618" s="6">
        <f t="shared" si="321"/>
        <v>84896.742249999996</v>
      </c>
      <c r="T1618"/>
      <c r="U1618" s="9"/>
      <c r="V1618" s="9"/>
    </row>
    <row r="1619" spans="2:22" s="5" customFormat="1" x14ac:dyDescent="0.3">
      <c r="B1619" s="5" t="s">
        <v>16</v>
      </c>
      <c r="C1619" s="5" t="s">
        <v>2423</v>
      </c>
      <c r="D1619" s="5" t="s">
        <v>35</v>
      </c>
      <c r="E1619" s="5" t="s">
        <v>94</v>
      </c>
      <c r="F1619" s="5" t="s">
        <v>122</v>
      </c>
      <c r="G1619" s="5" t="s">
        <v>123</v>
      </c>
      <c r="H1619" s="6">
        <f t="shared" si="322"/>
        <v>1976786.0315789473</v>
      </c>
      <c r="I1619" s="6">
        <f t="shared" si="310"/>
        <v>524605.3684210527</v>
      </c>
      <c r="J1619" s="6">
        <v>99675.02</v>
      </c>
      <c r="K1619" s="6">
        <v>0</v>
      </c>
      <c r="L1619" s="6">
        <v>0</v>
      </c>
      <c r="M1619" s="6">
        <f t="shared" si="324"/>
        <v>2501391.4</v>
      </c>
      <c r="N1619" s="6">
        <f t="shared" si="325"/>
        <v>99675.02</v>
      </c>
      <c r="O1619" s="6">
        <f t="shared" si="311"/>
        <v>2601066.42</v>
      </c>
      <c r="P1619" s="6">
        <v>2601066.42</v>
      </c>
      <c r="Q1619" s="6">
        <f t="shared" si="323"/>
        <v>2501391.4</v>
      </c>
      <c r="R1619" s="6">
        <f t="shared" si="321"/>
        <v>62534.785000000003</v>
      </c>
      <c r="T1619"/>
      <c r="U1619" s="9"/>
      <c r="V1619" s="9"/>
    </row>
    <row r="1620" spans="2:22" s="5" customFormat="1" x14ac:dyDescent="0.3">
      <c r="B1620" s="5" t="s">
        <v>16</v>
      </c>
      <c r="C1620" s="5" t="s">
        <v>2424</v>
      </c>
      <c r="D1620" s="5" t="s">
        <v>35</v>
      </c>
      <c r="E1620" s="5" t="s">
        <v>117</v>
      </c>
      <c r="F1620" s="5" t="s">
        <v>122</v>
      </c>
      <c r="G1620" s="5" t="s">
        <v>123</v>
      </c>
      <c r="H1620" s="6">
        <f t="shared" si="322"/>
        <v>0.62631578964646906</v>
      </c>
      <c r="I1620" s="6">
        <f t="shared" si="310"/>
        <v>2992367.4736842103</v>
      </c>
      <c r="J1620" s="6">
        <v>568549.81999999995</v>
      </c>
      <c r="K1620" s="6">
        <v>0</v>
      </c>
      <c r="L1620" s="6">
        <v>0</v>
      </c>
      <c r="M1620" s="6">
        <f t="shared" si="324"/>
        <v>2992368.1</v>
      </c>
      <c r="N1620" s="6">
        <f t="shared" si="325"/>
        <v>568549.81999999995</v>
      </c>
      <c r="O1620" s="6">
        <f t="shared" si="311"/>
        <v>3560917.92</v>
      </c>
      <c r="P1620" s="6">
        <v>3560917.92</v>
      </c>
      <c r="Q1620" s="6">
        <f>+M1620-5273</f>
        <v>2987095.1</v>
      </c>
      <c r="R1620" s="6">
        <f t="shared" si="321"/>
        <v>74677.377500000002</v>
      </c>
      <c r="T1620"/>
      <c r="U1620"/>
      <c r="V1620"/>
    </row>
    <row r="1621" spans="2:22" s="5" customFormat="1" x14ac:dyDescent="0.3">
      <c r="B1621" s="5" t="s">
        <v>16</v>
      </c>
      <c r="C1621" s="5" t="s">
        <v>2425</v>
      </c>
      <c r="D1621" s="5" t="s">
        <v>35</v>
      </c>
      <c r="E1621" s="5" t="s">
        <v>30</v>
      </c>
      <c r="F1621" s="5" t="s">
        <v>122</v>
      </c>
      <c r="G1621" s="5" t="s">
        <v>123</v>
      </c>
      <c r="H1621" s="6">
        <f t="shared" si="322"/>
        <v>975333.46631578938</v>
      </c>
      <c r="I1621" s="6">
        <f t="shared" si="310"/>
        <v>1322630.4736842106</v>
      </c>
      <c r="J1621" s="6">
        <v>251299.79</v>
      </c>
      <c r="K1621" s="6">
        <v>0</v>
      </c>
      <c r="L1621" s="6">
        <v>0</v>
      </c>
      <c r="M1621" s="6">
        <f t="shared" si="324"/>
        <v>2297963.94</v>
      </c>
      <c r="N1621" s="6">
        <f t="shared" si="325"/>
        <v>251299.79</v>
      </c>
      <c r="O1621" s="6">
        <f t="shared" si="311"/>
        <v>2549263.73</v>
      </c>
      <c r="P1621" s="6">
        <v>2549263.73</v>
      </c>
      <c r="Q1621" s="6">
        <f>+M1621-H1621-I1621</f>
        <v>0</v>
      </c>
      <c r="R1621" s="6">
        <f t="shared" si="321"/>
        <v>0</v>
      </c>
      <c r="S1621" s="9"/>
      <c r="T1621"/>
      <c r="U1621"/>
      <c r="V1621"/>
    </row>
    <row r="1622" spans="2:22" s="5" customFormat="1" x14ac:dyDescent="0.3">
      <c r="B1622" s="5" t="s">
        <v>16</v>
      </c>
      <c r="C1622" s="5" t="s">
        <v>2426</v>
      </c>
      <c r="D1622" s="5" t="s">
        <v>35</v>
      </c>
      <c r="E1622" s="5" t="s">
        <v>30</v>
      </c>
      <c r="F1622" s="5" t="s">
        <v>122</v>
      </c>
      <c r="G1622" s="5" t="s">
        <v>123</v>
      </c>
      <c r="H1622" s="6">
        <f t="shared" si="322"/>
        <v>975333.51842105284</v>
      </c>
      <c r="I1622" s="6">
        <f t="shared" si="310"/>
        <v>1882617.6315789472</v>
      </c>
      <c r="J1622" s="6">
        <v>357697.35</v>
      </c>
      <c r="K1622" s="6">
        <v>0</v>
      </c>
      <c r="L1622" s="6">
        <v>0</v>
      </c>
      <c r="M1622" s="6">
        <f t="shared" si="324"/>
        <v>2857951.15</v>
      </c>
      <c r="N1622" s="6">
        <f t="shared" si="325"/>
        <v>357697.35</v>
      </c>
      <c r="O1622" s="6">
        <f t="shared" si="311"/>
        <v>3215648.5</v>
      </c>
      <c r="P1622" s="6">
        <v>3215648.5</v>
      </c>
      <c r="Q1622" s="6">
        <f>+M1622-448640</f>
        <v>2409311.15</v>
      </c>
      <c r="R1622" s="6">
        <f t="shared" si="321"/>
        <v>60232.778749999998</v>
      </c>
      <c r="S1622" s="9"/>
      <c r="T1622"/>
    </row>
    <row r="1623" spans="2:22" s="5" customFormat="1" x14ac:dyDescent="0.3">
      <c r="B1623" s="5" t="s">
        <v>16</v>
      </c>
      <c r="C1623" s="5" t="s">
        <v>2427</v>
      </c>
      <c r="D1623" s="5" t="s">
        <v>35</v>
      </c>
      <c r="E1623" s="5" t="s">
        <v>413</v>
      </c>
      <c r="F1623" s="5" t="s">
        <v>122</v>
      </c>
      <c r="G1623" s="5" t="s">
        <v>123</v>
      </c>
      <c r="H1623" s="6">
        <f t="shared" si="322"/>
        <v>0.11736842112441082</v>
      </c>
      <c r="I1623" s="6">
        <f t="shared" si="310"/>
        <v>463400.05263157893</v>
      </c>
      <c r="J1623" s="6">
        <v>88046.01</v>
      </c>
      <c r="K1623" s="6">
        <v>0</v>
      </c>
      <c r="L1623" s="6">
        <v>0</v>
      </c>
      <c r="M1623" s="6">
        <f t="shared" si="324"/>
        <v>463400.17000000004</v>
      </c>
      <c r="N1623" s="6">
        <f t="shared" si="325"/>
        <v>88046.01</v>
      </c>
      <c r="O1623" s="6">
        <f t="shared" si="311"/>
        <v>551446.18000000005</v>
      </c>
      <c r="P1623" s="6">
        <v>551446.18000000005</v>
      </c>
      <c r="Q1623" s="6">
        <v>0</v>
      </c>
      <c r="R1623" s="6">
        <f t="shared" si="321"/>
        <v>0</v>
      </c>
      <c r="T1623"/>
    </row>
    <row r="1624" spans="2:22" s="5" customFormat="1" x14ac:dyDescent="0.3">
      <c r="B1624" s="5" t="s">
        <v>16</v>
      </c>
      <c r="C1624" s="5" t="s">
        <v>2428</v>
      </c>
      <c r="D1624" s="5" t="s">
        <v>35</v>
      </c>
      <c r="E1624" s="5" t="s">
        <v>24</v>
      </c>
      <c r="F1624" s="5" t="s">
        <v>122</v>
      </c>
      <c r="G1624" s="5" t="s">
        <v>123</v>
      </c>
      <c r="H1624" s="6">
        <f t="shared" si="322"/>
        <v>0.23789473687065765</v>
      </c>
      <c r="I1624" s="6">
        <f t="shared" si="310"/>
        <v>1592325.8421052631</v>
      </c>
      <c r="J1624" s="6">
        <v>302541.90999999997</v>
      </c>
      <c r="K1624" s="6">
        <v>0</v>
      </c>
      <c r="L1624" s="6">
        <v>0</v>
      </c>
      <c r="M1624" s="6">
        <f t="shared" si="324"/>
        <v>1592326.08</v>
      </c>
      <c r="N1624" s="6">
        <f t="shared" si="325"/>
        <v>302541.90999999997</v>
      </c>
      <c r="O1624" s="6">
        <f t="shared" si="311"/>
        <v>1894867.99</v>
      </c>
      <c r="P1624" s="6">
        <v>1894867.99</v>
      </c>
      <c r="Q1624" s="6">
        <f t="shared" ref="Q1624:Q1636" si="326">+M1624</f>
        <v>1592326.08</v>
      </c>
      <c r="R1624" s="6">
        <f t="shared" si="321"/>
        <v>39808.152000000002</v>
      </c>
      <c r="S1624"/>
      <c r="T1624"/>
    </row>
    <row r="1625" spans="2:22" x14ac:dyDescent="0.3">
      <c r="B1625" s="5" t="s">
        <v>16</v>
      </c>
      <c r="C1625" s="5" t="s">
        <v>2429</v>
      </c>
      <c r="D1625" s="5" t="s">
        <v>35</v>
      </c>
      <c r="E1625" s="5" t="s">
        <v>761</v>
      </c>
      <c r="F1625" s="5" t="s">
        <v>122</v>
      </c>
      <c r="G1625" s="5" t="s">
        <v>123</v>
      </c>
      <c r="H1625" s="6">
        <f>+P1625-I1625-J1625-K1625-L1625</f>
        <v>0.15000000008149073</v>
      </c>
      <c r="I1625" s="6">
        <f t="shared" si="310"/>
        <v>1257051</v>
      </c>
      <c r="J1625" s="6">
        <v>238839.69</v>
      </c>
      <c r="K1625" s="6">
        <v>0</v>
      </c>
      <c r="L1625" s="6">
        <v>0</v>
      </c>
      <c r="M1625" s="6">
        <f t="shared" si="324"/>
        <v>1257051.1500000001</v>
      </c>
      <c r="N1625" s="6">
        <f t="shared" si="325"/>
        <v>238839.69</v>
      </c>
      <c r="O1625" s="6">
        <f t="shared" si="311"/>
        <v>1495890.84</v>
      </c>
      <c r="P1625" s="6">
        <v>1495890.84</v>
      </c>
      <c r="Q1625" s="6">
        <f t="shared" si="326"/>
        <v>1257051.1500000001</v>
      </c>
      <c r="R1625" s="6">
        <f t="shared" si="321"/>
        <v>31426.278750000005</v>
      </c>
      <c r="S1625" s="5"/>
      <c r="U1625" s="5"/>
      <c r="V1625" s="5"/>
    </row>
    <row r="1626" spans="2:22" x14ac:dyDescent="0.3">
      <c r="B1626" s="5" t="s">
        <v>16</v>
      </c>
      <c r="C1626" s="5" t="s">
        <v>2430</v>
      </c>
      <c r="D1626" s="5" t="s">
        <v>35</v>
      </c>
      <c r="E1626" s="5" t="s">
        <v>1257</v>
      </c>
      <c r="F1626" s="5" t="s">
        <v>122</v>
      </c>
      <c r="G1626" s="5" t="s">
        <v>123</v>
      </c>
      <c r="H1626" s="6">
        <f>+P1626-I1626-J1626-K1626-L1626</f>
        <v>622281.40473684203</v>
      </c>
      <c r="I1626" s="6">
        <f t="shared" si="310"/>
        <v>1075280.105263158</v>
      </c>
      <c r="J1626" s="6">
        <v>204303.22</v>
      </c>
      <c r="K1626" s="6">
        <v>0</v>
      </c>
      <c r="L1626" s="6">
        <v>0</v>
      </c>
      <c r="M1626" s="6">
        <f t="shared" si="324"/>
        <v>1697561.51</v>
      </c>
      <c r="N1626" s="6">
        <f t="shared" si="325"/>
        <v>204303.22</v>
      </c>
      <c r="O1626" s="6">
        <f t="shared" si="311"/>
        <v>1901864.73</v>
      </c>
      <c r="P1626" s="6">
        <v>1901864.73</v>
      </c>
      <c r="Q1626" s="6">
        <f t="shared" si="326"/>
        <v>1697561.51</v>
      </c>
      <c r="R1626" s="6">
        <f t="shared" si="321"/>
        <v>42439.037750000003</v>
      </c>
      <c r="S1626" s="7"/>
      <c r="U1626" s="5"/>
      <c r="V1626" s="5"/>
    </row>
    <row r="1627" spans="2:22" x14ac:dyDescent="0.3">
      <c r="B1627" s="5" t="s">
        <v>16</v>
      </c>
      <c r="C1627" s="5" t="s">
        <v>2431</v>
      </c>
      <c r="D1627" s="5" t="s">
        <v>35</v>
      </c>
      <c r="E1627" s="5" t="s">
        <v>307</v>
      </c>
      <c r="F1627" s="5" t="s">
        <v>122</v>
      </c>
      <c r="G1627" s="5" t="s">
        <v>123</v>
      </c>
      <c r="H1627" s="6">
        <v>0</v>
      </c>
      <c r="I1627" s="6">
        <f t="shared" si="310"/>
        <v>1130458.7368421052</v>
      </c>
      <c r="J1627" s="6">
        <v>214787.16</v>
      </c>
      <c r="K1627" s="6">
        <v>0</v>
      </c>
      <c r="L1627" s="6">
        <v>0</v>
      </c>
      <c r="M1627" s="6">
        <f t="shared" si="324"/>
        <v>1130458.7368421052</v>
      </c>
      <c r="N1627" s="6">
        <f t="shared" si="325"/>
        <v>214787.16</v>
      </c>
      <c r="O1627" s="6">
        <f t="shared" si="311"/>
        <v>1345245.8968421051</v>
      </c>
      <c r="P1627" s="6">
        <v>2352383.73</v>
      </c>
      <c r="Q1627" s="6">
        <f t="shared" si="326"/>
        <v>1130458.7368421052</v>
      </c>
      <c r="R1627" s="6">
        <f t="shared" si="321"/>
        <v>28261.468421052628</v>
      </c>
      <c r="S1627" s="5"/>
      <c r="U1627" s="5"/>
      <c r="V1627" s="5"/>
    </row>
    <row r="1628" spans="2:22" x14ac:dyDescent="0.3">
      <c r="B1628" s="5" t="s">
        <v>16</v>
      </c>
      <c r="C1628" s="5" t="s">
        <v>2432</v>
      </c>
      <c r="D1628" s="5" t="s">
        <v>35</v>
      </c>
      <c r="E1628" s="5" t="s">
        <v>1188</v>
      </c>
      <c r="F1628" s="5" t="s">
        <v>122</v>
      </c>
      <c r="G1628" s="5" t="s">
        <v>123</v>
      </c>
      <c r="H1628" s="6">
        <f>+P1628-I1628-J1628</f>
        <v>0.39736842119600624</v>
      </c>
      <c r="I1628" s="6">
        <f t="shared" si="310"/>
        <v>1485690.0526315789</v>
      </c>
      <c r="J1628" s="6">
        <v>282281.11</v>
      </c>
      <c r="K1628" s="6">
        <v>0</v>
      </c>
      <c r="L1628" s="6">
        <v>0</v>
      </c>
      <c r="M1628" s="6">
        <f t="shared" si="324"/>
        <v>1485690.4500000002</v>
      </c>
      <c r="N1628" s="6">
        <f t="shared" si="325"/>
        <v>282281.11</v>
      </c>
      <c r="O1628" s="6">
        <f t="shared" si="311"/>
        <v>1767971.56</v>
      </c>
      <c r="P1628" s="6">
        <v>1767971.56</v>
      </c>
      <c r="Q1628" s="6">
        <f t="shared" si="326"/>
        <v>1485690.4500000002</v>
      </c>
      <c r="R1628" s="6">
        <f t="shared" si="321"/>
        <v>37142.261250000003</v>
      </c>
      <c r="S1628" s="9"/>
      <c r="U1628" s="5"/>
      <c r="V1628" s="5"/>
    </row>
    <row r="1629" spans="2:22" s="5" customFormat="1" x14ac:dyDescent="0.3">
      <c r="B1629" s="5" t="s">
        <v>16</v>
      </c>
      <c r="C1629" s="5" t="s">
        <v>2433</v>
      </c>
      <c r="D1629" s="5" t="s">
        <v>35</v>
      </c>
      <c r="E1629" s="5" t="s">
        <v>75</v>
      </c>
      <c r="F1629" s="5" t="s">
        <v>122</v>
      </c>
      <c r="G1629" s="5" t="s">
        <v>123</v>
      </c>
      <c r="H1629" s="6">
        <f>+P1629-I1629-J1629</f>
        <v>0.3199999998905696</v>
      </c>
      <c r="I1629" s="6">
        <f t="shared" si="310"/>
        <v>2367057</v>
      </c>
      <c r="J1629" s="6">
        <v>449740.83</v>
      </c>
      <c r="K1629" s="6">
        <v>0</v>
      </c>
      <c r="L1629" s="6">
        <v>0</v>
      </c>
      <c r="M1629" s="6">
        <f t="shared" si="324"/>
        <v>2367057.3199999998</v>
      </c>
      <c r="N1629" s="6">
        <f t="shared" si="325"/>
        <v>449740.83</v>
      </c>
      <c r="O1629" s="6">
        <f t="shared" si="311"/>
        <v>2816798.15</v>
      </c>
      <c r="P1629" s="6">
        <v>2816798.15</v>
      </c>
      <c r="Q1629" s="6">
        <f t="shared" si="326"/>
        <v>2367057.3199999998</v>
      </c>
      <c r="R1629" s="6">
        <f t="shared" si="321"/>
        <v>59176.432999999997</v>
      </c>
      <c r="S1629" s="9"/>
      <c r="T1629"/>
    </row>
    <row r="1630" spans="2:22" s="5" customFormat="1" x14ac:dyDescent="0.3">
      <c r="B1630" s="5" t="s">
        <v>16</v>
      </c>
      <c r="C1630" s="5" t="s">
        <v>2434</v>
      </c>
      <c r="D1630" s="5" t="s">
        <v>35</v>
      </c>
      <c r="E1630" s="5" t="s">
        <v>643</v>
      </c>
      <c r="F1630" s="5" t="s">
        <v>122</v>
      </c>
      <c r="G1630" s="5" t="s">
        <v>2435</v>
      </c>
      <c r="H1630" s="6">
        <v>0.4657894738484174</v>
      </c>
      <c r="I1630" s="6">
        <f t="shared" ref="I1630:I1693" si="327">+J1630/19*100</f>
        <v>1597907.6842105263</v>
      </c>
      <c r="J1630" s="6">
        <v>303602.46000000002</v>
      </c>
      <c r="K1630" s="6">
        <v>0</v>
      </c>
      <c r="L1630" s="6">
        <v>0</v>
      </c>
      <c r="M1630" s="6">
        <f t="shared" si="324"/>
        <v>1597908.1500000001</v>
      </c>
      <c r="N1630" s="6">
        <f t="shared" si="325"/>
        <v>303602.46000000002</v>
      </c>
      <c r="O1630" s="6">
        <f t="shared" ref="O1630:O1693" si="328">+M1630+N1630</f>
        <v>1901510.61</v>
      </c>
      <c r="P1630" s="6">
        <v>1901510.61</v>
      </c>
      <c r="Q1630" s="6">
        <f t="shared" si="326"/>
        <v>1597908.1500000001</v>
      </c>
      <c r="R1630" s="6">
        <f t="shared" si="321"/>
        <v>39947.703750000008</v>
      </c>
      <c r="S1630" s="9"/>
      <c r="T1630"/>
    </row>
    <row r="1631" spans="2:22" s="5" customFormat="1" x14ac:dyDescent="0.3">
      <c r="B1631" s="5" t="s">
        <v>16</v>
      </c>
      <c r="C1631" s="5" t="s">
        <v>2436</v>
      </c>
      <c r="D1631" s="5" t="s">
        <v>35</v>
      </c>
      <c r="E1631" s="5" t="s">
        <v>791</v>
      </c>
      <c r="F1631" s="5" t="s">
        <v>122</v>
      </c>
      <c r="G1631" s="5" t="s">
        <v>2435</v>
      </c>
      <c r="H1631" s="6">
        <v>2569045.0099999998</v>
      </c>
      <c r="I1631" s="6">
        <f t="shared" si="327"/>
        <v>0</v>
      </c>
      <c r="J1631" s="6">
        <v>0</v>
      </c>
      <c r="K1631" s="6">
        <v>0</v>
      </c>
      <c r="L1631" s="6">
        <v>0</v>
      </c>
      <c r="M1631" s="6">
        <f t="shared" si="324"/>
        <v>2569045.0099999998</v>
      </c>
      <c r="N1631" s="6">
        <f t="shared" si="325"/>
        <v>0</v>
      </c>
      <c r="O1631" s="6">
        <f t="shared" si="328"/>
        <v>2569045.0099999998</v>
      </c>
      <c r="P1631" s="6">
        <v>2569045.0099999998</v>
      </c>
      <c r="Q1631" s="6">
        <f t="shared" si="326"/>
        <v>2569045.0099999998</v>
      </c>
      <c r="R1631" s="6">
        <f t="shared" si="321"/>
        <v>64226.125249999997</v>
      </c>
      <c r="S1631" s="9"/>
      <c r="T1631"/>
    </row>
    <row r="1632" spans="2:22" s="5" customFormat="1" x14ac:dyDescent="0.3">
      <c r="B1632" s="5" t="s">
        <v>16</v>
      </c>
      <c r="C1632" s="5" t="s">
        <v>2437</v>
      </c>
      <c r="D1632" s="5" t="s">
        <v>35</v>
      </c>
      <c r="E1632" s="5" t="s">
        <v>1484</v>
      </c>
      <c r="F1632" s="5" t="s">
        <v>122</v>
      </c>
      <c r="G1632" s="5" t="s">
        <v>2435</v>
      </c>
      <c r="H1632" s="6">
        <v>104421.00526315789</v>
      </c>
      <c r="I1632" s="6">
        <f t="shared" si="327"/>
        <v>1918307.894736842</v>
      </c>
      <c r="J1632" s="6">
        <v>364478.5</v>
      </c>
      <c r="K1632" s="6"/>
      <c r="L1632" s="6"/>
      <c r="M1632" s="6">
        <f>+H1632+I1632</f>
        <v>2022728.9</v>
      </c>
      <c r="N1632" s="6">
        <f>+J1632</f>
        <v>364478.5</v>
      </c>
      <c r="O1632" s="6">
        <f t="shared" si="328"/>
        <v>2387207.4</v>
      </c>
      <c r="P1632" s="6">
        <v>2387207.4</v>
      </c>
      <c r="Q1632" s="6">
        <f t="shared" si="326"/>
        <v>2022728.9</v>
      </c>
      <c r="R1632" s="6">
        <f t="shared" si="321"/>
        <v>50568.222500000003</v>
      </c>
      <c r="T1632"/>
    </row>
    <row r="1633" spans="2:22" s="5" customFormat="1" x14ac:dyDescent="0.3">
      <c r="B1633" s="5" t="s">
        <v>16</v>
      </c>
      <c r="C1633" s="5" t="s">
        <v>2438</v>
      </c>
      <c r="D1633" s="5" t="s">
        <v>35</v>
      </c>
      <c r="E1633" s="5" t="s">
        <v>633</v>
      </c>
      <c r="F1633" s="5" t="s">
        <v>122</v>
      </c>
      <c r="G1633" s="5" t="s">
        <v>2435</v>
      </c>
      <c r="H1633" s="6">
        <v>1632823.517368421</v>
      </c>
      <c r="I1633" s="6">
        <f t="shared" si="327"/>
        <v>820574.05263157911</v>
      </c>
      <c r="J1633" s="6">
        <v>155909.07</v>
      </c>
      <c r="K1633" s="6"/>
      <c r="L1633" s="6"/>
      <c r="M1633" s="6">
        <f>+H1633+I1633</f>
        <v>2453397.5700000003</v>
      </c>
      <c r="N1633" s="6">
        <f>+J1633</f>
        <v>155909.07</v>
      </c>
      <c r="O1633" s="6">
        <f t="shared" si="328"/>
        <v>2609306.64</v>
      </c>
      <c r="P1633" s="6">
        <v>2609306.64</v>
      </c>
      <c r="Q1633" s="6">
        <f t="shared" si="326"/>
        <v>2453397.5700000003</v>
      </c>
      <c r="R1633" s="6">
        <f t="shared" si="321"/>
        <v>61334.93925000001</v>
      </c>
      <c r="T1633"/>
    </row>
    <row r="1634" spans="2:22" s="5" customFormat="1" x14ac:dyDescent="0.3">
      <c r="B1634" s="5" t="s">
        <v>16</v>
      </c>
      <c r="C1634" s="5" t="s">
        <v>2439</v>
      </c>
      <c r="D1634" s="5" t="s">
        <v>35</v>
      </c>
      <c r="E1634" s="5" t="s">
        <v>1275</v>
      </c>
      <c r="F1634" s="5" t="s">
        <v>122</v>
      </c>
      <c r="G1634" s="5" t="s">
        <v>2435</v>
      </c>
      <c r="H1634" s="6">
        <v>0.42684210580773652</v>
      </c>
      <c r="I1634" s="6">
        <f t="shared" si="327"/>
        <v>3050451.2631578944</v>
      </c>
      <c r="J1634" s="6">
        <v>579585.74</v>
      </c>
      <c r="K1634" s="6"/>
      <c r="L1634" s="6"/>
      <c r="M1634" s="6">
        <f>+H1634+I1634</f>
        <v>3050451.6900000004</v>
      </c>
      <c r="N1634" s="6">
        <f>+J1634</f>
        <v>579585.74</v>
      </c>
      <c r="O1634" s="6">
        <f t="shared" si="328"/>
        <v>3630037.4300000006</v>
      </c>
      <c r="P1634" s="6">
        <v>3630037.43</v>
      </c>
      <c r="Q1634" s="6">
        <f t="shared" si="326"/>
        <v>3050451.6900000004</v>
      </c>
      <c r="R1634" s="6">
        <f t="shared" si="321"/>
        <v>76261.292250000013</v>
      </c>
      <c r="T1634"/>
    </row>
    <row r="1635" spans="2:22" s="5" customFormat="1" x14ac:dyDescent="0.3">
      <c r="B1635" s="7" t="s">
        <v>16</v>
      </c>
      <c r="C1635" s="7" t="s">
        <v>2440</v>
      </c>
      <c r="D1635" s="7" t="s">
        <v>35</v>
      </c>
      <c r="E1635" s="7" t="s">
        <v>464</v>
      </c>
      <c r="F1635" s="7" t="s">
        <v>122</v>
      </c>
      <c r="G1635" s="7" t="s">
        <v>2435</v>
      </c>
      <c r="H1635" s="8">
        <f>+P1635-I1635-J1635</f>
        <v>0.26947368425317109</v>
      </c>
      <c r="I1635" s="8">
        <f t="shared" si="327"/>
        <v>1904659.2105263157</v>
      </c>
      <c r="J1635" s="8">
        <v>361885.25</v>
      </c>
      <c r="K1635" s="8">
        <v>0</v>
      </c>
      <c r="L1635" s="8">
        <v>0</v>
      </c>
      <c r="M1635" s="8">
        <f>+I1635+H1635</f>
        <v>1904659.48</v>
      </c>
      <c r="N1635" s="8">
        <f t="shared" ref="N1635:N1640" si="329">+J1635+L1635</f>
        <v>361885.25</v>
      </c>
      <c r="O1635" s="8">
        <f t="shared" si="328"/>
        <v>2266544.73</v>
      </c>
      <c r="P1635" s="8">
        <v>2266544.73</v>
      </c>
      <c r="Q1635" s="8">
        <f t="shared" si="326"/>
        <v>1904659.48</v>
      </c>
      <c r="R1635" s="8">
        <f t="shared" si="321"/>
        <v>47616.487000000001</v>
      </c>
      <c r="T1635"/>
      <c r="U1635" s="7"/>
      <c r="V1635" s="7"/>
    </row>
    <row r="1636" spans="2:22" s="5" customFormat="1" x14ac:dyDescent="0.3">
      <c r="B1636" s="5" t="s">
        <v>16</v>
      </c>
      <c r="C1636" s="5" t="s">
        <v>2441</v>
      </c>
      <c r="D1636" s="5" t="s">
        <v>1085</v>
      </c>
      <c r="E1636" s="5" t="s">
        <v>892</v>
      </c>
      <c r="F1636" s="5" t="s">
        <v>254</v>
      </c>
      <c r="G1636" s="5" t="s">
        <v>255</v>
      </c>
      <c r="H1636" s="6">
        <f>+P1636-I1636-J1636</f>
        <v>-2.5263157993322238E-2</v>
      </c>
      <c r="I1636" s="6">
        <f t="shared" si="327"/>
        <v>925210.10526315798</v>
      </c>
      <c r="J1636" s="6">
        <v>175789.92</v>
      </c>
      <c r="K1636" s="6">
        <v>0</v>
      </c>
      <c r="L1636" s="6">
        <v>0</v>
      </c>
      <c r="M1636" s="6">
        <f>+H1636+I1636+K1636</f>
        <v>925210.08</v>
      </c>
      <c r="N1636" s="6">
        <f t="shared" si="329"/>
        <v>175789.92</v>
      </c>
      <c r="O1636" s="6">
        <f t="shared" si="328"/>
        <v>1101000</v>
      </c>
      <c r="P1636" s="6">
        <v>1101000</v>
      </c>
      <c r="Q1636" s="6">
        <f t="shared" si="326"/>
        <v>925210.08</v>
      </c>
      <c r="R1636" s="6">
        <f t="shared" si="321"/>
        <v>23130.251999999997</v>
      </c>
      <c r="T1636"/>
    </row>
    <row r="1637" spans="2:22" s="5" customFormat="1" x14ac:dyDescent="0.3">
      <c r="B1637" s="5" t="s">
        <v>16</v>
      </c>
      <c r="C1637" s="5" t="s">
        <v>2442</v>
      </c>
      <c r="D1637" s="5" t="s">
        <v>2443</v>
      </c>
      <c r="E1637" s="5" t="s">
        <v>1193</v>
      </c>
      <c r="F1637" s="5" t="s">
        <v>2444</v>
      </c>
      <c r="G1637" s="5" t="s">
        <v>2445</v>
      </c>
      <c r="H1637" s="6">
        <v>0</v>
      </c>
      <c r="I1637" s="6">
        <f t="shared" si="327"/>
        <v>8548550.4299999997</v>
      </c>
      <c r="J1637" s="6">
        <v>1624224.5817</v>
      </c>
      <c r="K1637" s="6">
        <v>0</v>
      </c>
      <c r="L1637" s="6">
        <v>0</v>
      </c>
      <c r="M1637" s="6">
        <f>+H1637+I1637+K1637</f>
        <v>8548550.4299999997</v>
      </c>
      <c r="N1637" s="6">
        <f t="shared" si="329"/>
        <v>1624224.5817</v>
      </c>
      <c r="O1637" s="6">
        <f t="shared" si="328"/>
        <v>10172775.011700001</v>
      </c>
      <c r="P1637" s="6">
        <v>10172775.011700001</v>
      </c>
      <c r="Q1637" s="6">
        <f>+P1637-O1637</f>
        <v>0</v>
      </c>
      <c r="R1637" s="6">
        <f t="shared" si="321"/>
        <v>0</v>
      </c>
      <c r="S1637" s="7"/>
      <c r="T1637"/>
    </row>
    <row r="1638" spans="2:22" s="5" customFormat="1" x14ac:dyDescent="0.3">
      <c r="B1638" s="5" t="s">
        <v>16</v>
      </c>
      <c r="C1638" s="5" t="s">
        <v>2446</v>
      </c>
      <c r="D1638" s="5" t="s">
        <v>2443</v>
      </c>
      <c r="E1638" s="5" t="s">
        <v>914</v>
      </c>
      <c r="F1638" s="5" t="s">
        <v>2444</v>
      </c>
      <c r="G1638" s="5" t="s">
        <v>2445</v>
      </c>
      <c r="H1638" s="6">
        <v>0</v>
      </c>
      <c r="I1638" s="6">
        <f t="shared" si="327"/>
        <v>50764622.57</v>
      </c>
      <c r="J1638" s="6">
        <v>9645278.2883000001</v>
      </c>
      <c r="K1638" s="6">
        <v>0</v>
      </c>
      <c r="L1638" s="6">
        <v>0</v>
      </c>
      <c r="M1638" s="6">
        <f>+H1638+I1638+K1638</f>
        <v>50764622.57</v>
      </c>
      <c r="N1638" s="6">
        <f t="shared" si="329"/>
        <v>9645278.2883000001</v>
      </c>
      <c r="O1638" s="6">
        <f t="shared" si="328"/>
        <v>60409900.8583</v>
      </c>
      <c r="P1638" s="6">
        <v>60409900.8583</v>
      </c>
      <c r="Q1638" s="6">
        <v>0</v>
      </c>
      <c r="R1638" s="6">
        <f t="shared" si="321"/>
        <v>0</v>
      </c>
      <c r="S1638" s="7"/>
      <c r="T1638"/>
    </row>
    <row r="1639" spans="2:22" s="5" customFormat="1" x14ac:dyDescent="0.3">
      <c r="B1639" s="5" t="s">
        <v>16</v>
      </c>
      <c r="C1639" s="5" t="s">
        <v>2447</v>
      </c>
      <c r="D1639" s="5" t="s">
        <v>2443</v>
      </c>
      <c r="E1639" s="5" t="s">
        <v>1094</v>
      </c>
      <c r="F1639" s="5" t="s">
        <v>2444</v>
      </c>
      <c r="G1639" s="5" t="s">
        <v>2445</v>
      </c>
      <c r="H1639" s="6">
        <v>0</v>
      </c>
      <c r="I1639" s="6">
        <f t="shared" si="327"/>
        <v>4029429</v>
      </c>
      <c r="J1639" s="6">
        <v>765591.51</v>
      </c>
      <c r="K1639" s="6">
        <v>0</v>
      </c>
      <c r="L1639" s="6">
        <v>0</v>
      </c>
      <c r="M1639" s="6">
        <f>+H1639+I1639+K1639</f>
        <v>4029429</v>
      </c>
      <c r="N1639" s="6">
        <f t="shared" si="329"/>
        <v>765591.51</v>
      </c>
      <c r="O1639" s="6">
        <f t="shared" si="328"/>
        <v>4795020.51</v>
      </c>
      <c r="P1639" s="6">
        <v>4795020.51</v>
      </c>
      <c r="Q1639" s="6">
        <v>0</v>
      </c>
      <c r="R1639" s="6">
        <f t="shared" si="321"/>
        <v>0</v>
      </c>
      <c r="S1639" s="7"/>
      <c r="T1639"/>
    </row>
    <row r="1640" spans="2:22" s="5" customFormat="1" x14ac:dyDescent="0.3">
      <c r="B1640" s="5" t="s">
        <v>16</v>
      </c>
      <c r="C1640" s="5" t="s">
        <v>2448</v>
      </c>
      <c r="D1640" s="5" t="s">
        <v>2443</v>
      </c>
      <c r="E1640" s="5" t="s">
        <v>803</v>
      </c>
      <c r="F1640" s="5" t="s">
        <v>2444</v>
      </c>
      <c r="G1640" s="5" t="s">
        <v>2445</v>
      </c>
      <c r="H1640" s="6">
        <v>0</v>
      </c>
      <c r="I1640" s="6">
        <f t="shared" si="327"/>
        <v>8375380.4300000006</v>
      </c>
      <c r="J1640" s="6">
        <v>1591322.2816999999</v>
      </c>
      <c r="K1640" s="6">
        <v>0</v>
      </c>
      <c r="L1640" s="6">
        <v>0</v>
      </c>
      <c r="M1640" s="6">
        <f>+H1640+I1640+K1640</f>
        <v>8375380.4300000006</v>
      </c>
      <c r="N1640" s="6">
        <f t="shared" si="329"/>
        <v>1591322.2816999999</v>
      </c>
      <c r="O1640" s="6">
        <f t="shared" si="328"/>
        <v>9966702.7116999999</v>
      </c>
      <c r="P1640" s="6">
        <v>9966702.7116999999</v>
      </c>
      <c r="Q1640" s="6">
        <v>0</v>
      </c>
      <c r="R1640" s="6">
        <f t="shared" si="321"/>
        <v>0</v>
      </c>
      <c r="S1640" s="7"/>
      <c r="T1640"/>
    </row>
    <row r="1641" spans="2:22" s="5" customFormat="1" x14ac:dyDescent="0.3">
      <c r="B1641" s="5" t="s">
        <v>16</v>
      </c>
      <c r="C1641" s="5" t="s">
        <v>2449</v>
      </c>
      <c r="D1641" s="5" t="s">
        <v>2443</v>
      </c>
      <c r="E1641" s="5" t="s">
        <v>671</v>
      </c>
      <c r="F1641" s="5" t="s">
        <v>2444</v>
      </c>
      <c r="G1641" s="5" t="s">
        <v>2445</v>
      </c>
      <c r="H1641" s="6">
        <v>3046467.9999999995</v>
      </c>
      <c r="I1641" s="6">
        <f t="shared" si="327"/>
        <v>1960739.9999999998</v>
      </c>
      <c r="J1641" s="6">
        <v>372540.6</v>
      </c>
      <c r="K1641" s="6"/>
      <c r="L1641" s="6"/>
      <c r="M1641" s="6">
        <f>+H1641+I1641</f>
        <v>5007207.9999999991</v>
      </c>
      <c r="N1641" s="6">
        <f>+J1641</f>
        <v>372540.6</v>
      </c>
      <c r="O1641" s="6">
        <f t="shared" si="328"/>
        <v>5379748.5999999987</v>
      </c>
      <c r="P1641" s="6">
        <v>5379748.5999999996</v>
      </c>
      <c r="Q1641" s="6"/>
      <c r="R1641" s="6">
        <f t="shared" si="321"/>
        <v>0</v>
      </c>
      <c r="S1641" s="7"/>
      <c r="T1641"/>
      <c r="U1641" s="9"/>
    </row>
    <row r="1642" spans="2:22" s="5" customFormat="1" x14ac:dyDescent="0.3">
      <c r="B1642" s="5" t="s">
        <v>16</v>
      </c>
      <c r="C1642" s="5" t="s">
        <v>2450</v>
      </c>
      <c r="D1642" s="5" t="s">
        <v>2443</v>
      </c>
      <c r="E1642" s="5" t="s">
        <v>671</v>
      </c>
      <c r="F1642" s="5" t="s">
        <v>2444</v>
      </c>
      <c r="G1642" s="5" t="s">
        <v>2445</v>
      </c>
      <c r="H1642" s="6">
        <v>733906.55999999959</v>
      </c>
      <c r="I1642" s="6">
        <f t="shared" si="327"/>
        <v>2847847.68</v>
      </c>
      <c r="J1642" s="6">
        <v>541091.05920000002</v>
      </c>
      <c r="K1642" s="6"/>
      <c r="L1642" s="6"/>
      <c r="M1642" s="6">
        <f>+H1642+I1642</f>
        <v>3581754.2399999998</v>
      </c>
      <c r="N1642" s="6">
        <f>+J1642</f>
        <v>541091.05920000002</v>
      </c>
      <c r="O1642" s="6">
        <f t="shared" si="328"/>
        <v>4122845.2991999998</v>
      </c>
      <c r="P1642" s="6">
        <v>4122845.2991999998</v>
      </c>
      <c r="Q1642" s="6"/>
      <c r="R1642" s="6">
        <f t="shared" si="321"/>
        <v>0</v>
      </c>
      <c r="S1642" s="7"/>
      <c r="T1642"/>
      <c r="U1642" s="9"/>
    </row>
    <row r="1643" spans="2:22" s="5" customFormat="1" x14ac:dyDescent="0.3">
      <c r="B1643" s="5" t="s">
        <v>16</v>
      </c>
      <c r="C1643" s="5" t="s">
        <v>2451</v>
      </c>
      <c r="D1643" s="5" t="s">
        <v>2452</v>
      </c>
      <c r="E1643" s="5" t="s">
        <v>1423</v>
      </c>
      <c r="F1643" s="5" t="s">
        <v>2444</v>
      </c>
      <c r="G1643" s="5" t="s">
        <v>2445</v>
      </c>
      <c r="H1643" s="6">
        <v>0</v>
      </c>
      <c r="I1643" s="6">
        <f t="shared" si="327"/>
        <v>634034</v>
      </c>
      <c r="J1643" s="6">
        <v>120466.46</v>
      </c>
      <c r="K1643" s="6"/>
      <c r="L1643" s="6"/>
      <c r="M1643" s="6">
        <f>+H1643+I1643</f>
        <v>634034</v>
      </c>
      <c r="N1643" s="6">
        <f>+J1643</f>
        <v>120466.46</v>
      </c>
      <c r="O1643" s="6">
        <f t="shared" si="328"/>
        <v>754500.46</v>
      </c>
      <c r="P1643" s="6">
        <v>754500.46</v>
      </c>
      <c r="Q1643" s="6"/>
      <c r="R1643" s="6">
        <f t="shared" si="321"/>
        <v>0</v>
      </c>
      <c r="T1643"/>
      <c r="U1643" s="9"/>
    </row>
    <row r="1644" spans="2:22" s="5" customFormat="1" x14ac:dyDescent="0.3">
      <c r="B1644" s="5" t="s">
        <v>16</v>
      </c>
      <c r="C1644" s="5" t="s">
        <v>2453</v>
      </c>
      <c r="D1644" s="5" t="s">
        <v>2443</v>
      </c>
      <c r="E1644" s="5" t="s">
        <v>1423</v>
      </c>
      <c r="F1644" s="5" t="s">
        <v>2444</v>
      </c>
      <c r="G1644" s="5" t="s">
        <v>2445</v>
      </c>
      <c r="H1644" s="6">
        <v>1005612.24</v>
      </c>
      <c r="I1644" s="6">
        <f t="shared" si="327"/>
        <v>697351.68000000005</v>
      </c>
      <c r="J1644" s="6">
        <v>132496.8192</v>
      </c>
      <c r="K1644" s="6"/>
      <c r="L1644" s="6"/>
      <c r="M1644" s="6">
        <f>+H1644+I1644</f>
        <v>1702963.92</v>
      </c>
      <c r="N1644" s="6">
        <f>+J1644</f>
        <v>132496.8192</v>
      </c>
      <c r="O1644" s="6">
        <f t="shared" si="328"/>
        <v>1835460.7392</v>
      </c>
      <c r="P1644" s="6">
        <v>1835460.7392</v>
      </c>
      <c r="Q1644" s="6"/>
      <c r="R1644" s="6">
        <f t="shared" si="321"/>
        <v>0</v>
      </c>
      <c r="T1644"/>
    </row>
    <row r="1645" spans="2:22" s="5" customFormat="1" x14ac:dyDescent="0.3">
      <c r="B1645" s="5" t="s">
        <v>16</v>
      </c>
      <c r="C1645" s="5" t="s">
        <v>2454</v>
      </c>
      <c r="D1645" s="5" t="s">
        <v>2443</v>
      </c>
      <c r="E1645" s="5" t="s">
        <v>1098</v>
      </c>
      <c r="F1645" s="5" t="s">
        <v>2444</v>
      </c>
      <c r="G1645" s="5" t="s">
        <v>2445</v>
      </c>
      <c r="H1645" s="6">
        <v>877500.00000000023</v>
      </c>
      <c r="I1645" s="6">
        <f t="shared" si="327"/>
        <v>3439746</v>
      </c>
      <c r="J1645" s="6">
        <v>653551.74</v>
      </c>
      <c r="K1645" s="6"/>
      <c r="L1645" s="6"/>
      <c r="M1645" s="6">
        <f>+H1645+I1645</f>
        <v>4317246</v>
      </c>
      <c r="N1645" s="6">
        <f>+J1645</f>
        <v>653551.74</v>
      </c>
      <c r="O1645" s="6">
        <f t="shared" si="328"/>
        <v>4970797.74</v>
      </c>
      <c r="P1645" s="6">
        <v>4970797.74</v>
      </c>
      <c r="Q1645" s="6"/>
      <c r="R1645" s="6">
        <f t="shared" si="321"/>
        <v>0</v>
      </c>
      <c r="T1645"/>
    </row>
    <row r="1646" spans="2:22" s="5" customFormat="1" x14ac:dyDescent="0.3">
      <c r="B1646" s="7" t="s">
        <v>16</v>
      </c>
      <c r="C1646" s="7" t="s">
        <v>2455</v>
      </c>
      <c r="D1646" s="7" t="s">
        <v>2452</v>
      </c>
      <c r="E1646" s="7" t="s">
        <v>818</v>
      </c>
      <c r="F1646" s="7" t="s">
        <v>2444</v>
      </c>
      <c r="G1646" s="7" t="s">
        <v>2445</v>
      </c>
      <c r="H1646" s="8">
        <f t="shared" ref="H1646:H1677" si="330">+P1646-I1646-J1646</f>
        <v>0</v>
      </c>
      <c r="I1646" s="8">
        <f t="shared" si="327"/>
        <v>472555</v>
      </c>
      <c r="J1646" s="8">
        <v>89785.45</v>
      </c>
      <c r="K1646" s="8">
        <v>0</v>
      </c>
      <c r="L1646" s="8">
        <v>0</v>
      </c>
      <c r="M1646" s="8">
        <f t="shared" ref="M1646:M1651" si="331">+I1646+H1646</f>
        <v>472555</v>
      </c>
      <c r="N1646" s="8">
        <f t="shared" ref="N1646:N1656" si="332">+J1646+L1646</f>
        <v>89785.45</v>
      </c>
      <c r="O1646" s="8">
        <f t="shared" si="328"/>
        <v>562340.44999999995</v>
      </c>
      <c r="P1646" s="8">
        <v>562340.44999999995</v>
      </c>
      <c r="Q1646" s="8">
        <v>0</v>
      </c>
      <c r="R1646" s="8">
        <f t="shared" si="321"/>
        <v>0</v>
      </c>
      <c r="T1646"/>
      <c r="U1646" s="7"/>
      <c r="V1646" s="7"/>
    </row>
    <row r="1647" spans="2:22" s="5" customFormat="1" x14ac:dyDescent="0.3">
      <c r="B1647" s="7" t="s">
        <v>16</v>
      </c>
      <c r="C1647" s="7" t="s">
        <v>2456</v>
      </c>
      <c r="D1647" s="7" t="s">
        <v>2443</v>
      </c>
      <c r="E1647" s="7" t="s">
        <v>2154</v>
      </c>
      <c r="F1647" s="7" t="s">
        <v>2444</v>
      </c>
      <c r="G1647" s="7" t="s">
        <v>2445</v>
      </c>
      <c r="H1647" s="8">
        <f t="shared" si="330"/>
        <v>0</v>
      </c>
      <c r="I1647" s="8">
        <f t="shared" si="327"/>
        <v>17871526.780000001</v>
      </c>
      <c r="J1647" s="8">
        <v>3395590.0882000001</v>
      </c>
      <c r="K1647" s="8">
        <v>0</v>
      </c>
      <c r="L1647" s="8">
        <v>0</v>
      </c>
      <c r="M1647" s="8">
        <f t="shared" si="331"/>
        <v>17871526.780000001</v>
      </c>
      <c r="N1647" s="8">
        <f t="shared" si="332"/>
        <v>3395590.0882000001</v>
      </c>
      <c r="O1647" s="8">
        <f t="shared" si="328"/>
        <v>21267116.8682</v>
      </c>
      <c r="P1647" s="8">
        <v>21267116.8682</v>
      </c>
      <c r="Q1647" s="8">
        <v>0</v>
      </c>
      <c r="R1647" s="8">
        <f t="shared" si="321"/>
        <v>0</v>
      </c>
      <c r="T1647"/>
      <c r="U1647" s="7"/>
      <c r="V1647" s="7"/>
    </row>
    <row r="1648" spans="2:22" s="5" customFormat="1" x14ac:dyDescent="0.3">
      <c r="B1648" s="7" t="s">
        <v>16</v>
      </c>
      <c r="C1648" s="7" t="s">
        <v>2457</v>
      </c>
      <c r="D1648" s="7" t="s">
        <v>2443</v>
      </c>
      <c r="E1648" s="7" t="s">
        <v>2154</v>
      </c>
      <c r="F1648" s="7" t="s">
        <v>2444</v>
      </c>
      <c r="G1648" s="7" t="s">
        <v>2445</v>
      </c>
      <c r="H1648" s="8">
        <f t="shared" si="330"/>
        <v>2145552</v>
      </c>
      <c r="I1648" s="8">
        <f t="shared" si="327"/>
        <v>5771400</v>
      </c>
      <c r="J1648" s="8">
        <v>1096566</v>
      </c>
      <c r="K1648" s="8">
        <v>0</v>
      </c>
      <c r="L1648" s="8">
        <v>0</v>
      </c>
      <c r="M1648" s="8">
        <f t="shared" si="331"/>
        <v>7916952</v>
      </c>
      <c r="N1648" s="8">
        <f t="shared" si="332"/>
        <v>1096566</v>
      </c>
      <c r="O1648" s="8">
        <f t="shared" si="328"/>
        <v>9013518</v>
      </c>
      <c r="P1648" s="8">
        <v>9013518</v>
      </c>
      <c r="Q1648" s="8">
        <v>0</v>
      </c>
      <c r="R1648" s="8">
        <f t="shared" si="321"/>
        <v>0</v>
      </c>
      <c r="T1648"/>
    </row>
    <row r="1649" spans="2:22" s="5" customFormat="1" x14ac:dyDescent="0.3">
      <c r="B1649" s="7" t="s">
        <v>16</v>
      </c>
      <c r="C1649" s="7" t="s">
        <v>2458</v>
      </c>
      <c r="D1649" s="7" t="s">
        <v>2443</v>
      </c>
      <c r="E1649" s="7" t="s">
        <v>2154</v>
      </c>
      <c r="F1649" s="7" t="s">
        <v>2444</v>
      </c>
      <c r="G1649" s="7" t="s">
        <v>2445</v>
      </c>
      <c r="H1649" s="8">
        <f t="shared" si="330"/>
        <v>0</v>
      </c>
      <c r="I1649" s="8">
        <f t="shared" si="327"/>
        <v>198536.14</v>
      </c>
      <c r="J1649" s="8">
        <v>37721.866600000001</v>
      </c>
      <c r="K1649" s="8">
        <v>0</v>
      </c>
      <c r="L1649" s="8">
        <v>0</v>
      </c>
      <c r="M1649" s="8">
        <f t="shared" si="331"/>
        <v>198536.14</v>
      </c>
      <c r="N1649" s="8">
        <f t="shared" si="332"/>
        <v>37721.866600000001</v>
      </c>
      <c r="O1649" s="8">
        <f t="shared" si="328"/>
        <v>236258.00660000002</v>
      </c>
      <c r="P1649" s="8">
        <v>236258.00659999999</v>
      </c>
      <c r="Q1649" s="8">
        <v>0</v>
      </c>
      <c r="R1649" s="8">
        <f t="shared" si="321"/>
        <v>0</v>
      </c>
      <c r="T1649"/>
    </row>
    <row r="1650" spans="2:22" s="5" customFormat="1" x14ac:dyDescent="0.3">
      <c r="B1650" s="7" t="s">
        <v>16</v>
      </c>
      <c r="C1650" s="7" t="s">
        <v>2459</v>
      </c>
      <c r="D1650" s="7" t="s">
        <v>2443</v>
      </c>
      <c r="E1650" s="7" t="s">
        <v>2154</v>
      </c>
      <c r="F1650" s="7" t="s">
        <v>2444</v>
      </c>
      <c r="G1650" s="7" t="s">
        <v>2445</v>
      </c>
      <c r="H1650" s="8">
        <f t="shared" si="330"/>
        <v>0</v>
      </c>
      <c r="I1650" s="8">
        <f t="shared" si="327"/>
        <v>99305.040000000008</v>
      </c>
      <c r="J1650" s="8">
        <v>18867.957600000002</v>
      </c>
      <c r="K1650" s="8">
        <v>0</v>
      </c>
      <c r="L1650" s="8">
        <v>0</v>
      </c>
      <c r="M1650" s="8">
        <f t="shared" si="331"/>
        <v>99305.040000000008</v>
      </c>
      <c r="N1650" s="8">
        <f t="shared" si="332"/>
        <v>18867.957600000002</v>
      </c>
      <c r="O1650" s="8">
        <f t="shared" si="328"/>
        <v>118172.9976</v>
      </c>
      <c r="P1650" s="8">
        <v>118172.9976</v>
      </c>
      <c r="Q1650" s="8">
        <v>0</v>
      </c>
      <c r="R1650" s="8">
        <f t="shared" si="321"/>
        <v>0</v>
      </c>
      <c r="T1650"/>
    </row>
    <row r="1651" spans="2:22" s="5" customFormat="1" x14ac:dyDescent="0.3">
      <c r="B1651" s="7" t="s">
        <v>16</v>
      </c>
      <c r="C1651" s="7" t="s">
        <v>2460</v>
      </c>
      <c r="D1651" s="7" t="s">
        <v>2461</v>
      </c>
      <c r="E1651" s="7" t="s">
        <v>539</v>
      </c>
      <c r="F1651" s="7" t="s">
        <v>2444</v>
      </c>
      <c r="G1651" s="7" t="s">
        <v>2445</v>
      </c>
      <c r="H1651" s="8">
        <f t="shared" si="330"/>
        <v>-1.1052661648136564E-6</v>
      </c>
      <c r="I1651" s="8">
        <f t="shared" si="327"/>
        <v>32782.352942105266</v>
      </c>
      <c r="J1651" s="8">
        <v>6228.6470589999999</v>
      </c>
      <c r="K1651" s="8">
        <v>0</v>
      </c>
      <c r="L1651" s="8">
        <v>0</v>
      </c>
      <c r="M1651" s="8">
        <f t="shared" si="331"/>
        <v>32782.352940999997</v>
      </c>
      <c r="N1651" s="8">
        <f t="shared" si="332"/>
        <v>6228.6470589999999</v>
      </c>
      <c r="O1651" s="8">
        <f t="shared" si="328"/>
        <v>39011</v>
      </c>
      <c r="P1651" s="8">
        <v>39011</v>
      </c>
      <c r="Q1651" s="8">
        <v>0</v>
      </c>
      <c r="R1651" s="8">
        <f t="shared" si="321"/>
        <v>0</v>
      </c>
      <c r="T1651"/>
      <c r="U1651"/>
      <c r="V1651"/>
    </row>
    <row r="1652" spans="2:22" s="5" customFormat="1" x14ac:dyDescent="0.3">
      <c r="B1652" s="5" t="s">
        <v>16</v>
      </c>
      <c r="C1652" s="5" t="s">
        <v>2462</v>
      </c>
      <c r="D1652" s="5" t="s">
        <v>2443</v>
      </c>
      <c r="E1652" s="5" t="s">
        <v>2262</v>
      </c>
      <c r="F1652" s="5" t="s">
        <v>2444</v>
      </c>
      <c r="G1652" s="5" t="s">
        <v>2445</v>
      </c>
      <c r="H1652" s="6">
        <f t="shared" si="330"/>
        <v>0</v>
      </c>
      <c r="I1652" s="6">
        <f t="shared" si="327"/>
        <v>3310026.9999999995</v>
      </c>
      <c r="J1652" s="6">
        <v>628905.13</v>
      </c>
      <c r="K1652" s="6">
        <v>0</v>
      </c>
      <c r="L1652" s="6">
        <v>0</v>
      </c>
      <c r="M1652" s="6">
        <f t="shared" ref="M1652:M1692" si="333">+H1652+I1652+K1652</f>
        <v>3310026.9999999995</v>
      </c>
      <c r="N1652" s="6">
        <f t="shared" si="332"/>
        <v>628905.13</v>
      </c>
      <c r="O1652" s="6">
        <f t="shared" si="328"/>
        <v>3938932.1299999994</v>
      </c>
      <c r="P1652" s="6">
        <v>3938932.13</v>
      </c>
      <c r="Q1652" s="6"/>
      <c r="R1652" s="6">
        <f t="shared" si="321"/>
        <v>0</v>
      </c>
      <c r="T1652"/>
      <c r="U1652"/>
      <c r="V1652"/>
    </row>
    <row r="1653" spans="2:22" s="5" customFormat="1" x14ac:dyDescent="0.3">
      <c r="B1653" s="5" t="s">
        <v>16</v>
      </c>
      <c r="C1653" s="5" t="s">
        <v>2463</v>
      </c>
      <c r="D1653" s="5" t="s">
        <v>2443</v>
      </c>
      <c r="E1653" s="5" t="s">
        <v>520</v>
      </c>
      <c r="F1653" s="5" t="s">
        <v>2444</v>
      </c>
      <c r="G1653" s="5" t="s">
        <v>2445</v>
      </c>
      <c r="H1653" s="6">
        <f t="shared" si="330"/>
        <v>0</v>
      </c>
      <c r="I1653" s="6">
        <f t="shared" si="327"/>
        <v>33527111.369999997</v>
      </c>
      <c r="J1653" s="6">
        <v>6370151.1602999996</v>
      </c>
      <c r="K1653" s="6">
        <v>0</v>
      </c>
      <c r="L1653" s="6">
        <v>0</v>
      </c>
      <c r="M1653" s="6">
        <f t="shared" si="333"/>
        <v>33527111.369999997</v>
      </c>
      <c r="N1653" s="6">
        <f t="shared" si="332"/>
        <v>6370151.1602999996</v>
      </c>
      <c r="O1653" s="6">
        <f t="shared" si="328"/>
        <v>39897262.530299999</v>
      </c>
      <c r="P1653" s="6">
        <v>39897262.530299999</v>
      </c>
      <c r="Q1653" s="6"/>
      <c r="R1653" s="6">
        <f t="shared" si="321"/>
        <v>0</v>
      </c>
      <c r="T1653"/>
    </row>
    <row r="1654" spans="2:22" s="5" customFormat="1" x14ac:dyDescent="0.3">
      <c r="B1654" s="5" t="s">
        <v>16</v>
      </c>
      <c r="C1654" s="5" t="s">
        <v>2464</v>
      </c>
      <c r="D1654" s="5" t="s">
        <v>2443</v>
      </c>
      <c r="E1654" s="5" t="s">
        <v>992</v>
      </c>
      <c r="F1654" s="5" t="s">
        <v>2444</v>
      </c>
      <c r="G1654" s="5" t="s">
        <v>2445</v>
      </c>
      <c r="H1654" s="6">
        <f t="shared" si="330"/>
        <v>344018.69999999966</v>
      </c>
      <c r="I1654" s="6">
        <f t="shared" si="327"/>
        <v>1589923.6800000002</v>
      </c>
      <c r="J1654" s="6">
        <v>302085.49920000002</v>
      </c>
      <c r="K1654" s="6">
        <v>0</v>
      </c>
      <c r="L1654" s="6">
        <v>0</v>
      </c>
      <c r="M1654" s="6">
        <f t="shared" si="333"/>
        <v>1933942.38</v>
      </c>
      <c r="N1654" s="6">
        <f t="shared" si="332"/>
        <v>302085.49920000002</v>
      </c>
      <c r="O1654" s="6">
        <f t="shared" si="328"/>
        <v>2236027.8791999999</v>
      </c>
      <c r="P1654" s="6">
        <v>2236027.8791999999</v>
      </c>
      <c r="Q1654" s="6">
        <v>0</v>
      </c>
      <c r="R1654" s="6">
        <f t="shared" si="321"/>
        <v>0</v>
      </c>
      <c r="T1654"/>
    </row>
    <row r="1655" spans="2:22" s="5" customFormat="1" x14ac:dyDescent="0.3">
      <c r="B1655" s="5" t="s">
        <v>16</v>
      </c>
      <c r="C1655" s="5" t="s">
        <v>2465</v>
      </c>
      <c r="D1655" s="5" t="s">
        <v>2443</v>
      </c>
      <c r="E1655" s="5" t="s">
        <v>992</v>
      </c>
      <c r="F1655" s="5" t="s">
        <v>2444</v>
      </c>
      <c r="G1655" s="5" t="s">
        <v>2445</v>
      </c>
      <c r="H1655" s="6">
        <f t="shared" si="330"/>
        <v>1789056</v>
      </c>
      <c r="I1655" s="6">
        <f t="shared" si="327"/>
        <v>923774</v>
      </c>
      <c r="J1655" s="6">
        <v>175517.06</v>
      </c>
      <c r="K1655" s="6">
        <v>0</v>
      </c>
      <c r="L1655" s="6">
        <v>0</v>
      </c>
      <c r="M1655" s="6">
        <f t="shared" si="333"/>
        <v>2712830</v>
      </c>
      <c r="N1655" s="6">
        <f t="shared" si="332"/>
        <v>175517.06</v>
      </c>
      <c r="O1655" s="6">
        <f t="shared" si="328"/>
        <v>2888347.06</v>
      </c>
      <c r="P1655" s="6">
        <v>2888347.06</v>
      </c>
      <c r="Q1655" s="6">
        <v>0</v>
      </c>
      <c r="R1655" s="6">
        <f t="shared" si="321"/>
        <v>0</v>
      </c>
      <c r="S1655"/>
      <c r="T1655"/>
    </row>
    <row r="1656" spans="2:22" s="5" customFormat="1" x14ac:dyDescent="0.3">
      <c r="B1656" s="5" t="s">
        <v>16</v>
      </c>
      <c r="C1656" s="5" t="s">
        <v>2466</v>
      </c>
      <c r="D1656" s="5" t="s">
        <v>2452</v>
      </c>
      <c r="E1656" s="5" t="s">
        <v>992</v>
      </c>
      <c r="F1656" s="5" t="s">
        <v>2444</v>
      </c>
      <c r="G1656" s="5" t="s">
        <v>2445</v>
      </c>
      <c r="H1656" s="6">
        <f t="shared" si="330"/>
        <v>0</v>
      </c>
      <c r="I1656" s="6">
        <f t="shared" si="327"/>
        <v>822480.00000000012</v>
      </c>
      <c r="J1656" s="6">
        <v>156271.20000000001</v>
      </c>
      <c r="K1656" s="6">
        <v>0</v>
      </c>
      <c r="L1656" s="6">
        <v>0</v>
      </c>
      <c r="M1656" s="6">
        <f t="shared" si="333"/>
        <v>822480.00000000012</v>
      </c>
      <c r="N1656" s="6">
        <f t="shared" si="332"/>
        <v>156271.20000000001</v>
      </c>
      <c r="O1656" s="6">
        <f t="shared" si="328"/>
        <v>978751.20000000019</v>
      </c>
      <c r="P1656" s="6">
        <v>978751.2</v>
      </c>
      <c r="Q1656" s="6">
        <v>0</v>
      </c>
      <c r="R1656" s="6">
        <f t="shared" si="321"/>
        <v>0</v>
      </c>
      <c r="S1656"/>
      <c r="T1656"/>
    </row>
    <row r="1657" spans="2:22" s="5" customFormat="1" x14ac:dyDescent="0.3">
      <c r="B1657" s="5" t="s">
        <v>16</v>
      </c>
      <c r="C1657" s="5" t="s">
        <v>2467</v>
      </c>
      <c r="D1657" s="5" t="s">
        <v>2443</v>
      </c>
      <c r="E1657" s="5" t="s">
        <v>1218</v>
      </c>
      <c r="F1657" s="5" t="s">
        <v>2444</v>
      </c>
      <c r="G1657" s="5" t="s">
        <v>2445</v>
      </c>
      <c r="H1657" s="6">
        <f t="shared" si="330"/>
        <v>0</v>
      </c>
      <c r="I1657" s="6">
        <f t="shared" si="327"/>
        <v>15800480.919999998</v>
      </c>
      <c r="J1657" s="6">
        <v>3002091.3747999999</v>
      </c>
      <c r="K1657" s="6">
        <v>0</v>
      </c>
      <c r="L1657" s="6">
        <v>0</v>
      </c>
      <c r="M1657" s="6">
        <f t="shared" si="333"/>
        <v>15800480.919999998</v>
      </c>
      <c r="N1657" s="6">
        <f>J1657+L1657</f>
        <v>3002091.3747999999</v>
      </c>
      <c r="O1657" s="6">
        <f t="shared" si="328"/>
        <v>18802572.294799998</v>
      </c>
      <c r="P1657" s="6">
        <v>18802572.294799998</v>
      </c>
      <c r="Q1657" s="6">
        <v>0</v>
      </c>
      <c r="R1657" s="6">
        <f t="shared" si="321"/>
        <v>0</v>
      </c>
      <c r="T1657"/>
      <c r="U1657"/>
      <c r="V1657"/>
    </row>
    <row r="1658" spans="2:22" s="5" customFormat="1" x14ac:dyDescent="0.3">
      <c r="B1658" s="5" t="s">
        <v>16</v>
      </c>
      <c r="C1658" s="5" t="s">
        <v>2468</v>
      </c>
      <c r="D1658" s="5" t="s">
        <v>2443</v>
      </c>
      <c r="E1658" s="5" t="s">
        <v>1218</v>
      </c>
      <c r="F1658" s="5" t="s">
        <v>2444</v>
      </c>
      <c r="G1658" s="5" t="s">
        <v>2445</v>
      </c>
      <c r="H1658" s="6">
        <f t="shared" si="330"/>
        <v>0</v>
      </c>
      <c r="I1658" s="6">
        <f t="shared" si="327"/>
        <v>250976.12</v>
      </c>
      <c r="J1658" s="6">
        <v>47685.462800000001</v>
      </c>
      <c r="K1658" s="6">
        <v>0</v>
      </c>
      <c r="L1658" s="6">
        <v>0</v>
      </c>
      <c r="M1658" s="6">
        <f t="shared" si="333"/>
        <v>250976.12</v>
      </c>
      <c r="N1658" s="6">
        <f>J1658+L1658</f>
        <v>47685.462800000001</v>
      </c>
      <c r="O1658" s="6">
        <f t="shared" si="328"/>
        <v>298661.58279999997</v>
      </c>
      <c r="P1658" s="6">
        <v>298661.58279999997</v>
      </c>
      <c r="Q1658" s="6">
        <v>0</v>
      </c>
      <c r="R1658" s="6">
        <f t="shared" si="321"/>
        <v>0</v>
      </c>
      <c r="T1658"/>
      <c r="U1658"/>
      <c r="V1658"/>
    </row>
    <row r="1659" spans="2:22" s="5" customFormat="1" x14ac:dyDescent="0.3">
      <c r="B1659" s="5" t="s">
        <v>16</v>
      </c>
      <c r="C1659" s="5" t="s">
        <v>2469</v>
      </c>
      <c r="D1659" s="5" t="s">
        <v>2443</v>
      </c>
      <c r="E1659" s="5" t="s">
        <v>84</v>
      </c>
      <c r="F1659" s="5" t="s">
        <v>2444</v>
      </c>
      <c r="G1659" s="5" t="s">
        <v>2445</v>
      </c>
      <c r="H1659" s="6">
        <f t="shared" si="330"/>
        <v>0</v>
      </c>
      <c r="I1659" s="6">
        <f t="shared" si="327"/>
        <v>3440051.12</v>
      </c>
      <c r="J1659" s="6">
        <v>653609.71279999998</v>
      </c>
      <c r="K1659" s="6">
        <v>0</v>
      </c>
      <c r="L1659" s="6">
        <v>0</v>
      </c>
      <c r="M1659" s="6">
        <f t="shared" si="333"/>
        <v>3440051.12</v>
      </c>
      <c r="N1659" s="6">
        <f t="shared" ref="N1659:N1695" si="334">+J1659+L1659</f>
        <v>653609.71279999998</v>
      </c>
      <c r="O1659" s="6">
        <f t="shared" si="328"/>
        <v>4093660.8328</v>
      </c>
      <c r="P1659" s="6">
        <v>4093660.8328</v>
      </c>
      <c r="Q1659" s="6">
        <v>0</v>
      </c>
      <c r="R1659" s="6">
        <f t="shared" si="321"/>
        <v>0</v>
      </c>
      <c r="T1659"/>
      <c r="U1659"/>
      <c r="V1659"/>
    </row>
    <row r="1660" spans="2:22" s="5" customFormat="1" x14ac:dyDescent="0.3">
      <c r="B1660" s="5" t="s">
        <v>16</v>
      </c>
      <c r="C1660" s="5" t="s">
        <v>2470</v>
      </c>
      <c r="D1660" s="5" t="s">
        <v>2443</v>
      </c>
      <c r="E1660" s="5" t="s">
        <v>138</v>
      </c>
      <c r="F1660" s="5" t="s">
        <v>2444</v>
      </c>
      <c r="G1660" s="5" t="s">
        <v>2445</v>
      </c>
      <c r="H1660" s="6">
        <f t="shared" si="330"/>
        <v>0</v>
      </c>
      <c r="I1660" s="6">
        <f t="shared" si="327"/>
        <v>17031338.580000002</v>
      </c>
      <c r="J1660" s="6">
        <v>3235954.3302000002</v>
      </c>
      <c r="K1660" s="6">
        <v>0</v>
      </c>
      <c r="L1660" s="6">
        <v>0</v>
      </c>
      <c r="M1660" s="6">
        <f t="shared" si="333"/>
        <v>17031338.580000002</v>
      </c>
      <c r="N1660" s="6">
        <f t="shared" si="334"/>
        <v>3235954.3302000002</v>
      </c>
      <c r="O1660" s="6">
        <f t="shared" si="328"/>
        <v>20267292.910200004</v>
      </c>
      <c r="P1660" s="6">
        <v>20267292.9102</v>
      </c>
      <c r="Q1660" s="6">
        <v>0</v>
      </c>
      <c r="R1660" s="6">
        <f t="shared" si="321"/>
        <v>0</v>
      </c>
      <c r="T1660"/>
      <c r="U1660"/>
      <c r="V1660"/>
    </row>
    <row r="1661" spans="2:22" s="5" customFormat="1" x14ac:dyDescent="0.3">
      <c r="B1661" s="5" t="s">
        <v>16</v>
      </c>
      <c r="C1661" s="5" t="s">
        <v>2471</v>
      </c>
      <c r="D1661" s="5" t="s">
        <v>2443</v>
      </c>
      <c r="E1661" s="5" t="s">
        <v>523</v>
      </c>
      <c r="F1661" s="5" t="s">
        <v>2444</v>
      </c>
      <c r="G1661" s="5" t="s">
        <v>2445</v>
      </c>
      <c r="H1661" s="6">
        <f t="shared" si="330"/>
        <v>0</v>
      </c>
      <c r="I1661" s="6">
        <f t="shared" si="327"/>
        <v>21387633.600000001</v>
      </c>
      <c r="J1661" s="6">
        <v>4063650.3840000001</v>
      </c>
      <c r="K1661" s="6">
        <v>0</v>
      </c>
      <c r="L1661" s="6">
        <v>0</v>
      </c>
      <c r="M1661" s="6">
        <f t="shared" si="333"/>
        <v>21387633.600000001</v>
      </c>
      <c r="N1661" s="6">
        <f t="shared" si="334"/>
        <v>4063650.3840000001</v>
      </c>
      <c r="O1661" s="6">
        <f t="shared" si="328"/>
        <v>25451283.984000001</v>
      </c>
      <c r="P1661" s="6">
        <v>25451283.984000001</v>
      </c>
      <c r="Q1661" s="6">
        <v>0</v>
      </c>
      <c r="R1661" s="6">
        <f t="shared" si="321"/>
        <v>0</v>
      </c>
      <c r="T1661"/>
    </row>
    <row r="1662" spans="2:22" s="5" customFormat="1" x14ac:dyDescent="0.3">
      <c r="B1662" s="5" t="s">
        <v>16</v>
      </c>
      <c r="C1662" s="5" t="s">
        <v>2472</v>
      </c>
      <c r="D1662" s="5" t="s">
        <v>2452</v>
      </c>
      <c r="E1662" s="5" t="s">
        <v>389</v>
      </c>
      <c r="F1662" s="5" t="s">
        <v>2444</v>
      </c>
      <c r="G1662" s="5" t="s">
        <v>2445</v>
      </c>
      <c r="H1662" s="6">
        <f t="shared" si="330"/>
        <v>0</v>
      </c>
      <c r="I1662" s="6">
        <f t="shared" si="327"/>
        <v>1098533</v>
      </c>
      <c r="J1662" s="6">
        <v>208721.27</v>
      </c>
      <c r="K1662" s="6">
        <v>0</v>
      </c>
      <c r="L1662" s="6">
        <v>0</v>
      </c>
      <c r="M1662" s="6">
        <f t="shared" si="333"/>
        <v>1098533</v>
      </c>
      <c r="N1662" s="6">
        <f t="shared" si="334"/>
        <v>208721.27</v>
      </c>
      <c r="O1662" s="6">
        <f t="shared" si="328"/>
        <v>1307254.27</v>
      </c>
      <c r="P1662" s="6">
        <v>1307254.27</v>
      </c>
      <c r="Q1662" s="6">
        <v>0</v>
      </c>
      <c r="R1662" s="6">
        <f t="shared" si="321"/>
        <v>0</v>
      </c>
      <c r="T1662"/>
    </row>
    <row r="1663" spans="2:22" s="5" customFormat="1" x14ac:dyDescent="0.3">
      <c r="B1663" s="5" t="s">
        <v>16</v>
      </c>
      <c r="C1663" s="5" t="s">
        <v>2473</v>
      </c>
      <c r="D1663" s="5" t="s">
        <v>2443</v>
      </c>
      <c r="E1663" s="5" t="s">
        <v>133</v>
      </c>
      <c r="F1663" s="5" t="s">
        <v>2444</v>
      </c>
      <c r="G1663" s="5" t="s">
        <v>2445</v>
      </c>
      <c r="H1663" s="6">
        <f t="shared" si="330"/>
        <v>-1.3096723705530167E-10</v>
      </c>
      <c r="I1663" s="6">
        <f t="shared" si="327"/>
        <v>605545.20000000007</v>
      </c>
      <c r="J1663" s="6">
        <v>115053.588</v>
      </c>
      <c r="K1663" s="6">
        <v>0</v>
      </c>
      <c r="L1663" s="6">
        <v>0</v>
      </c>
      <c r="M1663" s="6">
        <f t="shared" si="333"/>
        <v>605545.19999999995</v>
      </c>
      <c r="N1663" s="6">
        <f t="shared" si="334"/>
        <v>115053.588</v>
      </c>
      <c r="O1663" s="6">
        <f t="shared" si="328"/>
        <v>720598.78799999994</v>
      </c>
      <c r="P1663" s="6">
        <v>720598.78799999994</v>
      </c>
      <c r="Q1663" s="6">
        <v>0</v>
      </c>
      <c r="R1663" s="6">
        <f t="shared" si="321"/>
        <v>0</v>
      </c>
      <c r="S1663" s="9"/>
      <c r="T1663"/>
      <c r="U1663" s="9"/>
      <c r="V1663"/>
    </row>
    <row r="1664" spans="2:22" s="5" customFormat="1" x14ac:dyDescent="0.3">
      <c r="B1664" s="5" t="s">
        <v>16</v>
      </c>
      <c r="C1664" s="5" t="s">
        <v>2474</v>
      </c>
      <c r="D1664" s="5" t="s">
        <v>2443</v>
      </c>
      <c r="E1664" s="5" t="s">
        <v>681</v>
      </c>
      <c r="F1664" s="5" t="s">
        <v>2444</v>
      </c>
      <c r="G1664" s="5" t="s">
        <v>2445</v>
      </c>
      <c r="H1664" s="6">
        <f t="shared" si="330"/>
        <v>4174563.9999999995</v>
      </c>
      <c r="I1664" s="6">
        <f t="shared" si="327"/>
        <v>7033258</v>
      </c>
      <c r="J1664" s="6">
        <v>1336319.02</v>
      </c>
      <c r="K1664" s="6">
        <v>0</v>
      </c>
      <c r="L1664" s="6">
        <v>0</v>
      </c>
      <c r="M1664" s="6">
        <f t="shared" si="333"/>
        <v>11207822</v>
      </c>
      <c r="N1664" s="6">
        <f t="shared" si="334"/>
        <v>1336319.02</v>
      </c>
      <c r="O1664" s="6">
        <f t="shared" si="328"/>
        <v>12544141.02</v>
      </c>
      <c r="P1664" s="6">
        <v>12544141.02</v>
      </c>
      <c r="Q1664" s="6">
        <v>0</v>
      </c>
      <c r="R1664" s="6">
        <f t="shared" si="321"/>
        <v>0</v>
      </c>
      <c r="S1664" s="9"/>
      <c r="T1664"/>
    </row>
    <row r="1665" spans="2:22" s="5" customFormat="1" x14ac:dyDescent="0.3">
      <c r="B1665" s="5" t="s">
        <v>16</v>
      </c>
      <c r="C1665" s="5" t="s">
        <v>2475</v>
      </c>
      <c r="D1665" s="5" t="s">
        <v>2443</v>
      </c>
      <c r="E1665" s="5" t="s">
        <v>681</v>
      </c>
      <c r="F1665" s="5" t="s">
        <v>2444</v>
      </c>
      <c r="G1665" s="5" t="s">
        <v>2445</v>
      </c>
      <c r="H1665" s="6">
        <f t="shared" si="330"/>
        <v>0</v>
      </c>
      <c r="I1665" s="6">
        <f t="shared" si="327"/>
        <v>2145803.4</v>
      </c>
      <c r="J1665" s="6">
        <v>407702.64600000001</v>
      </c>
      <c r="K1665" s="6">
        <v>0</v>
      </c>
      <c r="L1665" s="6">
        <v>0</v>
      </c>
      <c r="M1665" s="6">
        <f t="shared" si="333"/>
        <v>2145803.4</v>
      </c>
      <c r="N1665" s="6">
        <f t="shared" si="334"/>
        <v>407702.64600000001</v>
      </c>
      <c r="O1665" s="6">
        <f t="shared" si="328"/>
        <v>2553506.0460000001</v>
      </c>
      <c r="P1665" s="6">
        <v>2553506.0460000001</v>
      </c>
      <c r="Q1665" s="6">
        <v>0</v>
      </c>
      <c r="R1665" s="6">
        <f t="shared" si="321"/>
        <v>0</v>
      </c>
      <c r="S1665" s="9"/>
      <c r="T1665"/>
      <c r="U1665" s="7"/>
      <c r="V1665" s="7"/>
    </row>
    <row r="1666" spans="2:22" s="5" customFormat="1" x14ac:dyDescent="0.3">
      <c r="B1666" s="5" t="s">
        <v>16</v>
      </c>
      <c r="C1666" s="5" t="s">
        <v>2476</v>
      </c>
      <c r="D1666" s="5" t="s">
        <v>2443</v>
      </c>
      <c r="E1666" s="5" t="s">
        <v>222</v>
      </c>
      <c r="F1666" s="5" t="s">
        <v>2444</v>
      </c>
      <c r="G1666" s="5" t="s">
        <v>2445</v>
      </c>
      <c r="H1666" s="6">
        <f t="shared" si="330"/>
        <v>1621705.44</v>
      </c>
      <c r="I1666" s="6">
        <f t="shared" si="327"/>
        <v>0</v>
      </c>
      <c r="J1666" s="6">
        <v>0</v>
      </c>
      <c r="K1666" s="6">
        <v>0</v>
      </c>
      <c r="L1666" s="6">
        <v>0</v>
      </c>
      <c r="M1666" s="6">
        <f t="shared" si="333"/>
        <v>1621705.44</v>
      </c>
      <c r="N1666" s="6">
        <f t="shared" si="334"/>
        <v>0</v>
      </c>
      <c r="O1666" s="6">
        <f t="shared" si="328"/>
        <v>1621705.44</v>
      </c>
      <c r="P1666" s="6">
        <v>1621705.44</v>
      </c>
      <c r="Q1666" s="6">
        <v>0</v>
      </c>
      <c r="R1666" s="6">
        <f t="shared" si="321"/>
        <v>0</v>
      </c>
      <c r="S1666" s="9"/>
      <c r="T1666"/>
      <c r="U1666" s="7"/>
      <c r="V1666" s="7"/>
    </row>
    <row r="1667" spans="2:22" s="5" customFormat="1" x14ac:dyDescent="0.3">
      <c r="B1667" s="5" t="s">
        <v>16</v>
      </c>
      <c r="C1667" s="5" t="s">
        <v>2477</v>
      </c>
      <c r="D1667" s="5" t="s">
        <v>2443</v>
      </c>
      <c r="E1667" s="5" t="s">
        <v>222</v>
      </c>
      <c r="F1667" s="5" t="s">
        <v>2444</v>
      </c>
      <c r="G1667" s="5" t="s">
        <v>2445</v>
      </c>
      <c r="H1667" s="6">
        <f t="shared" si="330"/>
        <v>0</v>
      </c>
      <c r="I1667" s="6">
        <f t="shared" si="327"/>
        <v>66290.399999999994</v>
      </c>
      <c r="J1667" s="6">
        <v>12595.175999999999</v>
      </c>
      <c r="K1667" s="6">
        <v>0</v>
      </c>
      <c r="L1667" s="6">
        <v>0</v>
      </c>
      <c r="M1667" s="6">
        <f t="shared" si="333"/>
        <v>66290.399999999994</v>
      </c>
      <c r="N1667" s="6">
        <f t="shared" si="334"/>
        <v>12595.175999999999</v>
      </c>
      <c r="O1667" s="6">
        <f t="shared" si="328"/>
        <v>78885.576000000001</v>
      </c>
      <c r="P1667" s="6">
        <v>78885.576000000001</v>
      </c>
      <c r="Q1667" s="6">
        <v>0</v>
      </c>
      <c r="R1667" s="6">
        <f t="shared" si="321"/>
        <v>0</v>
      </c>
      <c r="S1667" s="9"/>
      <c r="T1667"/>
    </row>
    <row r="1668" spans="2:22" s="5" customFormat="1" x14ac:dyDescent="0.3">
      <c r="B1668" s="5" t="s">
        <v>16</v>
      </c>
      <c r="C1668" s="5" t="s">
        <v>2478</v>
      </c>
      <c r="D1668" s="5" t="s">
        <v>2443</v>
      </c>
      <c r="E1668" s="5" t="s">
        <v>740</v>
      </c>
      <c r="F1668" s="5" t="s">
        <v>2444</v>
      </c>
      <c r="G1668" s="5" t="s">
        <v>2445</v>
      </c>
      <c r="H1668" s="6">
        <f t="shared" si="330"/>
        <v>0</v>
      </c>
      <c r="I1668" s="6">
        <f t="shared" si="327"/>
        <v>33337896.490000002</v>
      </c>
      <c r="J1668" s="6">
        <v>6334200.3331000004</v>
      </c>
      <c r="K1668" s="6">
        <v>0</v>
      </c>
      <c r="L1668" s="6">
        <v>0</v>
      </c>
      <c r="M1668" s="6">
        <f t="shared" si="333"/>
        <v>33337896.490000002</v>
      </c>
      <c r="N1668" s="6">
        <f t="shared" si="334"/>
        <v>6334200.3331000004</v>
      </c>
      <c r="O1668" s="6">
        <f t="shared" si="328"/>
        <v>39672096.823100001</v>
      </c>
      <c r="P1668" s="6">
        <v>39672096.823100001</v>
      </c>
      <c r="Q1668" s="6">
        <v>0</v>
      </c>
      <c r="R1668" s="6">
        <f t="shared" si="321"/>
        <v>0</v>
      </c>
      <c r="S1668" s="9"/>
      <c r="T1668"/>
    </row>
    <row r="1669" spans="2:22" x14ac:dyDescent="0.3">
      <c r="B1669" s="5" t="s">
        <v>16</v>
      </c>
      <c r="C1669" s="5" t="s">
        <v>2479</v>
      </c>
      <c r="D1669" s="5" t="s">
        <v>2443</v>
      </c>
      <c r="E1669" s="5" t="s">
        <v>56</v>
      </c>
      <c r="F1669" s="5" t="s">
        <v>2444</v>
      </c>
      <c r="G1669" s="5" t="s">
        <v>2445</v>
      </c>
      <c r="H1669" s="6">
        <f t="shared" si="330"/>
        <v>0</v>
      </c>
      <c r="I1669" s="6">
        <f t="shared" si="327"/>
        <v>66290.399999999994</v>
      </c>
      <c r="J1669" s="6">
        <v>12595.175999999999</v>
      </c>
      <c r="K1669" s="6">
        <v>0</v>
      </c>
      <c r="L1669" s="6">
        <v>0</v>
      </c>
      <c r="M1669" s="6">
        <f t="shared" si="333"/>
        <v>66290.399999999994</v>
      </c>
      <c r="N1669" s="6">
        <f t="shared" si="334"/>
        <v>12595.175999999999</v>
      </c>
      <c r="O1669" s="6">
        <f t="shared" si="328"/>
        <v>78885.576000000001</v>
      </c>
      <c r="P1669" s="6">
        <v>78885.576000000001</v>
      </c>
      <c r="Q1669" s="6">
        <v>0</v>
      </c>
      <c r="R1669" s="6">
        <f t="shared" ref="R1669:R1732" si="335">+Q1669*2.5/100</f>
        <v>0</v>
      </c>
      <c r="U1669" s="5"/>
      <c r="V1669" s="5"/>
    </row>
    <row r="1670" spans="2:22" x14ac:dyDescent="0.3">
      <c r="B1670" s="5" t="s">
        <v>16</v>
      </c>
      <c r="C1670" s="5" t="s">
        <v>2480</v>
      </c>
      <c r="D1670" s="5" t="s">
        <v>2443</v>
      </c>
      <c r="E1670" s="5" t="s">
        <v>448</v>
      </c>
      <c r="F1670" s="5" t="s">
        <v>2444</v>
      </c>
      <c r="G1670" s="5" t="s">
        <v>2445</v>
      </c>
      <c r="H1670" s="6">
        <f t="shared" si="330"/>
        <v>0</v>
      </c>
      <c r="I1670" s="6">
        <f t="shared" si="327"/>
        <v>14730448.27</v>
      </c>
      <c r="J1670" s="6">
        <v>2798785.1713</v>
      </c>
      <c r="K1670" s="6">
        <v>0</v>
      </c>
      <c r="L1670" s="6">
        <v>0</v>
      </c>
      <c r="M1670" s="6">
        <f t="shared" si="333"/>
        <v>14730448.27</v>
      </c>
      <c r="N1670" s="6">
        <f t="shared" si="334"/>
        <v>2798785.1713</v>
      </c>
      <c r="O1670" s="6">
        <f t="shared" si="328"/>
        <v>17529233.441300001</v>
      </c>
      <c r="P1670" s="6">
        <v>17529233.441300001</v>
      </c>
      <c r="Q1670" s="6">
        <v>0</v>
      </c>
      <c r="R1670" s="6">
        <f t="shared" si="335"/>
        <v>0</v>
      </c>
      <c r="U1670" s="5"/>
      <c r="V1670" s="5"/>
    </row>
    <row r="1671" spans="2:22" x14ac:dyDescent="0.3">
      <c r="B1671" s="5" t="s">
        <v>16</v>
      </c>
      <c r="C1671" s="5" t="s">
        <v>2481</v>
      </c>
      <c r="D1671" s="5" t="s">
        <v>2443</v>
      </c>
      <c r="E1671" s="5" t="s">
        <v>276</v>
      </c>
      <c r="F1671" s="5" t="s">
        <v>2444</v>
      </c>
      <c r="G1671" s="5" t="s">
        <v>2445</v>
      </c>
      <c r="H1671" s="6">
        <f t="shared" si="330"/>
        <v>0</v>
      </c>
      <c r="I1671" s="6">
        <f t="shared" si="327"/>
        <v>4006273.7800000003</v>
      </c>
      <c r="J1671" s="6">
        <v>761192.01820000005</v>
      </c>
      <c r="K1671" s="6">
        <v>0</v>
      </c>
      <c r="L1671" s="6">
        <v>0</v>
      </c>
      <c r="M1671" s="6">
        <f t="shared" si="333"/>
        <v>4006273.7800000003</v>
      </c>
      <c r="N1671" s="6">
        <f t="shared" si="334"/>
        <v>761192.01820000005</v>
      </c>
      <c r="O1671" s="6">
        <f t="shared" si="328"/>
        <v>4767465.7982000001</v>
      </c>
      <c r="P1671" s="6">
        <v>4767465.7982000001</v>
      </c>
      <c r="Q1671" s="6">
        <v>0</v>
      </c>
      <c r="R1671" s="6">
        <f t="shared" si="335"/>
        <v>0</v>
      </c>
      <c r="S1671" s="5"/>
      <c r="U1671" s="5"/>
      <c r="V1671" s="5"/>
    </row>
    <row r="1672" spans="2:22" s="5" customFormat="1" x14ac:dyDescent="0.3">
      <c r="B1672" s="5" t="s">
        <v>16</v>
      </c>
      <c r="C1672" s="5" t="s">
        <v>2482</v>
      </c>
      <c r="D1672" s="5" t="s">
        <v>2443</v>
      </c>
      <c r="E1672" s="5" t="s">
        <v>607</v>
      </c>
      <c r="F1672" s="5" t="s">
        <v>2444</v>
      </c>
      <c r="G1672" s="5" t="s">
        <v>2445</v>
      </c>
      <c r="H1672" s="6">
        <f t="shared" si="330"/>
        <v>993440</v>
      </c>
      <c r="I1672" s="6">
        <f t="shared" si="327"/>
        <v>1324800</v>
      </c>
      <c r="J1672" s="6">
        <v>251712</v>
      </c>
      <c r="K1672" s="6">
        <v>0</v>
      </c>
      <c r="L1672" s="6">
        <v>0</v>
      </c>
      <c r="M1672" s="6">
        <f t="shared" si="333"/>
        <v>2318240</v>
      </c>
      <c r="N1672" s="6">
        <f t="shared" si="334"/>
        <v>251712</v>
      </c>
      <c r="O1672" s="6">
        <f t="shared" si="328"/>
        <v>2569952</v>
      </c>
      <c r="P1672" s="6">
        <v>2569952</v>
      </c>
      <c r="Q1672" s="6">
        <v>0</v>
      </c>
      <c r="R1672" s="6">
        <f t="shared" si="335"/>
        <v>0</v>
      </c>
      <c r="T1672"/>
    </row>
    <row r="1673" spans="2:22" s="5" customFormat="1" x14ac:dyDescent="0.3">
      <c r="B1673" s="5" t="s">
        <v>16</v>
      </c>
      <c r="C1673" s="5" t="s">
        <v>2483</v>
      </c>
      <c r="D1673" s="5" t="s">
        <v>2443</v>
      </c>
      <c r="E1673" s="5" t="s">
        <v>544</v>
      </c>
      <c r="F1673" s="5" t="s">
        <v>2444</v>
      </c>
      <c r="G1673" s="5" t="s">
        <v>2445</v>
      </c>
      <c r="H1673" s="6">
        <f t="shared" si="330"/>
        <v>4.6566128730773926E-10</v>
      </c>
      <c r="I1673" s="6">
        <f t="shared" si="327"/>
        <v>2355408.7199999997</v>
      </c>
      <c r="J1673" s="6">
        <v>447527.6568</v>
      </c>
      <c r="K1673" s="6">
        <v>0</v>
      </c>
      <c r="L1673" s="6">
        <v>0</v>
      </c>
      <c r="M1673" s="6">
        <f t="shared" si="333"/>
        <v>2355408.7200000002</v>
      </c>
      <c r="N1673" s="6">
        <f t="shared" si="334"/>
        <v>447527.6568</v>
      </c>
      <c r="O1673" s="6">
        <f t="shared" si="328"/>
        <v>2802936.3768000002</v>
      </c>
      <c r="P1673" s="6">
        <v>2802936.3768000002</v>
      </c>
      <c r="Q1673" s="6">
        <v>0</v>
      </c>
      <c r="R1673" s="6">
        <f t="shared" si="335"/>
        <v>0</v>
      </c>
      <c r="T1673"/>
    </row>
    <row r="1674" spans="2:22" s="5" customFormat="1" x14ac:dyDescent="0.3">
      <c r="B1674" s="5" t="s">
        <v>16</v>
      </c>
      <c r="C1674" s="5" t="s">
        <v>2484</v>
      </c>
      <c r="D1674" s="5" t="s">
        <v>2443</v>
      </c>
      <c r="E1674" s="5" t="s">
        <v>72</v>
      </c>
      <c r="F1674" s="5" t="s">
        <v>2444</v>
      </c>
      <c r="G1674" s="5" t="s">
        <v>2445</v>
      </c>
      <c r="H1674" s="6">
        <f t="shared" si="330"/>
        <v>0</v>
      </c>
      <c r="I1674" s="6">
        <f t="shared" si="327"/>
        <v>23962198.810000002</v>
      </c>
      <c r="J1674" s="6">
        <v>4552817.7739000004</v>
      </c>
      <c r="K1674" s="6">
        <v>0</v>
      </c>
      <c r="L1674" s="6">
        <v>0</v>
      </c>
      <c r="M1674" s="6">
        <f t="shared" si="333"/>
        <v>23962198.810000002</v>
      </c>
      <c r="N1674" s="6">
        <f t="shared" si="334"/>
        <v>4552817.7739000004</v>
      </c>
      <c r="O1674" s="6">
        <f t="shared" si="328"/>
        <v>28515016.583900005</v>
      </c>
      <c r="P1674" s="6">
        <v>28515016.583900001</v>
      </c>
      <c r="Q1674" s="6">
        <v>0</v>
      </c>
      <c r="R1674" s="6">
        <f t="shared" si="335"/>
        <v>0</v>
      </c>
      <c r="T1674"/>
      <c r="U1674" s="9"/>
      <c r="V1674" s="9"/>
    </row>
    <row r="1675" spans="2:22" s="5" customFormat="1" x14ac:dyDescent="0.3">
      <c r="B1675" s="5" t="s">
        <v>16</v>
      </c>
      <c r="C1675" s="5" t="s">
        <v>2485</v>
      </c>
      <c r="D1675" s="5" t="s">
        <v>2452</v>
      </c>
      <c r="E1675" s="5" t="s">
        <v>24</v>
      </c>
      <c r="F1675" s="5" t="s">
        <v>2444</v>
      </c>
      <c r="G1675" s="5" t="s">
        <v>2445</v>
      </c>
      <c r="H1675" s="6">
        <f t="shared" si="330"/>
        <v>0</v>
      </c>
      <c r="I1675" s="6">
        <f t="shared" si="327"/>
        <v>997714</v>
      </c>
      <c r="J1675" s="6">
        <v>189565.66</v>
      </c>
      <c r="K1675" s="6">
        <v>0</v>
      </c>
      <c r="L1675" s="6">
        <v>0</v>
      </c>
      <c r="M1675" s="6">
        <f t="shared" si="333"/>
        <v>997714</v>
      </c>
      <c r="N1675" s="6">
        <f t="shared" si="334"/>
        <v>189565.66</v>
      </c>
      <c r="O1675" s="6">
        <f t="shared" si="328"/>
        <v>1187279.6599999999</v>
      </c>
      <c r="P1675" s="6">
        <v>1187279.6599999999</v>
      </c>
      <c r="Q1675" s="6">
        <v>0</v>
      </c>
      <c r="R1675" s="6">
        <f t="shared" si="335"/>
        <v>0</v>
      </c>
      <c r="T1675"/>
    </row>
    <row r="1676" spans="2:22" s="5" customFormat="1" x14ac:dyDescent="0.3">
      <c r="B1676" s="5" t="s">
        <v>16</v>
      </c>
      <c r="C1676" s="5" t="s">
        <v>2486</v>
      </c>
      <c r="D1676" s="5" t="s">
        <v>2443</v>
      </c>
      <c r="E1676" s="5" t="s">
        <v>24</v>
      </c>
      <c r="F1676" s="5" t="s">
        <v>2444</v>
      </c>
      <c r="G1676" s="5" t="s">
        <v>2445</v>
      </c>
      <c r="H1676" s="6">
        <f t="shared" si="330"/>
        <v>1948108.0000000005</v>
      </c>
      <c r="I1676" s="6">
        <f t="shared" si="327"/>
        <v>3256435.9999999995</v>
      </c>
      <c r="J1676" s="6">
        <v>618722.84</v>
      </c>
      <c r="K1676" s="6">
        <v>0</v>
      </c>
      <c r="L1676" s="6">
        <v>0</v>
      </c>
      <c r="M1676" s="6">
        <f t="shared" si="333"/>
        <v>5204544</v>
      </c>
      <c r="N1676" s="6">
        <f t="shared" si="334"/>
        <v>618722.84</v>
      </c>
      <c r="O1676" s="6">
        <f t="shared" si="328"/>
        <v>5823266.8399999999</v>
      </c>
      <c r="P1676" s="6">
        <v>5823266.8399999999</v>
      </c>
      <c r="Q1676" s="6">
        <v>0</v>
      </c>
      <c r="R1676" s="6">
        <f t="shared" si="335"/>
        <v>0</v>
      </c>
      <c r="T1676"/>
    </row>
    <row r="1677" spans="2:22" s="5" customFormat="1" x14ac:dyDescent="0.3">
      <c r="B1677" s="5" t="s">
        <v>16</v>
      </c>
      <c r="C1677" s="5" t="s">
        <v>2487</v>
      </c>
      <c r="D1677" s="5" t="s">
        <v>2443</v>
      </c>
      <c r="E1677" s="5" t="s">
        <v>24</v>
      </c>
      <c r="F1677" s="5" t="s">
        <v>2444</v>
      </c>
      <c r="G1677" s="5" t="s">
        <v>2445</v>
      </c>
      <c r="H1677" s="6">
        <f t="shared" si="330"/>
        <v>412822.44000000006</v>
      </c>
      <c r="I1677" s="6">
        <f t="shared" si="327"/>
        <v>625730.04</v>
      </c>
      <c r="J1677" s="6">
        <v>118888.70759999999</v>
      </c>
      <c r="K1677" s="6">
        <v>0</v>
      </c>
      <c r="L1677" s="6">
        <v>0</v>
      </c>
      <c r="M1677" s="6">
        <f t="shared" si="333"/>
        <v>1038552.4800000001</v>
      </c>
      <c r="N1677" s="6">
        <f t="shared" si="334"/>
        <v>118888.70759999999</v>
      </c>
      <c r="O1677" s="6">
        <f t="shared" si="328"/>
        <v>1157441.1876000001</v>
      </c>
      <c r="P1677" s="6">
        <v>1157441.1876000001</v>
      </c>
      <c r="Q1677" s="6">
        <v>0</v>
      </c>
      <c r="R1677" s="6">
        <f t="shared" si="335"/>
        <v>0</v>
      </c>
      <c r="T1677"/>
    </row>
    <row r="1678" spans="2:22" s="5" customFormat="1" x14ac:dyDescent="0.3">
      <c r="B1678" s="5" t="s">
        <v>16</v>
      </c>
      <c r="C1678" s="5" t="s">
        <v>2488</v>
      </c>
      <c r="D1678" s="5" t="s">
        <v>2452</v>
      </c>
      <c r="E1678" s="5" t="s">
        <v>1254</v>
      </c>
      <c r="F1678" s="5" t="s">
        <v>2444</v>
      </c>
      <c r="G1678" s="5" t="s">
        <v>2445</v>
      </c>
      <c r="H1678" s="6">
        <f t="shared" ref="H1678:H1683" si="336">+P1678-I1678-J1678-K1678-L1678</f>
        <v>4.3655745685100555E-11</v>
      </c>
      <c r="I1678" s="6">
        <f t="shared" si="327"/>
        <v>227679.99999999997</v>
      </c>
      <c r="J1678" s="6">
        <v>43259.199999999997</v>
      </c>
      <c r="K1678" s="6">
        <v>0</v>
      </c>
      <c r="L1678" s="6">
        <v>0</v>
      </c>
      <c r="M1678" s="6">
        <f t="shared" si="333"/>
        <v>227680</v>
      </c>
      <c r="N1678" s="6">
        <f t="shared" si="334"/>
        <v>43259.199999999997</v>
      </c>
      <c r="O1678" s="6">
        <f t="shared" si="328"/>
        <v>270939.2</v>
      </c>
      <c r="P1678" s="6">
        <v>270939.2</v>
      </c>
      <c r="Q1678" s="6">
        <v>0</v>
      </c>
      <c r="R1678" s="6">
        <f t="shared" si="335"/>
        <v>0</v>
      </c>
      <c r="T1678"/>
    </row>
    <row r="1679" spans="2:22" s="5" customFormat="1" x14ac:dyDescent="0.3">
      <c r="B1679" s="5" t="s">
        <v>16</v>
      </c>
      <c r="C1679" s="5" t="s">
        <v>2489</v>
      </c>
      <c r="D1679" s="5" t="s">
        <v>2443</v>
      </c>
      <c r="E1679" s="5" t="s">
        <v>1184</v>
      </c>
      <c r="F1679" s="5" t="s">
        <v>2444</v>
      </c>
      <c r="G1679" s="5" t="s">
        <v>2445</v>
      </c>
      <c r="H1679" s="6">
        <f t="shared" si="336"/>
        <v>2541036</v>
      </c>
      <c r="I1679" s="6">
        <f t="shared" si="327"/>
        <v>2178745</v>
      </c>
      <c r="J1679" s="6">
        <v>413961.55</v>
      </c>
      <c r="K1679" s="6">
        <v>0</v>
      </c>
      <c r="L1679" s="6">
        <v>0</v>
      </c>
      <c r="M1679" s="6">
        <f t="shared" si="333"/>
        <v>4719781</v>
      </c>
      <c r="N1679" s="6">
        <f t="shared" si="334"/>
        <v>413961.55</v>
      </c>
      <c r="O1679" s="6">
        <f t="shared" si="328"/>
        <v>5133742.55</v>
      </c>
      <c r="P1679" s="6">
        <v>5133742.55</v>
      </c>
      <c r="Q1679" s="6">
        <v>0</v>
      </c>
      <c r="R1679" s="6">
        <f t="shared" si="335"/>
        <v>0</v>
      </c>
      <c r="T1679"/>
    </row>
    <row r="1680" spans="2:22" s="5" customFormat="1" x14ac:dyDescent="0.3">
      <c r="B1680" s="5" t="s">
        <v>16</v>
      </c>
      <c r="C1680" s="5" t="s">
        <v>2490</v>
      </c>
      <c r="D1680" s="5" t="s">
        <v>2443</v>
      </c>
      <c r="E1680" s="5" t="s">
        <v>763</v>
      </c>
      <c r="F1680" s="5" t="s">
        <v>2444</v>
      </c>
      <c r="G1680" s="5" t="s">
        <v>2445</v>
      </c>
      <c r="H1680" s="6">
        <f t="shared" si="336"/>
        <v>-1.862645149230957E-9</v>
      </c>
      <c r="I1680" s="6">
        <f t="shared" si="327"/>
        <v>40824649.140000001</v>
      </c>
      <c r="J1680" s="6">
        <v>7756683.3366</v>
      </c>
      <c r="K1680" s="6">
        <v>0</v>
      </c>
      <c r="L1680" s="6">
        <v>0</v>
      </c>
      <c r="M1680" s="6">
        <f t="shared" si="333"/>
        <v>40824649.140000001</v>
      </c>
      <c r="N1680" s="6">
        <f t="shared" si="334"/>
        <v>7756683.3366</v>
      </c>
      <c r="O1680" s="6">
        <f t="shared" si="328"/>
        <v>48581332.476599999</v>
      </c>
      <c r="P1680" s="6">
        <v>48581332.476599999</v>
      </c>
      <c r="Q1680" s="6">
        <v>0</v>
      </c>
      <c r="R1680" s="6">
        <f t="shared" si="335"/>
        <v>0</v>
      </c>
      <c r="T1680"/>
    </row>
    <row r="1681" spans="2:22" s="5" customFormat="1" x14ac:dyDescent="0.3">
      <c r="B1681" s="5" t="s">
        <v>16</v>
      </c>
      <c r="C1681" s="5" t="s">
        <v>2491</v>
      </c>
      <c r="D1681" s="5" t="s">
        <v>2443</v>
      </c>
      <c r="E1681" s="5" t="s">
        <v>885</v>
      </c>
      <c r="F1681" s="5" t="s">
        <v>2444</v>
      </c>
      <c r="G1681" s="5" t="s">
        <v>2445</v>
      </c>
      <c r="H1681" s="6">
        <f t="shared" si="336"/>
        <v>770615.04</v>
      </c>
      <c r="I1681" s="6">
        <f t="shared" si="327"/>
        <v>0</v>
      </c>
      <c r="J1681" s="6">
        <v>0</v>
      </c>
      <c r="K1681" s="6">
        <v>0</v>
      </c>
      <c r="L1681" s="6">
        <v>0</v>
      </c>
      <c r="M1681" s="6">
        <f t="shared" si="333"/>
        <v>770615.04</v>
      </c>
      <c r="N1681" s="6">
        <f t="shared" si="334"/>
        <v>0</v>
      </c>
      <c r="O1681" s="6">
        <f t="shared" si="328"/>
        <v>770615.04</v>
      </c>
      <c r="P1681" s="6">
        <v>770615.04</v>
      </c>
      <c r="Q1681" s="6">
        <v>0</v>
      </c>
      <c r="R1681" s="6">
        <f t="shared" si="335"/>
        <v>0</v>
      </c>
      <c r="T1681"/>
      <c r="U1681" s="9"/>
      <c r="V1681" s="9"/>
    </row>
    <row r="1682" spans="2:22" s="5" customFormat="1" x14ac:dyDescent="0.3">
      <c r="B1682" s="5" t="s">
        <v>16</v>
      </c>
      <c r="C1682" s="5" t="s">
        <v>2492</v>
      </c>
      <c r="D1682" s="5" t="s">
        <v>2443</v>
      </c>
      <c r="E1682" s="5" t="s">
        <v>885</v>
      </c>
      <c r="F1682" s="5" t="s">
        <v>2444</v>
      </c>
      <c r="G1682" s="5" t="s">
        <v>2445</v>
      </c>
      <c r="H1682" s="6">
        <f t="shared" si="336"/>
        <v>-3.637978807091713E-11</v>
      </c>
      <c r="I1682" s="6">
        <f t="shared" si="327"/>
        <v>320882.51</v>
      </c>
      <c r="J1682" s="6">
        <v>60967.676899999999</v>
      </c>
      <c r="K1682" s="6">
        <v>0</v>
      </c>
      <c r="L1682" s="6">
        <v>0</v>
      </c>
      <c r="M1682" s="6">
        <f t="shared" si="333"/>
        <v>320882.50999999995</v>
      </c>
      <c r="N1682" s="6">
        <f t="shared" si="334"/>
        <v>60967.676899999999</v>
      </c>
      <c r="O1682" s="6">
        <f t="shared" si="328"/>
        <v>381850.18689999997</v>
      </c>
      <c r="P1682" s="6">
        <v>381850.18689999997</v>
      </c>
      <c r="Q1682" s="6">
        <v>0</v>
      </c>
      <c r="R1682" s="6">
        <f t="shared" si="335"/>
        <v>0</v>
      </c>
      <c r="T1682"/>
      <c r="U1682" s="9"/>
      <c r="V1682" s="9"/>
    </row>
    <row r="1683" spans="2:22" s="5" customFormat="1" x14ac:dyDescent="0.3">
      <c r="B1683" s="5" t="s">
        <v>16</v>
      </c>
      <c r="C1683" s="5" t="s">
        <v>2493</v>
      </c>
      <c r="D1683" s="5" t="s">
        <v>2443</v>
      </c>
      <c r="E1683" s="5" t="s">
        <v>620</v>
      </c>
      <c r="F1683" s="5" t="s">
        <v>2444</v>
      </c>
      <c r="G1683" s="5" t="s">
        <v>2445</v>
      </c>
      <c r="H1683" s="6">
        <f t="shared" si="336"/>
        <v>4.0745362639427185E-10</v>
      </c>
      <c r="I1683" s="6">
        <f t="shared" si="327"/>
        <v>2758132.6799999997</v>
      </c>
      <c r="J1683" s="6">
        <v>524045.20919999998</v>
      </c>
      <c r="K1683" s="6">
        <v>0</v>
      </c>
      <c r="L1683" s="6">
        <v>0</v>
      </c>
      <c r="M1683" s="6">
        <f t="shared" si="333"/>
        <v>2758132.68</v>
      </c>
      <c r="N1683" s="6">
        <f t="shared" si="334"/>
        <v>524045.20919999998</v>
      </c>
      <c r="O1683" s="6">
        <f t="shared" si="328"/>
        <v>3282177.8892000001</v>
      </c>
      <c r="P1683" s="6">
        <v>3282177.8892000001</v>
      </c>
      <c r="Q1683" s="6">
        <v>0</v>
      </c>
      <c r="R1683" s="6">
        <f t="shared" si="335"/>
        <v>0</v>
      </c>
      <c r="T1683"/>
      <c r="U1683" s="9"/>
      <c r="V1683" s="9"/>
    </row>
    <row r="1684" spans="2:22" s="5" customFormat="1" x14ac:dyDescent="0.3">
      <c r="B1684" s="5" t="s">
        <v>16</v>
      </c>
      <c r="C1684" s="5" t="s">
        <v>2494</v>
      </c>
      <c r="D1684" s="5" t="s">
        <v>2443</v>
      </c>
      <c r="E1684" s="5" t="s">
        <v>481</v>
      </c>
      <c r="F1684" s="5" t="s">
        <v>2444</v>
      </c>
      <c r="G1684" s="5" t="s">
        <v>2445</v>
      </c>
      <c r="H1684" s="6">
        <v>0</v>
      </c>
      <c r="I1684" s="6">
        <f t="shared" si="327"/>
        <v>506780.06999999995</v>
      </c>
      <c r="J1684" s="6">
        <v>96288.213300000003</v>
      </c>
      <c r="K1684" s="6">
        <v>0</v>
      </c>
      <c r="L1684" s="6">
        <v>0</v>
      </c>
      <c r="M1684" s="6">
        <f t="shared" si="333"/>
        <v>506780.06999999995</v>
      </c>
      <c r="N1684" s="6">
        <f t="shared" si="334"/>
        <v>96288.213300000003</v>
      </c>
      <c r="O1684" s="6">
        <f t="shared" si="328"/>
        <v>603068.28330000001</v>
      </c>
      <c r="P1684" s="6">
        <v>603068.28330000001</v>
      </c>
      <c r="Q1684" s="6">
        <v>0</v>
      </c>
      <c r="R1684" s="6">
        <f t="shared" si="335"/>
        <v>0</v>
      </c>
      <c r="S1684" s="7"/>
      <c r="T1684"/>
      <c r="U1684" s="9"/>
      <c r="V1684" s="9"/>
    </row>
    <row r="1685" spans="2:22" s="5" customFormat="1" x14ac:dyDescent="0.3">
      <c r="B1685" s="5" t="s">
        <v>16</v>
      </c>
      <c r="C1685" s="5" t="s">
        <v>2495</v>
      </c>
      <c r="D1685" s="5" t="s">
        <v>2443</v>
      </c>
      <c r="E1685" s="5" t="s">
        <v>909</v>
      </c>
      <c r="F1685" s="5" t="s">
        <v>2444</v>
      </c>
      <c r="G1685" s="5" t="s">
        <v>2445</v>
      </c>
      <c r="H1685" s="6">
        <v>0</v>
      </c>
      <c r="I1685" s="6">
        <f t="shared" si="327"/>
        <v>7083796.9500000011</v>
      </c>
      <c r="J1685" s="6">
        <v>1345921.4205</v>
      </c>
      <c r="K1685" s="6">
        <v>0</v>
      </c>
      <c r="L1685" s="6">
        <v>0</v>
      </c>
      <c r="M1685" s="6">
        <f t="shared" si="333"/>
        <v>7083796.9500000011</v>
      </c>
      <c r="N1685" s="6">
        <f t="shared" si="334"/>
        <v>1345921.4205</v>
      </c>
      <c r="O1685" s="6">
        <f t="shared" si="328"/>
        <v>8429718.3705000021</v>
      </c>
      <c r="P1685" s="6">
        <v>8429718.3705000002</v>
      </c>
      <c r="Q1685" s="6">
        <v>0</v>
      </c>
      <c r="R1685" s="6">
        <f t="shared" si="335"/>
        <v>0</v>
      </c>
      <c r="T1685"/>
      <c r="U1685" s="9"/>
      <c r="V1685" s="9"/>
    </row>
    <row r="1686" spans="2:22" s="5" customFormat="1" x14ac:dyDescent="0.3">
      <c r="B1686" s="5" t="s">
        <v>16</v>
      </c>
      <c r="C1686" s="5" t="s">
        <v>2496</v>
      </c>
      <c r="D1686" s="5" t="s">
        <v>2443</v>
      </c>
      <c r="E1686" s="5" t="s">
        <v>1124</v>
      </c>
      <c r="F1686" s="5" t="s">
        <v>2444</v>
      </c>
      <c r="G1686" s="5" t="s">
        <v>2445</v>
      </c>
      <c r="H1686" s="6">
        <f t="shared" ref="H1686:H1691" si="337">+P1686-I1686-J1686</f>
        <v>0</v>
      </c>
      <c r="I1686" s="6">
        <f t="shared" si="327"/>
        <v>16876902.849999998</v>
      </c>
      <c r="J1686" s="6">
        <v>3206611.5414999998</v>
      </c>
      <c r="K1686" s="6">
        <v>0</v>
      </c>
      <c r="L1686" s="6">
        <v>0</v>
      </c>
      <c r="M1686" s="6">
        <f t="shared" si="333"/>
        <v>16876902.849999998</v>
      </c>
      <c r="N1686" s="6">
        <f t="shared" si="334"/>
        <v>3206611.5414999998</v>
      </c>
      <c r="O1686" s="6">
        <f t="shared" si="328"/>
        <v>20083514.391499996</v>
      </c>
      <c r="P1686" s="6">
        <v>20083514.3915</v>
      </c>
      <c r="Q1686" s="6">
        <v>0</v>
      </c>
      <c r="R1686" s="6">
        <f t="shared" si="335"/>
        <v>0</v>
      </c>
      <c r="T1686"/>
    </row>
    <row r="1687" spans="2:22" s="5" customFormat="1" x14ac:dyDescent="0.3">
      <c r="B1687" s="5" t="s">
        <v>16</v>
      </c>
      <c r="C1687" s="5" t="s">
        <v>2497</v>
      </c>
      <c r="D1687" s="5" t="s">
        <v>2443</v>
      </c>
      <c r="E1687" s="5" t="s">
        <v>892</v>
      </c>
      <c r="F1687" s="5" t="s">
        <v>2444</v>
      </c>
      <c r="G1687" s="5" t="s">
        <v>2445</v>
      </c>
      <c r="H1687" s="6">
        <f t="shared" si="337"/>
        <v>0</v>
      </c>
      <c r="I1687" s="6">
        <f t="shared" si="327"/>
        <v>4806719.3999999994</v>
      </c>
      <c r="J1687" s="6">
        <v>913276.68599999999</v>
      </c>
      <c r="K1687" s="6">
        <v>0</v>
      </c>
      <c r="L1687" s="6">
        <v>0</v>
      </c>
      <c r="M1687" s="6">
        <f t="shared" si="333"/>
        <v>4806719.3999999994</v>
      </c>
      <c r="N1687" s="6">
        <f t="shared" si="334"/>
        <v>913276.68599999999</v>
      </c>
      <c r="O1687" s="6">
        <f t="shared" si="328"/>
        <v>5719996.0859999992</v>
      </c>
      <c r="P1687" s="6">
        <v>5719996.0860000001</v>
      </c>
      <c r="Q1687" s="6">
        <v>0</v>
      </c>
      <c r="R1687" s="6">
        <f t="shared" si="335"/>
        <v>0</v>
      </c>
      <c r="T1687"/>
    </row>
    <row r="1688" spans="2:22" s="5" customFormat="1" x14ac:dyDescent="0.3">
      <c r="B1688" s="5" t="s">
        <v>16</v>
      </c>
      <c r="C1688" s="5" t="s">
        <v>2498</v>
      </c>
      <c r="D1688" s="5" t="s">
        <v>2443</v>
      </c>
      <c r="E1688" s="5" t="s">
        <v>892</v>
      </c>
      <c r="F1688" s="5" t="s">
        <v>2444</v>
      </c>
      <c r="G1688" s="5" t="s">
        <v>2445</v>
      </c>
      <c r="H1688" s="6">
        <f t="shared" si="337"/>
        <v>1977526.9600000002</v>
      </c>
      <c r="I1688" s="6">
        <f t="shared" si="327"/>
        <v>2509370.2799999998</v>
      </c>
      <c r="J1688" s="6">
        <v>476780.35320000001</v>
      </c>
      <c r="K1688" s="6">
        <v>0</v>
      </c>
      <c r="L1688" s="6">
        <v>0</v>
      </c>
      <c r="M1688" s="6">
        <f t="shared" si="333"/>
        <v>4486897.24</v>
      </c>
      <c r="N1688" s="6">
        <f t="shared" si="334"/>
        <v>476780.35320000001</v>
      </c>
      <c r="O1688" s="6">
        <f t="shared" si="328"/>
        <v>4963677.5932</v>
      </c>
      <c r="P1688" s="6">
        <v>4963677.5932</v>
      </c>
      <c r="Q1688" s="6">
        <v>0</v>
      </c>
      <c r="R1688" s="6">
        <f t="shared" si="335"/>
        <v>0</v>
      </c>
      <c r="T1688"/>
    </row>
    <row r="1689" spans="2:22" s="5" customFormat="1" x14ac:dyDescent="0.3">
      <c r="B1689" s="5" t="s">
        <v>16</v>
      </c>
      <c r="C1689" s="5" t="s">
        <v>2499</v>
      </c>
      <c r="D1689" s="5" t="s">
        <v>2443</v>
      </c>
      <c r="E1689" s="5" t="s">
        <v>81</v>
      </c>
      <c r="F1689" s="5" t="s">
        <v>2444</v>
      </c>
      <c r="G1689" s="5" t="s">
        <v>2445</v>
      </c>
      <c r="H1689" s="6">
        <f t="shared" si="337"/>
        <v>12034512</v>
      </c>
      <c r="I1689" s="6">
        <f t="shared" si="327"/>
        <v>4019350</v>
      </c>
      <c r="J1689" s="6">
        <v>763676.5</v>
      </c>
      <c r="K1689" s="6">
        <v>0</v>
      </c>
      <c r="L1689" s="6">
        <v>0</v>
      </c>
      <c r="M1689" s="6">
        <f t="shared" si="333"/>
        <v>16053862</v>
      </c>
      <c r="N1689" s="6">
        <f t="shared" si="334"/>
        <v>763676.5</v>
      </c>
      <c r="O1689" s="6">
        <f t="shared" si="328"/>
        <v>16817538.5</v>
      </c>
      <c r="P1689" s="6">
        <v>16817538.5</v>
      </c>
      <c r="Q1689" s="6">
        <v>0</v>
      </c>
      <c r="R1689" s="6">
        <f t="shared" si="335"/>
        <v>0</v>
      </c>
      <c r="T1689"/>
    </row>
    <row r="1690" spans="2:22" s="5" customFormat="1" x14ac:dyDescent="0.3">
      <c r="B1690" s="5" t="s">
        <v>16</v>
      </c>
      <c r="C1690" s="5" t="s">
        <v>2500</v>
      </c>
      <c r="D1690" s="5" t="s">
        <v>2452</v>
      </c>
      <c r="E1690" s="5" t="s">
        <v>1060</v>
      </c>
      <c r="F1690" s="5" t="s">
        <v>2444</v>
      </c>
      <c r="G1690" s="5" t="s">
        <v>2445</v>
      </c>
      <c r="H1690" s="6">
        <f t="shared" si="337"/>
        <v>0</v>
      </c>
      <c r="I1690" s="6">
        <f t="shared" si="327"/>
        <v>879225</v>
      </c>
      <c r="J1690" s="6">
        <v>167052.75</v>
      </c>
      <c r="K1690" s="6">
        <v>0</v>
      </c>
      <c r="L1690" s="6">
        <v>0</v>
      </c>
      <c r="M1690" s="6">
        <f t="shared" si="333"/>
        <v>879225</v>
      </c>
      <c r="N1690" s="6">
        <f t="shared" si="334"/>
        <v>167052.75</v>
      </c>
      <c r="O1690" s="6">
        <f t="shared" si="328"/>
        <v>1046277.75</v>
      </c>
      <c r="P1690" s="6">
        <v>1046277.75</v>
      </c>
      <c r="Q1690" s="6">
        <v>0</v>
      </c>
      <c r="R1690" s="6">
        <f t="shared" si="335"/>
        <v>0</v>
      </c>
      <c r="S1690" s="9"/>
      <c r="T1690"/>
    </row>
    <row r="1691" spans="2:22" s="5" customFormat="1" x14ac:dyDescent="0.3">
      <c r="B1691" s="5" t="s">
        <v>16</v>
      </c>
      <c r="C1691" s="5" t="s">
        <v>2501</v>
      </c>
      <c r="D1691" s="5" t="s">
        <v>2443</v>
      </c>
      <c r="E1691" s="5" t="s">
        <v>368</v>
      </c>
      <c r="F1691" s="5" t="s">
        <v>2444</v>
      </c>
      <c r="G1691" s="5" t="s">
        <v>2445</v>
      </c>
      <c r="H1691" s="6">
        <f t="shared" si="337"/>
        <v>0</v>
      </c>
      <c r="I1691" s="6">
        <f t="shared" si="327"/>
        <v>46465531.57</v>
      </c>
      <c r="J1691" s="6">
        <v>8828450.9982999992</v>
      </c>
      <c r="K1691" s="6">
        <v>0</v>
      </c>
      <c r="L1691" s="6">
        <v>0</v>
      </c>
      <c r="M1691" s="6">
        <f t="shared" si="333"/>
        <v>46465531.57</v>
      </c>
      <c r="N1691" s="6">
        <f t="shared" si="334"/>
        <v>8828450.9982999992</v>
      </c>
      <c r="O1691" s="6">
        <f t="shared" si="328"/>
        <v>55293982.568300001</v>
      </c>
      <c r="P1691" s="6">
        <v>55293982.568300001</v>
      </c>
      <c r="Q1691" s="6">
        <v>0</v>
      </c>
      <c r="R1691" s="6">
        <f t="shared" si="335"/>
        <v>0</v>
      </c>
      <c r="S1691" s="9"/>
      <c r="T1691"/>
      <c r="U1691"/>
      <c r="V1691"/>
    </row>
    <row r="1692" spans="2:22" s="5" customFormat="1" x14ac:dyDescent="0.3">
      <c r="B1692" s="5" t="s">
        <v>16</v>
      </c>
      <c r="C1692" s="5" t="s">
        <v>2502</v>
      </c>
      <c r="D1692" s="5" t="s">
        <v>2443</v>
      </c>
      <c r="E1692" s="5" t="s">
        <v>1342</v>
      </c>
      <c r="F1692" s="5" t="s">
        <v>2444</v>
      </c>
      <c r="G1692" s="5" t="s">
        <v>2445</v>
      </c>
      <c r="H1692" s="6">
        <f>+P1692-I1692-J1692-K1692-L1692</f>
        <v>-9.3132257461547852E-10</v>
      </c>
      <c r="I1692" s="6">
        <f t="shared" si="327"/>
        <v>15725136.550000001</v>
      </c>
      <c r="J1692" s="6">
        <v>2987775.9445000002</v>
      </c>
      <c r="K1692" s="6">
        <v>0</v>
      </c>
      <c r="L1692" s="6">
        <v>0</v>
      </c>
      <c r="M1692" s="6">
        <f t="shared" si="333"/>
        <v>15725136.550000001</v>
      </c>
      <c r="N1692" s="6">
        <f t="shared" si="334"/>
        <v>2987775.9445000002</v>
      </c>
      <c r="O1692" s="6">
        <f t="shared" si="328"/>
        <v>18712912.4945</v>
      </c>
      <c r="P1692" s="6">
        <v>18712912.4945</v>
      </c>
      <c r="Q1692" s="6">
        <v>0</v>
      </c>
      <c r="R1692" s="6">
        <f t="shared" si="335"/>
        <v>0</v>
      </c>
      <c r="S1692" s="9"/>
      <c r="T1692"/>
    </row>
    <row r="1693" spans="2:22" s="5" customFormat="1" x14ac:dyDescent="0.3">
      <c r="B1693" s="7" t="s">
        <v>16</v>
      </c>
      <c r="C1693" s="7" t="s">
        <v>2503</v>
      </c>
      <c r="D1693" s="7" t="s">
        <v>1848</v>
      </c>
      <c r="E1693" s="7" t="s">
        <v>1473</v>
      </c>
      <c r="F1693" s="7" t="s">
        <v>250</v>
      </c>
      <c r="G1693" s="7" t="s">
        <v>251</v>
      </c>
      <c r="H1693" s="8">
        <f>+P1693-I1693-J1693</f>
        <v>2.1052631665952504E-2</v>
      </c>
      <c r="I1693" s="8">
        <f t="shared" si="327"/>
        <v>1355233.5789473683</v>
      </c>
      <c r="J1693" s="8">
        <v>257494.38</v>
      </c>
      <c r="K1693" s="8">
        <v>0</v>
      </c>
      <c r="L1693" s="8">
        <v>0</v>
      </c>
      <c r="M1693" s="8">
        <f>+I1693+H1693</f>
        <v>1355233.6</v>
      </c>
      <c r="N1693" s="8">
        <f t="shared" si="334"/>
        <v>257494.38</v>
      </c>
      <c r="O1693" s="8">
        <f t="shared" si="328"/>
        <v>1612727.98</v>
      </c>
      <c r="P1693" s="8">
        <v>1612727.98</v>
      </c>
      <c r="Q1693" s="8">
        <f>+M1693</f>
        <v>1355233.6</v>
      </c>
      <c r="R1693" s="8">
        <f t="shared" si="335"/>
        <v>33880.839999999997</v>
      </c>
      <c r="T1693"/>
    </row>
    <row r="1694" spans="2:22" s="5" customFormat="1" x14ac:dyDescent="0.3">
      <c r="B1694" s="5" t="s">
        <v>16</v>
      </c>
      <c r="C1694" s="5" t="s">
        <v>2504</v>
      </c>
      <c r="D1694" s="5" t="s">
        <v>1848</v>
      </c>
      <c r="E1694" s="5" t="s">
        <v>1340</v>
      </c>
      <c r="F1694" s="5" t="s">
        <v>250</v>
      </c>
      <c r="G1694" s="5" t="s">
        <v>251</v>
      </c>
      <c r="H1694" s="6">
        <f>+P1694-I1694-J1694</f>
        <v>-2.1052631665952504E-2</v>
      </c>
      <c r="I1694" s="6">
        <f t="shared" ref="I1694:I1756" si="338">+J1694/19*100</f>
        <v>1515074.4210526317</v>
      </c>
      <c r="J1694" s="6">
        <v>287864.14</v>
      </c>
      <c r="K1694" s="6">
        <v>0</v>
      </c>
      <c r="L1694" s="6">
        <v>0</v>
      </c>
      <c r="M1694" s="6">
        <f>+H1694+I1694+K1694</f>
        <v>1515074.4</v>
      </c>
      <c r="N1694" s="6">
        <f t="shared" si="334"/>
        <v>287864.14</v>
      </c>
      <c r="O1694" s="6">
        <f t="shared" ref="O1694:O1756" si="339">+M1694+N1694</f>
        <v>1802938.54</v>
      </c>
      <c r="P1694" s="6">
        <v>1802938.54</v>
      </c>
      <c r="Q1694" s="6">
        <f>+M1694</f>
        <v>1515074.4</v>
      </c>
      <c r="R1694" s="6">
        <f t="shared" si="335"/>
        <v>37876.86</v>
      </c>
      <c r="T1694"/>
    </row>
    <row r="1695" spans="2:22" s="5" customFormat="1" x14ac:dyDescent="0.3">
      <c r="B1695" s="5" t="s">
        <v>16</v>
      </c>
      <c r="C1695" s="5" t="s">
        <v>2505</v>
      </c>
      <c r="D1695" s="5" t="s">
        <v>1848</v>
      </c>
      <c r="E1695" s="5" t="s">
        <v>758</v>
      </c>
      <c r="F1695" s="5" t="s">
        <v>250</v>
      </c>
      <c r="G1695" s="5" t="s">
        <v>251</v>
      </c>
      <c r="H1695" s="6">
        <f>+P1695-I1695-J1695</f>
        <v>2.1052632015198469E-2</v>
      </c>
      <c r="I1695" s="6">
        <f t="shared" si="338"/>
        <v>5750073.5789473681</v>
      </c>
      <c r="J1695" s="6">
        <v>1092513.98</v>
      </c>
      <c r="K1695" s="6">
        <v>0</v>
      </c>
      <c r="L1695" s="6">
        <v>0</v>
      </c>
      <c r="M1695" s="6">
        <f>+H1695+I1695+K1695</f>
        <v>5750073.5999999996</v>
      </c>
      <c r="N1695" s="6">
        <f t="shared" si="334"/>
        <v>1092513.98</v>
      </c>
      <c r="O1695" s="6">
        <f t="shared" si="339"/>
        <v>6842587.5800000001</v>
      </c>
      <c r="P1695" s="6">
        <v>6842587.5800000001</v>
      </c>
      <c r="Q1695" s="6">
        <f>+M1695</f>
        <v>5750073.5999999996</v>
      </c>
      <c r="R1695" s="6">
        <f t="shared" si="335"/>
        <v>143751.84</v>
      </c>
      <c r="S1695" s="7"/>
      <c r="T1695"/>
      <c r="U1695" s="9"/>
      <c r="V1695" s="9"/>
    </row>
    <row r="1696" spans="2:22" s="5" customFormat="1" x14ac:dyDescent="0.3">
      <c r="B1696" s="5" t="s">
        <v>16</v>
      </c>
      <c r="C1696" s="5" t="s">
        <v>2506</v>
      </c>
      <c r="D1696" s="5" t="s">
        <v>2507</v>
      </c>
      <c r="E1696" s="5" t="s">
        <v>694</v>
      </c>
      <c r="F1696" s="5" t="s">
        <v>193</v>
      </c>
      <c r="G1696" s="5" t="s">
        <v>194</v>
      </c>
      <c r="H1696" s="6">
        <v>-8.4210525965318084E-3</v>
      </c>
      <c r="I1696" s="6">
        <f t="shared" si="338"/>
        <v>1248403.3684210526</v>
      </c>
      <c r="J1696" s="6">
        <v>237196.64</v>
      </c>
      <c r="K1696" s="6"/>
      <c r="L1696" s="6"/>
      <c r="M1696" s="6">
        <f>+H1696+I1696</f>
        <v>1248403.3599999999</v>
      </c>
      <c r="N1696" s="6">
        <f>+J1696</f>
        <v>237196.64</v>
      </c>
      <c r="O1696" s="6">
        <f t="shared" si="339"/>
        <v>1485600</v>
      </c>
      <c r="P1696" s="6">
        <v>1485600</v>
      </c>
      <c r="Q1696" s="6"/>
      <c r="R1696" s="6">
        <f t="shared" si="335"/>
        <v>0</v>
      </c>
      <c r="S1696" s="7"/>
      <c r="T1696"/>
      <c r="U1696" s="9"/>
      <c r="V1696" s="9"/>
    </row>
    <row r="1697" spans="2:22" s="5" customFormat="1" x14ac:dyDescent="0.3">
      <c r="B1697" s="5" t="s">
        <v>16</v>
      </c>
      <c r="C1697" s="5" t="s">
        <v>2508</v>
      </c>
      <c r="D1697" s="5" t="s">
        <v>2507</v>
      </c>
      <c r="E1697" s="5" t="s">
        <v>1282</v>
      </c>
      <c r="F1697" s="5" t="s">
        <v>193</v>
      </c>
      <c r="G1697" s="5" t="s">
        <v>194</v>
      </c>
      <c r="H1697" s="6">
        <f>+P1697-I1697-J1697</f>
        <v>-5.2631585276685655E-4</v>
      </c>
      <c r="I1697" s="6">
        <f t="shared" si="338"/>
        <v>723025.21052631584</v>
      </c>
      <c r="J1697" s="6">
        <v>137374.79</v>
      </c>
      <c r="K1697" s="6">
        <v>0</v>
      </c>
      <c r="L1697" s="6">
        <v>0</v>
      </c>
      <c r="M1697" s="6">
        <f>+H1697+I1697+K1697</f>
        <v>723025.21</v>
      </c>
      <c r="N1697" s="6">
        <f>+J1697+L1697</f>
        <v>137374.79</v>
      </c>
      <c r="O1697" s="6">
        <f t="shared" si="339"/>
        <v>860400</v>
      </c>
      <c r="P1697" s="6">
        <v>860400</v>
      </c>
      <c r="Q1697" s="6"/>
      <c r="R1697" s="6">
        <f t="shared" si="335"/>
        <v>0</v>
      </c>
      <c r="T1697"/>
    </row>
    <row r="1698" spans="2:22" s="5" customFormat="1" x14ac:dyDescent="0.3">
      <c r="B1698" s="5" t="s">
        <v>16</v>
      </c>
      <c r="C1698" s="5" t="s">
        <v>2509</v>
      </c>
      <c r="D1698" s="5" t="s">
        <v>2507</v>
      </c>
      <c r="E1698" s="5" t="s">
        <v>1060</v>
      </c>
      <c r="F1698" s="5" t="s">
        <v>193</v>
      </c>
      <c r="G1698" s="5" t="s">
        <v>194</v>
      </c>
      <c r="H1698" s="6">
        <f>+P1698-I1698-J1698</f>
        <v>-1.2631578836590052E-2</v>
      </c>
      <c r="I1698" s="6">
        <f t="shared" si="338"/>
        <v>3002605.0526315789</v>
      </c>
      <c r="J1698" s="6">
        <v>570494.96</v>
      </c>
      <c r="K1698" s="6">
        <v>0</v>
      </c>
      <c r="L1698" s="6">
        <v>0</v>
      </c>
      <c r="M1698" s="6">
        <f>+H1698+I1698+K1698</f>
        <v>3002605.04</v>
      </c>
      <c r="N1698" s="6">
        <f>+J1698+L1698</f>
        <v>570494.96</v>
      </c>
      <c r="O1698" s="6">
        <f t="shared" si="339"/>
        <v>3573100</v>
      </c>
      <c r="P1698" s="6">
        <v>3573100</v>
      </c>
      <c r="Q1698" s="6">
        <f>+M1698</f>
        <v>3002605.04</v>
      </c>
      <c r="R1698" s="6">
        <f t="shared" si="335"/>
        <v>75065.125999999989</v>
      </c>
      <c r="T1698"/>
    </row>
    <row r="1699" spans="2:22" s="5" customFormat="1" x14ac:dyDescent="0.3">
      <c r="B1699" s="5" t="s">
        <v>16</v>
      </c>
      <c r="C1699" s="5" t="s">
        <v>2510</v>
      </c>
      <c r="D1699" s="5" t="s">
        <v>2511</v>
      </c>
      <c r="E1699" s="5" t="s">
        <v>549</v>
      </c>
      <c r="F1699" s="5" t="s">
        <v>2512</v>
      </c>
      <c r="G1699" s="5" t="s">
        <v>2513</v>
      </c>
      <c r="H1699" s="6">
        <v>2.7368421053979546</v>
      </c>
      <c r="I1699" s="6">
        <f t="shared" si="338"/>
        <v>1507305.2631578946</v>
      </c>
      <c r="J1699" s="6">
        <v>286388</v>
      </c>
      <c r="K1699" s="6">
        <v>0</v>
      </c>
      <c r="L1699" s="6">
        <v>0</v>
      </c>
      <c r="M1699" s="6">
        <f>+H1699+I1699+K1699</f>
        <v>1507308</v>
      </c>
      <c r="N1699" s="6">
        <f>+J1699+L1699</f>
        <v>286388</v>
      </c>
      <c r="O1699" s="6">
        <f t="shared" si="339"/>
        <v>1793696</v>
      </c>
      <c r="P1699" s="6">
        <v>1793696</v>
      </c>
      <c r="Q1699" s="6">
        <f>+P1699-O1699</f>
        <v>0</v>
      </c>
      <c r="R1699" s="6">
        <f t="shared" si="335"/>
        <v>0</v>
      </c>
      <c r="T1699"/>
    </row>
    <row r="1700" spans="2:22" s="5" customFormat="1" x14ac:dyDescent="0.3">
      <c r="B1700" s="5" t="s">
        <v>16</v>
      </c>
      <c r="C1700" s="5" t="s">
        <v>2514</v>
      </c>
      <c r="D1700" s="5" t="s">
        <v>2511</v>
      </c>
      <c r="E1700" s="5" t="s">
        <v>549</v>
      </c>
      <c r="F1700" s="5" t="s">
        <v>2512</v>
      </c>
      <c r="G1700" s="5" t="s">
        <v>2513</v>
      </c>
      <c r="H1700" s="6">
        <v>0.73684210528153926</v>
      </c>
      <c r="I1700" s="6">
        <f t="shared" si="338"/>
        <v>145805.26315789472</v>
      </c>
      <c r="J1700" s="6">
        <v>27703</v>
      </c>
      <c r="K1700" s="6">
        <v>0</v>
      </c>
      <c r="L1700" s="6">
        <v>0</v>
      </c>
      <c r="M1700" s="6">
        <f>+H1700+I1700+K1700</f>
        <v>145806</v>
      </c>
      <c r="N1700" s="6">
        <f>+J1700+L1700</f>
        <v>27703</v>
      </c>
      <c r="O1700" s="6">
        <f t="shared" si="339"/>
        <v>173509</v>
      </c>
      <c r="P1700" s="6">
        <v>173509</v>
      </c>
      <c r="Q1700" s="6">
        <f>+P1700-O1700</f>
        <v>0</v>
      </c>
      <c r="R1700" s="6">
        <f t="shared" si="335"/>
        <v>0</v>
      </c>
      <c r="S1700"/>
      <c r="T1700"/>
    </row>
    <row r="1701" spans="2:22" s="5" customFormat="1" x14ac:dyDescent="0.3">
      <c r="B1701" s="5" t="s">
        <v>16</v>
      </c>
      <c r="C1701" s="5" t="s">
        <v>2515</v>
      </c>
      <c r="D1701" s="5" t="s">
        <v>2511</v>
      </c>
      <c r="E1701" s="5" t="s">
        <v>549</v>
      </c>
      <c r="F1701" s="5" t="s">
        <v>2512</v>
      </c>
      <c r="G1701" s="5" t="s">
        <v>2513</v>
      </c>
      <c r="H1701" s="6">
        <v>0.63157894741743803</v>
      </c>
      <c r="I1701" s="6">
        <f t="shared" si="338"/>
        <v>5916547.3684210526</v>
      </c>
      <c r="J1701" s="6">
        <v>1124144</v>
      </c>
      <c r="K1701" s="6">
        <v>0</v>
      </c>
      <c r="L1701" s="6">
        <v>0</v>
      </c>
      <c r="M1701" s="6">
        <f>+H1701+I1701+K1701</f>
        <v>5916548</v>
      </c>
      <c r="N1701" s="6">
        <f>+J1701+L1701</f>
        <v>1124144</v>
      </c>
      <c r="O1701" s="6">
        <f t="shared" si="339"/>
        <v>7040692</v>
      </c>
      <c r="P1701" s="6">
        <v>7040692</v>
      </c>
      <c r="Q1701" s="6">
        <f>+P1701-O1701</f>
        <v>0</v>
      </c>
      <c r="R1701" s="6">
        <f t="shared" si="335"/>
        <v>0</v>
      </c>
      <c r="S1701"/>
      <c r="T1701"/>
    </row>
    <row r="1702" spans="2:22" s="5" customFormat="1" x14ac:dyDescent="0.3">
      <c r="B1702" s="5" t="s">
        <v>16</v>
      </c>
      <c r="C1702" s="5" t="s">
        <v>2516</v>
      </c>
      <c r="D1702" s="5" t="s">
        <v>2511</v>
      </c>
      <c r="E1702" s="5" t="s">
        <v>807</v>
      </c>
      <c r="F1702" s="5" t="s">
        <v>2512</v>
      </c>
      <c r="G1702" s="5" t="s">
        <v>2513</v>
      </c>
      <c r="H1702" s="6">
        <v>1.8947368421358988</v>
      </c>
      <c r="I1702" s="6">
        <f t="shared" si="338"/>
        <v>761542.10526315786</v>
      </c>
      <c r="J1702" s="6">
        <v>144693</v>
      </c>
      <c r="K1702" s="6"/>
      <c r="L1702" s="6"/>
      <c r="M1702" s="6">
        <f>+H1702+I1702</f>
        <v>761544</v>
      </c>
      <c r="N1702" s="6">
        <f>+J1702</f>
        <v>144693</v>
      </c>
      <c r="O1702" s="6">
        <f t="shared" si="339"/>
        <v>906237</v>
      </c>
      <c r="P1702" s="6">
        <v>906237</v>
      </c>
      <c r="Q1702" s="6"/>
      <c r="R1702" s="6">
        <f t="shared" si="335"/>
        <v>0</v>
      </c>
      <c r="T1702"/>
    </row>
    <row r="1703" spans="2:22" s="5" customFormat="1" x14ac:dyDescent="0.3">
      <c r="B1703" s="5" t="s">
        <v>16</v>
      </c>
      <c r="C1703" s="5" t="s">
        <v>2517</v>
      </c>
      <c r="D1703" s="5" t="s">
        <v>2511</v>
      </c>
      <c r="E1703" s="5" t="s">
        <v>550</v>
      </c>
      <c r="F1703" s="5" t="s">
        <v>2512</v>
      </c>
      <c r="G1703" s="5" t="s">
        <v>2513</v>
      </c>
      <c r="H1703" s="6">
        <v>-0.63157894735923037</v>
      </c>
      <c r="I1703" s="6">
        <f t="shared" si="338"/>
        <v>377652.63157894736</v>
      </c>
      <c r="J1703" s="6">
        <v>71754</v>
      </c>
      <c r="K1703" s="6"/>
      <c r="L1703" s="6"/>
      <c r="M1703" s="6">
        <f>+H1703+I1703</f>
        <v>377652</v>
      </c>
      <c r="N1703" s="6">
        <f>+J1703</f>
        <v>71754</v>
      </c>
      <c r="O1703" s="6">
        <f t="shared" si="339"/>
        <v>449406</v>
      </c>
      <c r="P1703" s="6">
        <v>449406</v>
      </c>
      <c r="Q1703" s="6"/>
      <c r="R1703" s="6">
        <f t="shared" si="335"/>
        <v>0</v>
      </c>
      <c r="T1703"/>
      <c r="U1703" s="7"/>
      <c r="V1703" s="7"/>
    </row>
    <row r="1704" spans="2:22" s="5" customFormat="1" x14ac:dyDescent="0.3">
      <c r="B1704" s="7" t="s">
        <v>16</v>
      </c>
      <c r="C1704" s="7" t="s">
        <v>2518</v>
      </c>
      <c r="D1704" s="7" t="s">
        <v>2511</v>
      </c>
      <c r="E1704" s="7" t="s">
        <v>1473</v>
      </c>
      <c r="F1704" s="7" t="s">
        <v>2512</v>
      </c>
      <c r="G1704" s="7" t="s">
        <v>2513</v>
      </c>
      <c r="H1704" s="8">
        <f>+P1704-I1704-J1704</f>
        <v>-3.2715789470821619</v>
      </c>
      <c r="I1704" s="8">
        <f t="shared" si="338"/>
        <v>14924352.631578946</v>
      </c>
      <c r="J1704" s="8">
        <v>2835627</v>
      </c>
      <c r="K1704" s="8">
        <v>0</v>
      </c>
      <c r="L1704" s="8">
        <v>0</v>
      </c>
      <c r="M1704" s="8">
        <f>+I1704+H1704</f>
        <v>14924349.359999999</v>
      </c>
      <c r="N1704" s="8">
        <f t="shared" ref="N1704:N1713" si="340">+J1704+L1704</f>
        <v>2835627</v>
      </c>
      <c r="O1704" s="8">
        <f t="shared" si="339"/>
        <v>17759976.359999999</v>
      </c>
      <c r="P1704" s="8">
        <v>17759976.359999999</v>
      </c>
      <c r="Q1704" s="8">
        <v>0</v>
      </c>
      <c r="R1704" s="8">
        <f t="shared" si="335"/>
        <v>0</v>
      </c>
      <c r="T1704"/>
      <c r="U1704" s="9"/>
      <c r="V1704" s="9"/>
    </row>
    <row r="1705" spans="2:22" s="5" customFormat="1" x14ac:dyDescent="0.3">
      <c r="B1705" s="7" t="s">
        <v>16</v>
      </c>
      <c r="C1705" s="7" t="s">
        <v>2519</v>
      </c>
      <c r="D1705" s="7" t="s">
        <v>2511</v>
      </c>
      <c r="E1705" s="7" t="s">
        <v>1473</v>
      </c>
      <c r="F1705" s="7" t="s">
        <v>2512</v>
      </c>
      <c r="G1705" s="7" t="s">
        <v>2513</v>
      </c>
      <c r="H1705" s="8">
        <f>+P1705-I1705-J1705</f>
        <v>0.84210526198148727</v>
      </c>
      <c r="I1705" s="8">
        <f t="shared" si="338"/>
        <v>8536163.157894738</v>
      </c>
      <c r="J1705" s="8">
        <v>1621871</v>
      </c>
      <c r="K1705" s="8">
        <v>0</v>
      </c>
      <c r="L1705" s="8">
        <v>0</v>
      </c>
      <c r="M1705" s="8">
        <f>+I1705+H1705</f>
        <v>8536164</v>
      </c>
      <c r="N1705" s="8">
        <f t="shared" si="340"/>
        <v>1621871</v>
      </c>
      <c r="O1705" s="8">
        <f t="shared" si="339"/>
        <v>10158035</v>
      </c>
      <c r="P1705" s="8">
        <v>10158035</v>
      </c>
      <c r="Q1705" s="8">
        <v>0</v>
      </c>
      <c r="R1705" s="8">
        <f t="shared" si="335"/>
        <v>0</v>
      </c>
      <c r="T1705"/>
      <c r="U1705" s="9"/>
      <c r="V1705" s="9"/>
    </row>
    <row r="1706" spans="2:22" s="5" customFormat="1" x14ac:dyDescent="0.3">
      <c r="B1706" s="5" t="s">
        <v>16</v>
      </c>
      <c r="C1706" s="5" t="s">
        <v>2520</v>
      </c>
      <c r="D1706" s="5" t="s">
        <v>2511</v>
      </c>
      <c r="E1706" s="5" t="s">
        <v>599</v>
      </c>
      <c r="F1706" s="5" t="s">
        <v>2512</v>
      </c>
      <c r="G1706" s="5" t="s">
        <v>2513</v>
      </c>
      <c r="H1706" s="6">
        <f>+P1706-I1706-J1706</f>
        <v>0.6315789483487606</v>
      </c>
      <c r="I1706" s="6">
        <f t="shared" si="338"/>
        <v>12654447.368421052</v>
      </c>
      <c r="J1706" s="6">
        <v>2404345</v>
      </c>
      <c r="K1706" s="6">
        <v>0</v>
      </c>
      <c r="L1706" s="6">
        <v>0</v>
      </c>
      <c r="M1706" s="6">
        <f t="shared" ref="M1706:M1713" si="341">+H1706+I1706+K1706</f>
        <v>12654448</v>
      </c>
      <c r="N1706" s="6">
        <f t="shared" si="340"/>
        <v>2404345</v>
      </c>
      <c r="O1706" s="6">
        <f t="shared" si="339"/>
        <v>15058793</v>
      </c>
      <c r="P1706" s="6">
        <v>15058793</v>
      </c>
      <c r="Q1706" s="6">
        <v>0</v>
      </c>
      <c r="R1706" s="6">
        <f t="shared" si="335"/>
        <v>0</v>
      </c>
      <c r="S1706"/>
      <c r="T1706"/>
      <c r="U1706" s="9"/>
      <c r="V1706" s="9"/>
    </row>
    <row r="1707" spans="2:22" s="5" customFormat="1" x14ac:dyDescent="0.3">
      <c r="B1707" s="5" t="s">
        <v>16</v>
      </c>
      <c r="C1707" s="5" t="s">
        <v>2521</v>
      </c>
      <c r="D1707" s="5" t="s">
        <v>2511</v>
      </c>
      <c r="E1707" s="5" t="s">
        <v>1131</v>
      </c>
      <c r="F1707" s="5" t="s">
        <v>2512</v>
      </c>
      <c r="G1707" s="5" t="s">
        <v>2513</v>
      </c>
      <c r="H1707" s="6">
        <f>+P1707-I1707-J1707-K1707-L1707</f>
        <v>-0.31578947370871902</v>
      </c>
      <c r="I1707" s="6">
        <f t="shared" si="338"/>
        <v>1039926.3157894737</v>
      </c>
      <c r="J1707" s="6">
        <v>197586</v>
      </c>
      <c r="K1707" s="6">
        <v>0</v>
      </c>
      <c r="L1707" s="6">
        <v>0</v>
      </c>
      <c r="M1707" s="6">
        <f t="shared" si="341"/>
        <v>1039926</v>
      </c>
      <c r="N1707" s="6">
        <f t="shared" si="340"/>
        <v>197586</v>
      </c>
      <c r="O1707" s="6">
        <f t="shared" si="339"/>
        <v>1237512</v>
      </c>
      <c r="P1707" s="6">
        <v>1237512</v>
      </c>
      <c r="Q1707" s="6">
        <v>0</v>
      </c>
      <c r="R1707" s="6">
        <f t="shared" si="335"/>
        <v>0</v>
      </c>
      <c r="S1707"/>
      <c r="T1707"/>
    </row>
    <row r="1708" spans="2:22" s="5" customFormat="1" x14ac:dyDescent="0.3">
      <c r="B1708" s="5" t="s">
        <v>16</v>
      </c>
      <c r="C1708" s="5" t="s">
        <v>2522</v>
      </c>
      <c r="D1708" s="5" t="s">
        <v>2511</v>
      </c>
      <c r="E1708" s="5" t="s">
        <v>1131</v>
      </c>
      <c r="F1708" s="5" t="s">
        <v>2512</v>
      </c>
      <c r="G1708" s="5" t="s">
        <v>2513</v>
      </c>
      <c r="H1708" s="6">
        <f>+P1708-I1708-J1708-K1708-L1708</f>
        <v>-0.73684210539795458</v>
      </c>
      <c r="I1708" s="6">
        <f t="shared" si="338"/>
        <v>1550894.7368421054</v>
      </c>
      <c r="J1708" s="6">
        <v>294670</v>
      </c>
      <c r="K1708" s="6">
        <v>0</v>
      </c>
      <c r="L1708" s="6">
        <v>0</v>
      </c>
      <c r="M1708" s="6">
        <f t="shared" si="341"/>
        <v>1550894</v>
      </c>
      <c r="N1708" s="6">
        <f t="shared" si="340"/>
        <v>294670</v>
      </c>
      <c r="O1708" s="6">
        <f t="shared" si="339"/>
        <v>1845564</v>
      </c>
      <c r="P1708" s="6">
        <v>1845564</v>
      </c>
      <c r="Q1708" s="6">
        <v>0</v>
      </c>
      <c r="R1708" s="6">
        <f t="shared" si="335"/>
        <v>0</v>
      </c>
      <c r="S1708"/>
      <c r="T1708"/>
      <c r="U1708"/>
      <c r="V1708"/>
    </row>
    <row r="1709" spans="2:22" s="5" customFormat="1" x14ac:dyDescent="0.3">
      <c r="B1709" s="5" t="s">
        <v>16</v>
      </c>
      <c r="C1709" s="5" t="s">
        <v>2523</v>
      </c>
      <c r="D1709" s="5" t="s">
        <v>2511</v>
      </c>
      <c r="E1709" s="5" t="s">
        <v>761</v>
      </c>
      <c r="F1709" s="5" t="s">
        <v>2512</v>
      </c>
      <c r="G1709" s="5" t="s">
        <v>2513</v>
      </c>
      <c r="H1709" s="6">
        <f>+P1709-I1709-J1709-K1709-L1709</f>
        <v>1.0526315791066736</v>
      </c>
      <c r="I1709" s="6">
        <f t="shared" si="338"/>
        <v>1210078.9473684209</v>
      </c>
      <c r="J1709" s="6">
        <v>229915</v>
      </c>
      <c r="K1709" s="6">
        <v>0</v>
      </c>
      <c r="L1709" s="6">
        <v>0</v>
      </c>
      <c r="M1709" s="6">
        <f t="shared" si="341"/>
        <v>1210080</v>
      </c>
      <c r="N1709" s="6">
        <f t="shared" si="340"/>
        <v>229915</v>
      </c>
      <c r="O1709" s="6">
        <f t="shared" si="339"/>
        <v>1439995</v>
      </c>
      <c r="P1709" s="6">
        <v>1439995</v>
      </c>
      <c r="Q1709" s="6">
        <v>0</v>
      </c>
      <c r="R1709" s="6">
        <f t="shared" si="335"/>
        <v>0</v>
      </c>
      <c r="S1709"/>
      <c r="T1709"/>
      <c r="U1709"/>
      <c r="V1709"/>
    </row>
    <row r="1710" spans="2:22" x14ac:dyDescent="0.3">
      <c r="B1710" s="5" t="s">
        <v>16</v>
      </c>
      <c r="C1710" s="5" t="s">
        <v>2524</v>
      </c>
      <c r="D1710" s="5" t="s">
        <v>2511</v>
      </c>
      <c r="E1710" s="5" t="s">
        <v>761</v>
      </c>
      <c r="F1710" s="5" t="s">
        <v>2512</v>
      </c>
      <c r="G1710" s="5" t="s">
        <v>2513</v>
      </c>
      <c r="H1710" s="6">
        <f>+P1710-I1710-J1710-K1710-L1710</f>
        <v>-0.94736842159181833</v>
      </c>
      <c r="I1710" s="6">
        <f t="shared" si="338"/>
        <v>4326178.9473684216</v>
      </c>
      <c r="J1710" s="6">
        <v>821974</v>
      </c>
      <c r="K1710" s="6">
        <v>0</v>
      </c>
      <c r="L1710" s="6">
        <v>0</v>
      </c>
      <c r="M1710" s="6">
        <f t="shared" si="341"/>
        <v>4326178</v>
      </c>
      <c r="N1710" s="6">
        <f t="shared" si="340"/>
        <v>821974</v>
      </c>
      <c r="O1710" s="6">
        <f t="shared" si="339"/>
        <v>5148152</v>
      </c>
      <c r="P1710" s="6">
        <v>5148152</v>
      </c>
      <c r="Q1710" s="6">
        <v>0</v>
      </c>
      <c r="R1710" s="6">
        <f t="shared" si="335"/>
        <v>0</v>
      </c>
      <c r="S1710" s="5"/>
    </row>
    <row r="1711" spans="2:22" x14ac:dyDescent="0.3">
      <c r="B1711" s="5" t="s">
        <v>16</v>
      </c>
      <c r="C1711" s="5" t="s">
        <v>2525</v>
      </c>
      <c r="D1711" s="5" t="s">
        <v>2511</v>
      </c>
      <c r="E1711" s="5" t="s">
        <v>928</v>
      </c>
      <c r="F1711" s="5" t="s">
        <v>2512</v>
      </c>
      <c r="G1711" s="5" t="s">
        <v>2513</v>
      </c>
      <c r="H1711" s="6">
        <v>0</v>
      </c>
      <c r="I1711" s="6">
        <f t="shared" si="338"/>
        <v>653063.15789473685</v>
      </c>
      <c r="J1711" s="6">
        <v>124082</v>
      </c>
      <c r="K1711" s="6">
        <v>0</v>
      </c>
      <c r="L1711" s="6">
        <v>0</v>
      </c>
      <c r="M1711" s="6">
        <f t="shared" si="341"/>
        <v>653063.15789473685</v>
      </c>
      <c r="N1711" s="6">
        <f t="shared" si="340"/>
        <v>124082</v>
      </c>
      <c r="O1711" s="6">
        <f t="shared" si="339"/>
        <v>777145.15789473685</v>
      </c>
      <c r="P1711" s="6">
        <v>777146</v>
      </c>
      <c r="Q1711" s="6">
        <v>0</v>
      </c>
      <c r="R1711" s="6">
        <f t="shared" si="335"/>
        <v>0</v>
      </c>
      <c r="S1711" s="5"/>
    </row>
    <row r="1712" spans="2:22" x14ac:dyDescent="0.3">
      <c r="B1712" s="5" t="s">
        <v>16</v>
      </c>
      <c r="C1712" s="5" t="s">
        <v>2526</v>
      </c>
      <c r="D1712" s="5" t="s">
        <v>2511</v>
      </c>
      <c r="E1712" s="5" t="s">
        <v>353</v>
      </c>
      <c r="F1712" s="5" t="s">
        <v>2512</v>
      </c>
      <c r="G1712" s="5" t="s">
        <v>2513</v>
      </c>
      <c r="H1712" s="6">
        <f>+P1712-I1712-J1712</f>
        <v>2</v>
      </c>
      <c r="I1712" s="6">
        <f t="shared" si="338"/>
        <v>17021000</v>
      </c>
      <c r="J1712" s="6">
        <v>3233990</v>
      </c>
      <c r="K1712" s="6">
        <v>0</v>
      </c>
      <c r="L1712" s="6">
        <v>0</v>
      </c>
      <c r="M1712" s="6">
        <f t="shared" si="341"/>
        <v>17021002</v>
      </c>
      <c r="N1712" s="6">
        <f t="shared" si="340"/>
        <v>3233990</v>
      </c>
      <c r="O1712" s="6">
        <f t="shared" si="339"/>
        <v>20254992</v>
      </c>
      <c r="P1712" s="6">
        <v>20254992</v>
      </c>
      <c r="Q1712" s="6">
        <v>0</v>
      </c>
      <c r="R1712" s="6">
        <f t="shared" si="335"/>
        <v>0</v>
      </c>
      <c r="S1712" s="9"/>
    </row>
    <row r="1713" spans="2:22" s="5" customFormat="1" x14ac:dyDescent="0.3">
      <c r="B1713" s="5" t="s">
        <v>16</v>
      </c>
      <c r="C1713" s="5" t="s">
        <v>2527</v>
      </c>
      <c r="D1713" s="5" t="s">
        <v>47</v>
      </c>
      <c r="E1713" s="5" t="s">
        <v>537</v>
      </c>
      <c r="F1713" s="5" t="s">
        <v>478</v>
      </c>
      <c r="G1713" s="5" t="s">
        <v>479</v>
      </c>
      <c r="H1713" s="6">
        <f>+P1713-I1713-J1713</f>
        <v>-0.21473684231750667</v>
      </c>
      <c r="I1713" s="6">
        <f t="shared" si="338"/>
        <v>7654285.8947368423</v>
      </c>
      <c r="J1713" s="6">
        <v>1454314.32</v>
      </c>
      <c r="K1713" s="6">
        <v>0</v>
      </c>
      <c r="L1713" s="6">
        <v>0</v>
      </c>
      <c r="M1713" s="6">
        <f t="shared" si="341"/>
        <v>7654285.6799999997</v>
      </c>
      <c r="N1713" s="6">
        <f t="shared" si="340"/>
        <v>1454314.32</v>
      </c>
      <c r="O1713" s="6">
        <f t="shared" si="339"/>
        <v>9108600</v>
      </c>
      <c r="P1713" s="6">
        <v>9108600</v>
      </c>
      <c r="Q1713" s="6">
        <f>+M1713</f>
        <v>7654285.6799999997</v>
      </c>
      <c r="R1713" s="6">
        <f t="shared" si="335"/>
        <v>191357.14199999999</v>
      </c>
      <c r="T1713"/>
      <c r="U1713"/>
      <c r="V1713"/>
    </row>
    <row r="1714" spans="2:22" s="5" customFormat="1" x14ac:dyDescent="0.3">
      <c r="B1714" s="5" t="s">
        <v>16</v>
      </c>
      <c r="C1714" s="5" t="s">
        <v>2528</v>
      </c>
      <c r="D1714" s="5" t="s">
        <v>110</v>
      </c>
      <c r="E1714" s="5" t="s">
        <v>809</v>
      </c>
      <c r="F1714" s="5" t="s">
        <v>201</v>
      </c>
      <c r="G1714" s="5" t="s">
        <v>202</v>
      </c>
      <c r="H1714" s="6">
        <v>0</v>
      </c>
      <c r="I1714" s="6">
        <f t="shared" si="338"/>
        <v>1248000</v>
      </c>
      <c r="J1714" s="6">
        <v>237120</v>
      </c>
      <c r="K1714" s="6"/>
      <c r="L1714" s="6"/>
      <c r="M1714" s="6">
        <f>+H1714+I1714</f>
        <v>1248000</v>
      </c>
      <c r="N1714" s="6">
        <f>+J1714</f>
        <v>237120</v>
      </c>
      <c r="O1714" s="6">
        <f t="shared" si="339"/>
        <v>1485120</v>
      </c>
      <c r="P1714" s="6">
        <v>1485120</v>
      </c>
      <c r="Q1714" s="6"/>
      <c r="R1714" s="6">
        <f t="shared" si="335"/>
        <v>0</v>
      </c>
      <c r="S1714" s="7"/>
      <c r="T1714"/>
      <c r="U1714"/>
      <c r="V1714"/>
    </row>
    <row r="1715" spans="2:22" s="5" customFormat="1" x14ac:dyDescent="0.3">
      <c r="B1715" s="5" t="s">
        <v>16</v>
      </c>
      <c r="C1715" s="5" t="s">
        <v>2529</v>
      </c>
      <c r="D1715" s="5" t="s">
        <v>110</v>
      </c>
      <c r="E1715" s="5" t="s">
        <v>809</v>
      </c>
      <c r="F1715" s="5" t="s">
        <v>201</v>
      </c>
      <c r="G1715" s="5" t="s">
        <v>202</v>
      </c>
      <c r="H1715" s="6">
        <v>-2.1052631578932051</v>
      </c>
      <c r="I1715" s="6">
        <f t="shared" si="338"/>
        <v>90742.105263157893</v>
      </c>
      <c r="J1715" s="6">
        <v>17241</v>
      </c>
      <c r="K1715" s="6"/>
      <c r="L1715" s="6"/>
      <c r="M1715" s="6">
        <f>+H1715+I1715</f>
        <v>90740</v>
      </c>
      <c r="N1715" s="6">
        <f>+J1715</f>
        <v>17241</v>
      </c>
      <c r="O1715" s="6">
        <f t="shared" si="339"/>
        <v>107981</v>
      </c>
      <c r="P1715" s="6">
        <v>107981</v>
      </c>
      <c r="Q1715" s="6"/>
      <c r="R1715" s="6">
        <f t="shared" si="335"/>
        <v>0</v>
      </c>
      <c r="S1715" s="7"/>
      <c r="T1715"/>
      <c r="U1715"/>
      <c r="V1715"/>
    </row>
    <row r="1716" spans="2:22" s="5" customFormat="1" x14ac:dyDescent="0.3">
      <c r="B1716" s="5" t="s">
        <v>16</v>
      </c>
      <c r="C1716" s="5" t="s">
        <v>2530</v>
      </c>
      <c r="D1716" s="5" t="s">
        <v>110</v>
      </c>
      <c r="E1716" s="5" t="s">
        <v>809</v>
      </c>
      <c r="F1716" s="5" t="s">
        <v>201</v>
      </c>
      <c r="G1716" s="5" t="s">
        <v>202</v>
      </c>
      <c r="H1716" s="6">
        <v>0</v>
      </c>
      <c r="I1716" s="6">
        <f t="shared" si="338"/>
        <v>698700</v>
      </c>
      <c r="J1716" s="6">
        <v>132753</v>
      </c>
      <c r="K1716" s="6"/>
      <c r="L1716" s="6"/>
      <c r="M1716" s="6">
        <f>+H1716+I1716</f>
        <v>698700</v>
      </c>
      <c r="N1716" s="6">
        <f>+J1716</f>
        <v>132753</v>
      </c>
      <c r="O1716" s="6">
        <f t="shared" si="339"/>
        <v>831453</v>
      </c>
      <c r="P1716" s="6">
        <v>831453</v>
      </c>
      <c r="Q1716" s="6"/>
      <c r="R1716" s="6">
        <f t="shared" si="335"/>
        <v>0</v>
      </c>
      <c r="T1716"/>
      <c r="U1716"/>
      <c r="V1716"/>
    </row>
    <row r="1717" spans="2:22" s="5" customFormat="1" x14ac:dyDescent="0.3">
      <c r="B1717" s="5" t="s">
        <v>16</v>
      </c>
      <c r="C1717" s="5" t="s">
        <v>2531</v>
      </c>
      <c r="D1717" s="5" t="s">
        <v>110</v>
      </c>
      <c r="E1717" s="5" t="s">
        <v>809</v>
      </c>
      <c r="F1717" s="5" t="s">
        <v>201</v>
      </c>
      <c r="G1717" s="5" t="s">
        <v>202</v>
      </c>
      <c r="H1717" s="6">
        <v>0</v>
      </c>
      <c r="I1717" s="6">
        <f t="shared" si="338"/>
        <v>18600</v>
      </c>
      <c r="J1717" s="6">
        <v>3534</v>
      </c>
      <c r="K1717" s="6"/>
      <c r="L1717" s="6"/>
      <c r="M1717" s="6">
        <f>+H1717+I1717</f>
        <v>18600</v>
      </c>
      <c r="N1717" s="6">
        <f>+J1717</f>
        <v>3534</v>
      </c>
      <c r="O1717" s="6">
        <f t="shared" si="339"/>
        <v>22134</v>
      </c>
      <c r="P1717" s="6">
        <v>22134</v>
      </c>
      <c r="Q1717" s="6"/>
      <c r="R1717" s="6">
        <f t="shared" si="335"/>
        <v>0</v>
      </c>
      <c r="T1717"/>
      <c r="U1717"/>
      <c r="V1717"/>
    </row>
    <row r="1718" spans="2:22" x14ac:dyDescent="0.3">
      <c r="B1718" s="5" t="s">
        <v>16</v>
      </c>
      <c r="C1718" s="5" t="s">
        <v>2532</v>
      </c>
      <c r="D1718" s="5" t="s">
        <v>110</v>
      </c>
      <c r="E1718" s="5" t="s">
        <v>1275</v>
      </c>
      <c r="F1718" s="5" t="s">
        <v>201</v>
      </c>
      <c r="G1718" s="5" t="s">
        <v>202</v>
      </c>
      <c r="H1718" s="6">
        <v>0</v>
      </c>
      <c r="I1718" s="6">
        <f t="shared" si="338"/>
        <v>6984000</v>
      </c>
      <c r="J1718" s="6">
        <v>1326960</v>
      </c>
      <c r="K1718" s="6"/>
      <c r="L1718" s="6"/>
      <c r="M1718" s="6">
        <f>+H1718+I1718</f>
        <v>6984000</v>
      </c>
      <c r="N1718" s="6">
        <f>+J1718</f>
        <v>1326960</v>
      </c>
      <c r="O1718" s="6">
        <f t="shared" si="339"/>
        <v>8310960</v>
      </c>
      <c r="P1718" s="6">
        <v>8310960</v>
      </c>
      <c r="Q1718" s="6">
        <f>+M1718</f>
        <v>6984000</v>
      </c>
      <c r="R1718" s="6">
        <f t="shared" si="335"/>
        <v>174600</v>
      </c>
      <c r="S1718" s="5"/>
    </row>
    <row r="1719" spans="2:22" x14ac:dyDescent="0.3">
      <c r="B1719" s="5" t="s">
        <v>16</v>
      </c>
      <c r="C1719" s="5" t="s">
        <v>2533</v>
      </c>
      <c r="D1719" s="5" t="s">
        <v>110</v>
      </c>
      <c r="E1719" s="5" t="s">
        <v>1713</v>
      </c>
      <c r="F1719" s="5" t="s">
        <v>201</v>
      </c>
      <c r="G1719" s="5" t="s">
        <v>202</v>
      </c>
      <c r="H1719" s="6">
        <f>+P1719-I1719-J1719</f>
        <v>0</v>
      </c>
      <c r="I1719" s="6">
        <f t="shared" si="338"/>
        <v>6013200</v>
      </c>
      <c r="J1719" s="6">
        <v>1142508</v>
      </c>
      <c r="K1719" s="6">
        <v>0</v>
      </c>
      <c r="L1719" s="6">
        <v>0</v>
      </c>
      <c r="M1719" s="6">
        <f>+H1719+I1719+K1719</f>
        <v>6013200</v>
      </c>
      <c r="N1719" s="6">
        <f>+J1719+L1719</f>
        <v>1142508</v>
      </c>
      <c r="O1719" s="6">
        <f t="shared" si="339"/>
        <v>7155708</v>
      </c>
      <c r="P1719" s="6">
        <v>7155708</v>
      </c>
      <c r="Q1719" s="6">
        <f>+M1719</f>
        <v>6013200</v>
      </c>
      <c r="R1719" s="6">
        <f t="shared" si="335"/>
        <v>150330</v>
      </c>
      <c r="S1719" s="5"/>
    </row>
    <row r="1720" spans="2:22" x14ac:dyDescent="0.3">
      <c r="B1720" s="5" t="s">
        <v>16</v>
      </c>
      <c r="C1720" s="5" t="s">
        <v>2534</v>
      </c>
      <c r="D1720" s="5" t="s">
        <v>110</v>
      </c>
      <c r="E1720" s="5" t="s">
        <v>87</v>
      </c>
      <c r="F1720" s="5" t="s">
        <v>201</v>
      </c>
      <c r="G1720" s="5" t="s">
        <v>202</v>
      </c>
      <c r="H1720" s="6">
        <f>+P1720-I1720-J1720-K1720-L1720</f>
        <v>0</v>
      </c>
      <c r="I1720" s="6">
        <f t="shared" si="338"/>
        <v>3621600</v>
      </c>
      <c r="J1720" s="6">
        <v>688104</v>
      </c>
      <c r="K1720" s="6">
        <v>0</v>
      </c>
      <c r="L1720" s="6">
        <v>0</v>
      </c>
      <c r="M1720" s="6">
        <f>+H1720+I1720+K1720</f>
        <v>3621600</v>
      </c>
      <c r="N1720" s="6">
        <f>+J1720+L1720</f>
        <v>688104</v>
      </c>
      <c r="O1720" s="6">
        <f t="shared" si="339"/>
        <v>4309704</v>
      </c>
      <c r="P1720" s="6">
        <v>4309704</v>
      </c>
      <c r="Q1720" s="6">
        <f>+M1720</f>
        <v>3621600</v>
      </c>
      <c r="R1720" s="6">
        <f t="shared" si="335"/>
        <v>90540</v>
      </c>
      <c r="S1720" s="5"/>
    </row>
    <row r="1721" spans="2:22" s="5" customFormat="1" x14ac:dyDescent="0.3">
      <c r="B1721" s="5" t="s">
        <v>16</v>
      </c>
      <c r="C1721" s="5" t="s">
        <v>2535</v>
      </c>
      <c r="D1721" s="5" t="s">
        <v>2536</v>
      </c>
      <c r="E1721" s="5" t="s">
        <v>803</v>
      </c>
      <c r="F1721" s="5" t="s">
        <v>2537</v>
      </c>
      <c r="G1721" s="5" t="s">
        <v>2538</v>
      </c>
      <c r="H1721" s="6">
        <v>1.4736842131242156E-2</v>
      </c>
      <c r="I1721" s="6">
        <f t="shared" si="338"/>
        <v>1474791.1052631577</v>
      </c>
      <c r="J1721" s="6">
        <v>280210.31</v>
      </c>
      <c r="K1721" s="6">
        <v>0</v>
      </c>
      <c r="L1721" s="6">
        <v>0</v>
      </c>
      <c r="M1721" s="6">
        <f>+H1721+I1721+K1721</f>
        <v>1474791.1199999999</v>
      </c>
      <c r="N1721" s="6">
        <f>+J1721+L1721</f>
        <v>280210.31</v>
      </c>
      <c r="O1721" s="6">
        <f t="shared" si="339"/>
        <v>1755001.43</v>
      </c>
      <c r="P1721" s="6">
        <v>1755001.43</v>
      </c>
      <c r="Q1721" s="6">
        <v>0</v>
      </c>
      <c r="R1721" s="6">
        <f t="shared" si="335"/>
        <v>0</v>
      </c>
      <c r="T1721"/>
      <c r="U1721"/>
      <c r="V1721"/>
    </row>
    <row r="1722" spans="2:22" s="5" customFormat="1" x14ac:dyDescent="0.3">
      <c r="B1722" s="5" t="s">
        <v>16</v>
      </c>
      <c r="C1722" s="5" t="s">
        <v>2539</v>
      </c>
      <c r="D1722" s="5" t="s">
        <v>2536</v>
      </c>
      <c r="E1722" s="5" t="s">
        <v>1271</v>
      </c>
      <c r="F1722" s="5" t="s">
        <v>2537</v>
      </c>
      <c r="G1722" s="5" t="s">
        <v>2538</v>
      </c>
      <c r="H1722" s="6">
        <v>-1.8947368458611891E-2</v>
      </c>
      <c r="I1722" s="6">
        <f t="shared" si="338"/>
        <v>626218.57894736843</v>
      </c>
      <c r="J1722" s="6">
        <v>118981.53</v>
      </c>
      <c r="K1722" s="6"/>
      <c r="L1722" s="6"/>
      <c r="M1722" s="6">
        <f>+H1722+I1722</f>
        <v>626218.55999999994</v>
      </c>
      <c r="N1722" s="6">
        <f>+J1722</f>
        <v>118981.53</v>
      </c>
      <c r="O1722" s="6">
        <f t="shared" si="339"/>
        <v>745200.09</v>
      </c>
      <c r="P1722" s="6">
        <v>745200.09</v>
      </c>
      <c r="Q1722" s="6"/>
      <c r="R1722" s="6">
        <f t="shared" si="335"/>
        <v>0</v>
      </c>
      <c r="T1722"/>
      <c r="U1722"/>
      <c r="V1722"/>
    </row>
    <row r="1723" spans="2:22" s="5" customFormat="1" x14ac:dyDescent="0.3">
      <c r="B1723" s="7" t="s">
        <v>16</v>
      </c>
      <c r="C1723" s="7" t="s">
        <v>2540</v>
      </c>
      <c r="D1723" s="7" t="s">
        <v>2536</v>
      </c>
      <c r="E1723" s="7" t="s">
        <v>640</v>
      </c>
      <c r="F1723" s="7" t="s">
        <v>2537</v>
      </c>
      <c r="G1723" s="7" t="s">
        <v>2538</v>
      </c>
      <c r="H1723" s="8">
        <f t="shared" ref="H1723:H1732" si="342">+P1723-I1723-J1723</f>
        <v>-2.4210526229580864E-2</v>
      </c>
      <c r="I1723" s="8">
        <f t="shared" si="338"/>
        <v>1272858.6842105263</v>
      </c>
      <c r="J1723" s="8">
        <v>241843.15</v>
      </c>
      <c r="K1723" s="8">
        <v>0</v>
      </c>
      <c r="L1723" s="8">
        <v>0</v>
      </c>
      <c r="M1723" s="8">
        <f>+I1723+H1723</f>
        <v>1272858.6600000001</v>
      </c>
      <c r="N1723" s="8">
        <f>+J1723+L1723</f>
        <v>241843.15</v>
      </c>
      <c r="O1723" s="8">
        <f t="shared" si="339"/>
        <v>1514701.81</v>
      </c>
      <c r="P1723" s="8">
        <v>1514701.81</v>
      </c>
      <c r="Q1723" s="8">
        <v>0</v>
      </c>
      <c r="R1723" s="8">
        <f t="shared" si="335"/>
        <v>0</v>
      </c>
      <c r="S1723" s="9"/>
      <c r="T1723"/>
      <c r="U1723"/>
      <c r="V1723"/>
    </row>
    <row r="1724" spans="2:22" s="5" customFormat="1" x14ac:dyDescent="0.3">
      <c r="B1724" s="7" t="s">
        <v>16</v>
      </c>
      <c r="C1724" s="7" t="s">
        <v>2541</v>
      </c>
      <c r="D1724" s="7" t="s">
        <v>2536</v>
      </c>
      <c r="E1724" s="7" t="s">
        <v>464</v>
      </c>
      <c r="F1724" s="7" t="s">
        <v>2537</v>
      </c>
      <c r="G1724" s="7" t="s">
        <v>2538</v>
      </c>
      <c r="H1724" s="8">
        <f t="shared" si="342"/>
        <v>-2.1052631200291216E-3</v>
      </c>
      <c r="I1724" s="8">
        <f t="shared" si="338"/>
        <v>239385.84210526315</v>
      </c>
      <c r="J1724" s="8">
        <v>45483.31</v>
      </c>
      <c r="K1724" s="8">
        <v>0</v>
      </c>
      <c r="L1724" s="8">
        <v>0</v>
      </c>
      <c r="M1724" s="8">
        <f>+I1724+H1724</f>
        <v>239385.84000000003</v>
      </c>
      <c r="N1724" s="8">
        <f>+J1724+L1724</f>
        <v>45483.31</v>
      </c>
      <c r="O1724" s="8">
        <f t="shared" si="339"/>
        <v>284869.15000000002</v>
      </c>
      <c r="P1724" s="8">
        <v>284869.15000000002</v>
      </c>
      <c r="Q1724" s="8">
        <v>0</v>
      </c>
      <c r="R1724" s="8">
        <f t="shared" si="335"/>
        <v>0</v>
      </c>
      <c r="T1724"/>
      <c r="U1724"/>
      <c r="V1724"/>
    </row>
    <row r="1725" spans="2:22" s="5" customFormat="1" x14ac:dyDescent="0.3">
      <c r="B1725" s="5" t="s">
        <v>16</v>
      </c>
      <c r="C1725" s="5" t="s">
        <v>2542</v>
      </c>
      <c r="D1725" s="5" t="s">
        <v>2536</v>
      </c>
      <c r="E1725" s="5" t="s">
        <v>554</v>
      </c>
      <c r="F1725" s="5" t="s">
        <v>2537</v>
      </c>
      <c r="G1725" s="5" t="s">
        <v>2538</v>
      </c>
      <c r="H1725" s="6">
        <f t="shared" si="342"/>
        <v>1.368421055667568E-2</v>
      </c>
      <c r="I1725" s="6">
        <f t="shared" si="338"/>
        <v>608067.52631578944</v>
      </c>
      <c r="J1725" s="6">
        <v>115532.83</v>
      </c>
      <c r="K1725" s="6">
        <v>0</v>
      </c>
      <c r="L1725" s="6">
        <v>0</v>
      </c>
      <c r="M1725" s="6">
        <f t="shared" ref="M1725:M1756" si="343">+H1725+I1725+K1725</f>
        <v>608067.54</v>
      </c>
      <c r="N1725" s="6">
        <f>+J1725+L1725</f>
        <v>115532.83</v>
      </c>
      <c r="O1725" s="6">
        <f t="shared" si="339"/>
        <v>723600.37</v>
      </c>
      <c r="P1725" s="6">
        <v>723600.37</v>
      </c>
      <c r="Q1725" s="6"/>
      <c r="R1725" s="6">
        <f t="shared" si="335"/>
        <v>0</v>
      </c>
      <c r="T1725"/>
      <c r="U1725"/>
      <c r="V1725"/>
    </row>
    <row r="1726" spans="2:22" s="5" customFormat="1" x14ac:dyDescent="0.3">
      <c r="B1726" s="5" t="s">
        <v>16</v>
      </c>
      <c r="C1726" s="5" t="s">
        <v>2543</v>
      </c>
      <c r="D1726" s="5" t="s">
        <v>2536</v>
      </c>
      <c r="E1726" s="5" t="s">
        <v>559</v>
      </c>
      <c r="F1726" s="5" t="s">
        <v>2537</v>
      </c>
      <c r="G1726" s="5" t="s">
        <v>2538</v>
      </c>
      <c r="H1726" s="6">
        <f t="shared" si="342"/>
        <v>2.7894736937014386E-2</v>
      </c>
      <c r="I1726" s="6">
        <f t="shared" si="338"/>
        <v>888428.84210526315</v>
      </c>
      <c r="J1726" s="6">
        <v>168801.48</v>
      </c>
      <c r="K1726" s="6">
        <v>0</v>
      </c>
      <c r="L1726" s="6">
        <v>0</v>
      </c>
      <c r="M1726" s="6">
        <f t="shared" si="343"/>
        <v>888428.87000000011</v>
      </c>
      <c r="N1726" s="6">
        <f>J1726+L1726</f>
        <v>168801.48</v>
      </c>
      <c r="O1726" s="6">
        <f t="shared" si="339"/>
        <v>1057230.3500000001</v>
      </c>
      <c r="P1726" s="6">
        <v>1057230.3500000001</v>
      </c>
      <c r="Q1726" s="6">
        <v>0</v>
      </c>
      <c r="R1726" s="6">
        <f t="shared" si="335"/>
        <v>0</v>
      </c>
      <c r="T1726"/>
      <c r="U1726"/>
      <c r="V1726"/>
    </row>
    <row r="1727" spans="2:22" s="5" customFormat="1" x14ac:dyDescent="0.3">
      <c r="B1727" s="5" t="s">
        <v>16</v>
      </c>
      <c r="C1727" s="5" t="s">
        <v>2544</v>
      </c>
      <c r="D1727" s="5" t="s">
        <v>2536</v>
      </c>
      <c r="E1727" s="5" t="s">
        <v>577</v>
      </c>
      <c r="F1727" s="5" t="s">
        <v>2537</v>
      </c>
      <c r="G1727" s="5" t="s">
        <v>2538</v>
      </c>
      <c r="H1727" s="6">
        <f t="shared" si="342"/>
        <v>2.1052631578641012E-2</v>
      </c>
      <c r="I1727" s="6">
        <f t="shared" si="338"/>
        <v>614118.57894736843</v>
      </c>
      <c r="J1727" s="6">
        <v>116682.53</v>
      </c>
      <c r="K1727" s="6">
        <v>0</v>
      </c>
      <c r="L1727" s="6">
        <v>0</v>
      </c>
      <c r="M1727" s="6">
        <f t="shared" si="343"/>
        <v>614118.6</v>
      </c>
      <c r="N1727" s="6">
        <f t="shared" ref="N1727:N1756" si="344">+J1727+L1727</f>
        <v>116682.53</v>
      </c>
      <c r="O1727" s="6">
        <f t="shared" si="339"/>
        <v>730801.13</v>
      </c>
      <c r="P1727" s="6">
        <v>730801.13</v>
      </c>
      <c r="Q1727" s="6">
        <v>0</v>
      </c>
      <c r="R1727" s="6">
        <f t="shared" si="335"/>
        <v>0</v>
      </c>
      <c r="T1727"/>
      <c r="U1727"/>
      <c r="V1727"/>
    </row>
    <row r="1728" spans="2:22" s="5" customFormat="1" x14ac:dyDescent="0.3">
      <c r="B1728" s="5" t="s">
        <v>16</v>
      </c>
      <c r="C1728" s="5" t="s">
        <v>2545</v>
      </c>
      <c r="D1728" s="5" t="s">
        <v>2536</v>
      </c>
      <c r="E1728" s="5" t="s">
        <v>332</v>
      </c>
      <c r="F1728" s="5" t="s">
        <v>2537</v>
      </c>
      <c r="G1728" s="5" t="s">
        <v>2538</v>
      </c>
      <c r="H1728" s="6">
        <f t="shared" si="342"/>
        <v>-2.1052631520433351E-2</v>
      </c>
      <c r="I1728" s="6">
        <f t="shared" si="338"/>
        <v>1002101.4210526315</v>
      </c>
      <c r="J1728" s="6">
        <v>190399.27</v>
      </c>
      <c r="K1728" s="6">
        <v>0</v>
      </c>
      <c r="L1728" s="6">
        <v>0</v>
      </c>
      <c r="M1728" s="6">
        <f t="shared" si="343"/>
        <v>1002101.3999999999</v>
      </c>
      <c r="N1728" s="6">
        <f t="shared" si="344"/>
        <v>190399.27</v>
      </c>
      <c r="O1728" s="6">
        <f t="shared" si="339"/>
        <v>1192500.67</v>
      </c>
      <c r="P1728" s="6">
        <v>1192500.67</v>
      </c>
      <c r="Q1728" s="6">
        <v>0</v>
      </c>
      <c r="R1728" s="6">
        <f t="shared" si="335"/>
        <v>0</v>
      </c>
      <c r="T1728"/>
      <c r="U1728"/>
      <c r="V1728"/>
    </row>
    <row r="1729" spans="2:22" s="5" customFormat="1" x14ac:dyDescent="0.3">
      <c r="B1729" s="5" t="s">
        <v>16</v>
      </c>
      <c r="C1729" s="5" t="s">
        <v>2546</v>
      </c>
      <c r="D1729" s="5" t="s">
        <v>2536</v>
      </c>
      <c r="E1729" s="5" t="s">
        <v>681</v>
      </c>
      <c r="F1729" s="5" t="s">
        <v>2537</v>
      </c>
      <c r="G1729" s="5" t="s">
        <v>2538</v>
      </c>
      <c r="H1729" s="6">
        <f t="shared" si="342"/>
        <v>6.3157894765026867E-3</v>
      </c>
      <c r="I1729" s="6">
        <f t="shared" si="338"/>
        <v>667815.47368421056</v>
      </c>
      <c r="J1729" s="6">
        <v>126884.94</v>
      </c>
      <c r="K1729" s="6">
        <v>0</v>
      </c>
      <c r="L1729" s="6">
        <v>0</v>
      </c>
      <c r="M1729" s="6">
        <f t="shared" si="343"/>
        <v>667815.48</v>
      </c>
      <c r="N1729" s="6">
        <f t="shared" si="344"/>
        <v>126884.94</v>
      </c>
      <c r="O1729" s="6">
        <f t="shared" si="339"/>
        <v>794700.41999999993</v>
      </c>
      <c r="P1729" s="6">
        <v>794700.42</v>
      </c>
      <c r="Q1729" s="6">
        <v>0</v>
      </c>
      <c r="R1729" s="6">
        <f t="shared" si="335"/>
        <v>0</v>
      </c>
      <c r="T1729"/>
      <c r="U1729"/>
      <c r="V1729"/>
    </row>
    <row r="1730" spans="2:22" s="5" customFormat="1" x14ac:dyDescent="0.3">
      <c r="B1730" s="5" t="s">
        <v>16</v>
      </c>
      <c r="C1730" s="5" t="s">
        <v>2547</v>
      </c>
      <c r="D1730" s="5" t="s">
        <v>2536</v>
      </c>
      <c r="E1730" s="5" t="s">
        <v>349</v>
      </c>
      <c r="F1730" s="5" t="s">
        <v>2537</v>
      </c>
      <c r="G1730" s="5" t="s">
        <v>2538</v>
      </c>
      <c r="H1730" s="6">
        <f t="shared" si="342"/>
        <v>2.4736842155107297E-2</v>
      </c>
      <c r="I1730" s="6">
        <f t="shared" si="338"/>
        <v>395924.10526315786</v>
      </c>
      <c r="J1730" s="6">
        <v>75225.58</v>
      </c>
      <c r="K1730" s="6">
        <v>0</v>
      </c>
      <c r="L1730" s="6">
        <v>0</v>
      </c>
      <c r="M1730" s="6">
        <f t="shared" si="343"/>
        <v>395924.13</v>
      </c>
      <c r="N1730" s="6">
        <f t="shared" si="344"/>
        <v>75225.58</v>
      </c>
      <c r="O1730" s="6">
        <f t="shared" si="339"/>
        <v>471149.71</v>
      </c>
      <c r="P1730" s="6">
        <v>471149.71</v>
      </c>
      <c r="Q1730" s="6">
        <v>0</v>
      </c>
      <c r="R1730" s="6">
        <f t="shared" si="335"/>
        <v>0</v>
      </c>
      <c r="S1730" s="9"/>
      <c r="T1730"/>
      <c r="U1730"/>
      <c r="V1730"/>
    </row>
    <row r="1731" spans="2:22" x14ac:dyDescent="0.3">
      <c r="B1731" s="5" t="s">
        <v>16</v>
      </c>
      <c r="C1731" s="5" t="s">
        <v>2548</v>
      </c>
      <c r="D1731" s="5" t="s">
        <v>2536</v>
      </c>
      <c r="E1731" s="5" t="s">
        <v>30</v>
      </c>
      <c r="F1731" s="5" t="s">
        <v>2537</v>
      </c>
      <c r="G1731" s="5" t="s">
        <v>2538</v>
      </c>
      <c r="H1731" s="6">
        <f t="shared" si="342"/>
        <v>-7.8947370348032564E-3</v>
      </c>
      <c r="I1731" s="6">
        <f t="shared" si="338"/>
        <v>774831.15789473697</v>
      </c>
      <c r="J1731" s="6">
        <v>147217.92000000001</v>
      </c>
      <c r="K1731" s="6">
        <v>0</v>
      </c>
      <c r="L1731" s="6">
        <v>0</v>
      </c>
      <c r="M1731" s="6">
        <f t="shared" si="343"/>
        <v>774831.14999999991</v>
      </c>
      <c r="N1731" s="6">
        <f t="shared" si="344"/>
        <v>147217.92000000001</v>
      </c>
      <c r="O1731" s="6">
        <f t="shared" si="339"/>
        <v>922049.07</v>
      </c>
      <c r="P1731" s="6">
        <v>922049.07</v>
      </c>
      <c r="Q1731" s="6">
        <v>0</v>
      </c>
      <c r="R1731" s="6">
        <f t="shared" si="335"/>
        <v>0</v>
      </c>
      <c r="S1731" s="9"/>
    </row>
    <row r="1732" spans="2:22" x14ac:dyDescent="0.3">
      <c r="B1732" s="5" t="s">
        <v>16</v>
      </c>
      <c r="C1732" s="5" t="s">
        <v>2549</v>
      </c>
      <c r="D1732" s="5" t="s">
        <v>2536</v>
      </c>
      <c r="E1732" s="5" t="s">
        <v>1037</v>
      </c>
      <c r="F1732" s="5" t="s">
        <v>2537</v>
      </c>
      <c r="G1732" s="5" t="s">
        <v>2538</v>
      </c>
      <c r="H1732" s="6">
        <f t="shared" si="342"/>
        <v>-1.7894736782182008E-2</v>
      </c>
      <c r="I1732" s="6">
        <f t="shared" si="338"/>
        <v>657985.15789473674</v>
      </c>
      <c r="J1732" s="6">
        <v>125017.18</v>
      </c>
      <c r="K1732" s="6">
        <v>0</v>
      </c>
      <c r="L1732" s="6">
        <v>0</v>
      </c>
      <c r="M1732" s="6">
        <f t="shared" si="343"/>
        <v>657985.1399999999</v>
      </c>
      <c r="N1732" s="6">
        <f t="shared" si="344"/>
        <v>125017.18</v>
      </c>
      <c r="O1732" s="6">
        <f t="shared" si="339"/>
        <v>783002.31999999983</v>
      </c>
      <c r="P1732" s="6">
        <v>783002.32</v>
      </c>
      <c r="Q1732" s="6">
        <v>0</v>
      </c>
      <c r="R1732" s="6">
        <f t="shared" si="335"/>
        <v>0</v>
      </c>
      <c r="S1732" s="9"/>
    </row>
    <row r="1733" spans="2:22" s="5" customFormat="1" x14ac:dyDescent="0.3">
      <c r="B1733" s="5" t="s">
        <v>16</v>
      </c>
      <c r="C1733" s="5" t="s">
        <v>2550</v>
      </c>
      <c r="D1733" s="5" t="s">
        <v>2536</v>
      </c>
      <c r="E1733" s="5" t="s">
        <v>1044</v>
      </c>
      <c r="F1733" s="5" t="s">
        <v>2537</v>
      </c>
      <c r="G1733" s="5" t="s">
        <v>2538</v>
      </c>
      <c r="H1733" s="6">
        <f>+P1733-I1733-J1733-K1733-L1733</f>
        <v>1.368421055667568E-2</v>
      </c>
      <c r="I1733" s="6">
        <f t="shared" si="338"/>
        <v>608067.52631578944</v>
      </c>
      <c r="J1733" s="6">
        <v>115532.83</v>
      </c>
      <c r="K1733" s="6">
        <v>0</v>
      </c>
      <c r="L1733" s="6">
        <v>0</v>
      </c>
      <c r="M1733" s="6">
        <f t="shared" si="343"/>
        <v>608067.54</v>
      </c>
      <c r="N1733" s="6">
        <f t="shared" si="344"/>
        <v>115532.83</v>
      </c>
      <c r="O1733" s="6">
        <f t="shared" si="339"/>
        <v>723600.37</v>
      </c>
      <c r="P1733" s="6">
        <v>723600.37</v>
      </c>
      <c r="Q1733" s="6">
        <v>0</v>
      </c>
      <c r="R1733" s="6">
        <f t="shared" ref="R1733:R1756" si="345">+Q1733*2.5/100</f>
        <v>0</v>
      </c>
      <c r="S1733" s="9"/>
      <c r="T1733"/>
      <c r="U1733"/>
      <c r="V1733"/>
    </row>
    <row r="1734" spans="2:22" s="5" customFormat="1" x14ac:dyDescent="0.3">
      <c r="B1734" s="5" t="s">
        <v>16</v>
      </c>
      <c r="C1734" s="5" t="s">
        <v>2551</v>
      </c>
      <c r="D1734" s="5" t="s">
        <v>2536</v>
      </c>
      <c r="E1734" s="5" t="s">
        <v>1044</v>
      </c>
      <c r="F1734" s="5" t="s">
        <v>2537</v>
      </c>
      <c r="G1734" s="5" t="s">
        <v>2538</v>
      </c>
      <c r="H1734" s="6">
        <f>+P1734-I1734-J1734-K1734-L1734</f>
        <v>1.368421055667568E-2</v>
      </c>
      <c r="I1734" s="6">
        <f t="shared" si="338"/>
        <v>608067.52631578944</v>
      </c>
      <c r="J1734" s="6">
        <v>115532.83</v>
      </c>
      <c r="K1734" s="6">
        <v>0</v>
      </c>
      <c r="L1734" s="6">
        <v>0</v>
      </c>
      <c r="M1734" s="6">
        <f t="shared" si="343"/>
        <v>608067.54</v>
      </c>
      <c r="N1734" s="6">
        <f t="shared" si="344"/>
        <v>115532.83</v>
      </c>
      <c r="O1734" s="6">
        <f t="shared" si="339"/>
        <v>723600.37</v>
      </c>
      <c r="P1734" s="6">
        <v>723600.37</v>
      </c>
      <c r="Q1734" s="6">
        <v>0</v>
      </c>
      <c r="R1734" s="6">
        <f t="shared" si="345"/>
        <v>0</v>
      </c>
      <c r="S1734" s="9"/>
      <c r="T1734"/>
      <c r="U1734"/>
      <c r="V1734"/>
    </row>
    <row r="1735" spans="2:22" s="5" customFormat="1" x14ac:dyDescent="0.3">
      <c r="B1735" s="5" t="s">
        <v>16</v>
      </c>
      <c r="C1735" s="5" t="s">
        <v>2552</v>
      </c>
      <c r="D1735" s="5" t="s">
        <v>2536</v>
      </c>
      <c r="E1735" s="5" t="s">
        <v>885</v>
      </c>
      <c r="F1735" s="5" t="s">
        <v>2537</v>
      </c>
      <c r="G1735" s="5" t="s">
        <v>2538</v>
      </c>
      <c r="H1735" s="6">
        <f>+P1735-I1735-J1735-K1735-L1735</f>
        <v>6.8421051546465605E-3</v>
      </c>
      <c r="I1735" s="6">
        <f t="shared" si="338"/>
        <v>1271268.2631578948</v>
      </c>
      <c r="J1735" s="6">
        <v>241540.97</v>
      </c>
      <c r="K1735" s="6">
        <v>0</v>
      </c>
      <c r="L1735" s="6">
        <v>0</v>
      </c>
      <c r="M1735" s="6">
        <f t="shared" si="343"/>
        <v>1271268.27</v>
      </c>
      <c r="N1735" s="6">
        <f t="shared" si="344"/>
        <v>241540.97</v>
      </c>
      <c r="O1735" s="6">
        <f t="shared" si="339"/>
        <v>1512809.24</v>
      </c>
      <c r="P1735" s="6">
        <v>1512809.24</v>
      </c>
      <c r="Q1735" s="6">
        <v>0</v>
      </c>
      <c r="R1735" s="6">
        <f t="shared" si="345"/>
        <v>0</v>
      </c>
      <c r="T1735"/>
      <c r="U1735"/>
      <c r="V1735"/>
    </row>
    <row r="1736" spans="2:22" x14ac:dyDescent="0.3">
      <c r="B1736" s="5" t="s">
        <v>16</v>
      </c>
      <c r="C1736" s="5" t="s">
        <v>2553</v>
      </c>
      <c r="D1736" s="5" t="s">
        <v>2536</v>
      </c>
      <c r="E1736" s="5" t="s">
        <v>307</v>
      </c>
      <c r="F1736" s="5" t="s">
        <v>2537</v>
      </c>
      <c r="G1736" s="5" t="s">
        <v>2538</v>
      </c>
      <c r="H1736" s="6">
        <v>0</v>
      </c>
      <c r="I1736" s="6">
        <f t="shared" si="338"/>
        <v>949916</v>
      </c>
      <c r="J1736" s="6">
        <v>180484.04</v>
      </c>
      <c r="K1736" s="6">
        <v>0</v>
      </c>
      <c r="L1736" s="6">
        <v>0</v>
      </c>
      <c r="M1736" s="6">
        <f t="shared" si="343"/>
        <v>949916</v>
      </c>
      <c r="N1736" s="6">
        <f t="shared" si="344"/>
        <v>180484.04</v>
      </c>
      <c r="O1736" s="6">
        <f t="shared" si="339"/>
        <v>1130400.04</v>
      </c>
      <c r="P1736" s="6">
        <v>1130400.02</v>
      </c>
      <c r="Q1736" s="6">
        <v>0</v>
      </c>
      <c r="R1736" s="6">
        <f t="shared" si="345"/>
        <v>0</v>
      </c>
      <c r="S1736" s="5"/>
    </row>
    <row r="1737" spans="2:22" s="5" customFormat="1" x14ac:dyDescent="0.3">
      <c r="B1737" s="5" t="s">
        <v>16</v>
      </c>
      <c r="C1737" s="5" t="s">
        <v>2554</v>
      </c>
      <c r="D1737" s="5" t="s">
        <v>2536</v>
      </c>
      <c r="E1737" s="5" t="s">
        <v>1060</v>
      </c>
      <c r="F1737" s="5" t="s">
        <v>2537</v>
      </c>
      <c r="G1737" s="5" t="s">
        <v>2538</v>
      </c>
      <c r="H1737" s="6">
        <f t="shared" ref="H1737:H1743" si="346">+P1737-I1737-J1737</f>
        <v>2.2105263196863234E-2</v>
      </c>
      <c r="I1737" s="6">
        <f t="shared" si="338"/>
        <v>847413.15789473685</v>
      </c>
      <c r="J1737" s="6">
        <v>161008.5</v>
      </c>
      <c r="K1737" s="6">
        <v>0</v>
      </c>
      <c r="L1737" s="6">
        <v>0</v>
      </c>
      <c r="M1737" s="6">
        <f t="shared" si="343"/>
        <v>847413.18</v>
      </c>
      <c r="N1737" s="6">
        <f t="shared" si="344"/>
        <v>161008.5</v>
      </c>
      <c r="O1737" s="6">
        <f t="shared" si="339"/>
        <v>1008421.68</v>
      </c>
      <c r="P1737" s="6">
        <v>1008421.68</v>
      </c>
      <c r="Q1737" s="6">
        <v>0</v>
      </c>
      <c r="R1737" s="6">
        <f t="shared" si="345"/>
        <v>0</v>
      </c>
      <c r="T1737"/>
      <c r="U1737"/>
      <c r="V1737"/>
    </row>
    <row r="1738" spans="2:22" s="5" customFormat="1" x14ac:dyDescent="0.3">
      <c r="B1738" s="5" t="s">
        <v>16</v>
      </c>
      <c r="C1738" s="5" t="s">
        <v>2555</v>
      </c>
      <c r="D1738" s="5" t="s">
        <v>35</v>
      </c>
      <c r="E1738" s="5" t="s">
        <v>751</v>
      </c>
      <c r="F1738" s="5" t="s">
        <v>466</v>
      </c>
      <c r="G1738" s="5" t="s">
        <v>467</v>
      </c>
      <c r="H1738" s="6">
        <f t="shared" si="346"/>
        <v>1.5789471799507737E-3</v>
      </c>
      <c r="I1738" s="6">
        <f t="shared" si="338"/>
        <v>1510924.3684210528</v>
      </c>
      <c r="J1738" s="6">
        <v>287075.63</v>
      </c>
      <c r="K1738" s="6">
        <v>0</v>
      </c>
      <c r="L1738" s="6">
        <v>0</v>
      </c>
      <c r="M1738" s="6">
        <f t="shared" si="343"/>
        <v>1510924.37</v>
      </c>
      <c r="N1738" s="6">
        <f t="shared" si="344"/>
        <v>287075.63</v>
      </c>
      <c r="O1738" s="6">
        <f t="shared" si="339"/>
        <v>1798000</v>
      </c>
      <c r="P1738" s="6">
        <v>1798000</v>
      </c>
      <c r="Q1738" s="6">
        <f>+M1738</f>
        <v>1510924.37</v>
      </c>
      <c r="R1738" s="6">
        <f t="shared" si="345"/>
        <v>37773.109250000001</v>
      </c>
      <c r="T1738"/>
      <c r="U1738"/>
      <c r="V1738"/>
    </row>
    <row r="1739" spans="2:22" s="5" customFormat="1" x14ac:dyDescent="0.3">
      <c r="B1739" s="5" t="s">
        <v>16</v>
      </c>
      <c r="C1739" s="5" t="s">
        <v>2556</v>
      </c>
      <c r="D1739" s="5" t="s">
        <v>35</v>
      </c>
      <c r="E1739" s="5" t="s">
        <v>544</v>
      </c>
      <c r="F1739" s="5" t="s">
        <v>466</v>
      </c>
      <c r="G1739" s="5" t="s">
        <v>467</v>
      </c>
      <c r="H1739" s="6">
        <f t="shared" si="346"/>
        <v>2.2105263175035361E-2</v>
      </c>
      <c r="I1739" s="6">
        <f t="shared" si="338"/>
        <v>112941.15789473683</v>
      </c>
      <c r="J1739" s="6">
        <v>21458.82</v>
      </c>
      <c r="K1739" s="6">
        <v>0</v>
      </c>
      <c r="L1739" s="6">
        <v>0</v>
      </c>
      <c r="M1739" s="6">
        <f t="shared" si="343"/>
        <v>112941.18</v>
      </c>
      <c r="N1739" s="6">
        <f t="shared" si="344"/>
        <v>21458.82</v>
      </c>
      <c r="O1739" s="6">
        <f t="shared" si="339"/>
        <v>134400</v>
      </c>
      <c r="P1739" s="6">
        <v>134400</v>
      </c>
      <c r="Q1739" s="6">
        <v>0</v>
      </c>
      <c r="R1739" s="6">
        <f t="shared" si="345"/>
        <v>0</v>
      </c>
      <c r="T1739"/>
      <c r="U1739"/>
      <c r="V1739"/>
    </row>
    <row r="1740" spans="2:22" s="5" customFormat="1" x14ac:dyDescent="0.3">
      <c r="B1740" s="5" t="s">
        <v>16</v>
      </c>
      <c r="C1740" s="5" t="s">
        <v>2557</v>
      </c>
      <c r="D1740" s="5" t="s">
        <v>35</v>
      </c>
      <c r="E1740" s="5" t="s">
        <v>541</v>
      </c>
      <c r="F1740" s="5" t="s">
        <v>466</v>
      </c>
      <c r="G1740" s="5" t="s">
        <v>467</v>
      </c>
      <c r="H1740" s="6">
        <f t="shared" si="346"/>
        <v>-9.4736841565463692E-3</v>
      </c>
      <c r="I1740" s="6">
        <f t="shared" si="338"/>
        <v>584453.78947368416</v>
      </c>
      <c r="J1740" s="6">
        <v>111046.22</v>
      </c>
      <c r="K1740" s="6">
        <v>0</v>
      </c>
      <c r="L1740" s="6">
        <v>0</v>
      </c>
      <c r="M1740" s="6">
        <f t="shared" si="343"/>
        <v>584453.78</v>
      </c>
      <c r="N1740" s="6">
        <f t="shared" si="344"/>
        <v>111046.22</v>
      </c>
      <c r="O1740" s="6">
        <f t="shared" si="339"/>
        <v>695500</v>
      </c>
      <c r="P1740" s="6">
        <v>695500</v>
      </c>
      <c r="Q1740" s="6">
        <f t="shared" ref="Q1740:Q1752" si="347">+M1740</f>
        <v>584453.78</v>
      </c>
      <c r="R1740" s="6">
        <f t="shared" si="345"/>
        <v>14611.344500000001</v>
      </c>
      <c r="S1740"/>
      <c r="T1740"/>
      <c r="U1740"/>
      <c r="V1740"/>
    </row>
    <row r="1741" spans="2:22" s="5" customFormat="1" x14ac:dyDescent="0.3">
      <c r="B1741" s="5" t="s">
        <v>16</v>
      </c>
      <c r="C1741" s="5" t="s">
        <v>2558</v>
      </c>
      <c r="D1741" s="5" t="s">
        <v>35</v>
      </c>
      <c r="E1741" s="5" t="s">
        <v>544</v>
      </c>
      <c r="F1741" s="5" t="s">
        <v>466</v>
      </c>
      <c r="G1741" s="5" t="s">
        <v>467</v>
      </c>
      <c r="H1741" s="6">
        <f t="shared" si="346"/>
        <v>-4.4210526291863061E-2</v>
      </c>
      <c r="I1741" s="6">
        <f t="shared" si="338"/>
        <v>594117.68421052629</v>
      </c>
      <c r="J1741" s="6">
        <v>112882.36</v>
      </c>
      <c r="K1741" s="6">
        <v>0</v>
      </c>
      <c r="L1741" s="6">
        <v>0</v>
      </c>
      <c r="M1741" s="6">
        <f t="shared" si="343"/>
        <v>594117.64</v>
      </c>
      <c r="N1741" s="6">
        <f t="shared" si="344"/>
        <v>112882.36</v>
      </c>
      <c r="O1741" s="6">
        <f t="shared" si="339"/>
        <v>707000</v>
      </c>
      <c r="P1741" s="6">
        <v>707000</v>
      </c>
      <c r="Q1741" s="6">
        <f t="shared" si="347"/>
        <v>594117.64</v>
      </c>
      <c r="R1741" s="6">
        <f t="shared" si="345"/>
        <v>14852.941000000001</v>
      </c>
      <c r="T1741"/>
      <c r="U1741"/>
      <c r="V1741"/>
    </row>
    <row r="1742" spans="2:22" s="5" customFormat="1" x14ac:dyDescent="0.3">
      <c r="B1742" s="5" t="s">
        <v>16</v>
      </c>
      <c r="C1742" s="5" t="s">
        <v>2559</v>
      </c>
      <c r="D1742" s="5" t="s">
        <v>35</v>
      </c>
      <c r="E1742" s="5" t="s">
        <v>191</v>
      </c>
      <c r="F1742" s="5" t="s">
        <v>466</v>
      </c>
      <c r="G1742" s="5" t="s">
        <v>467</v>
      </c>
      <c r="H1742" s="6">
        <f t="shared" si="346"/>
        <v>4.3684210570063442E-2</v>
      </c>
      <c r="I1742" s="6">
        <f t="shared" si="338"/>
        <v>988907.52631578944</v>
      </c>
      <c r="J1742" s="6">
        <v>187892.43</v>
      </c>
      <c r="K1742" s="6">
        <v>0</v>
      </c>
      <c r="L1742" s="6">
        <v>0</v>
      </c>
      <c r="M1742" s="6">
        <f t="shared" si="343"/>
        <v>988907.57000000007</v>
      </c>
      <c r="N1742" s="6">
        <f t="shared" si="344"/>
        <v>187892.43</v>
      </c>
      <c r="O1742" s="6">
        <f t="shared" si="339"/>
        <v>1176800</v>
      </c>
      <c r="P1742" s="6">
        <v>1176800</v>
      </c>
      <c r="Q1742" s="6">
        <f t="shared" si="347"/>
        <v>988907.57000000007</v>
      </c>
      <c r="R1742" s="6">
        <f t="shared" si="345"/>
        <v>24722.689250000003</v>
      </c>
      <c r="T1742"/>
      <c r="U1742"/>
      <c r="V1742"/>
    </row>
    <row r="1743" spans="2:22" s="5" customFormat="1" x14ac:dyDescent="0.3">
      <c r="B1743" s="5" t="s">
        <v>16</v>
      </c>
      <c r="C1743" s="5" t="s">
        <v>2560</v>
      </c>
      <c r="D1743" s="5" t="s">
        <v>35</v>
      </c>
      <c r="E1743" s="5" t="s">
        <v>212</v>
      </c>
      <c r="F1743" s="5" t="s">
        <v>466</v>
      </c>
      <c r="G1743" s="5" t="s">
        <v>467</v>
      </c>
      <c r="H1743" s="6">
        <f t="shared" si="346"/>
        <v>4.2105262982659042E-3</v>
      </c>
      <c r="I1743" s="6">
        <f t="shared" si="338"/>
        <v>1945798.3157894737</v>
      </c>
      <c r="J1743" s="6">
        <v>369701.68</v>
      </c>
      <c r="K1743" s="6">
        <v>0</v>
      </c>
      <c r="L1743" s="6">
        <v>0</v>
      </c>
      <c r="M1743" s="6">
        <f t="shared" si="343"/>
        <v>1945798.32</v>
      </c>
      <c r="N1743" s="6">
        <f t="shared" si="344"/>
        <v>369701.68</v>
      </c>
      <c r="O1743" s="6">
        <f t="shared" si="339"/>
        <v>2315500</v>
      </c>
      <c r="P1743" s="6">
        <v>2315500</v>
      </c>
      <c r="Q1743" s="6">
        <f t="shared" si="347"/>
        <v>1945798.32</v>
      </c>
      <c r="R1743" s="6">
        <f t="shared" si="345"/>
        <v>48644.957999999999</v>
      </c>
      <c r="T1743"/>
      <c r="U1743"/>
      <c r="V1743"/>
    </row>
    <row r="1744" spans="2:22" x14ac:dyDescent="0.3">
      <c r="B1744" s="5" t="s">
        <v>16</v>
      </c>
      <c r="C1744" s="5" t="s">
        <v>2561</v>
      </c>
      <c r="D1744" s="5" t="s">
        <v>35</v>
      </c>
      <c r="E1744" s="5" t="s">
        <v>226</v>
      </c>
      <c r="F1744" s="5" t="s">
        <v>466</v>
      </c>
      <c r="G1744" s="5" t="s">
        <v>467</v>
      </c>
      <c r="H1744" s="6">
        <f>+P1744-I1744-J1744-K1744-L1744</f>
        <v>1.6842105280375108E-2</v>
      </c>
      <c r="I1744" s="6">
        <f t="shared" si="338"/>
        <v>723193.26315789472</v>
      </c>
      <c r="J1744" s="6">
        <v>137406.72</v>
      </c>
      <c r="K1744" s="6">
        <v>0</v>
      </c>
      <c r="L1744" s="6">
        <v>0</v>
      </c>
      <c r="M1744" s="6">
        <f t="shared" si="343"/>
        <v>723193.28</v>
      </c>
      <c r="N1744" s="6">
        <f t="shared" si="344"/>
        <v>137406.72</v>
      </c>
      <c r="O1744" s="6">
        <f t="shared" si="339"/>
        <v>860600</v>
      </c>
      <c r="P1744" s="6">
        <v>860600</v>
      </c>
      <c r="Q1744" s="6">
        <f t="shared" si="347"/>
        <v>723193.28</v>
      </c>
      <c r="R1744" s="6">
        <f t="shared" si="345"/>
        <v>18079.832000000002</v>
      </c>
      <c r="S1744" s="9"/>
    </row>
    <row r="1745" spans="2:22" s="5" customFormat="1" x14ac:dyDescent="0.3">
      <c r="B1745" s="5" t="s">
        <v>16</v>
      </c>
      <c r="C1745" s="5" t="s">
        <v>2562</v>
      </c>
      <c r="D1745" s="5" t="s">
        <v>35</v>
      </c>
      <c r="E1745" s="5" t="s">
        <v>337</v>
      </c>
      <c r="F1745" s="5" t="s">
        <v>466</v>
      </c>
      <c r="G1745" s="5" t="s">
        <v>467</v>
      </c>
      <c r="H1745" s="6">
        <f>+P1745-I1745-J1745-K1745-L1745</f>
        <v>-7.8947368601802737E-3</v>
      </c>
      <c r="I1745" s="6">
        <f t="shared" si="338"/>
        <v>1295378.1578947369</v>
      </c>
      <c r="J1745" s="6">
        <v>246121.85</v>
      </c>
      <c r="K1745" s="6">
        <v>0</v>
      </c>
      <c r="L1745" s="6">
        <v>0</v>
      </c>
      <c r="M1745" s="6">
        <f t="shared" si="343"/>
        <v>1295378.1499999999</v>
      </c>
      <c r="N1745" s="6">
        <f t="shared" si="344"/>
        <v>246121.85</v>
      </c>
      <c r="O1745" s="6">
        <f t="shared" si="339"/>
        <v>1541500</v>
      </c>
      <c r="P1745" s="6">
        <v>1541500</v>
      </c>
      <c r="Q1745" s="6">
        <f t="shared" si="347"/>
        <v>1295378.1499999999</v>
      </c>
      <c r="R1745" s="6">
        <f t="shared" si="345"/>
        <v>32384.453750000001</v>
      </c>
      <c r="S1745" s="9"/>
      <c r="T1745"/>
      <c r="U1745"/>
      <c r="V1745"/>
    </row>
    <row r="1746" spans="2:22" s="5" customFormat="1" x14ac:dyDescent="0.3">
      <c r="B1746" s="5" t="s">
        <v>16</v>
      </c>
      <c r="C1746" s="5" t="s">
        <v>2563</v>
      </c>
      <c r="D1746" s="5" t="s">
        <v>35</v>
      </c>
      <c r="E1746" s="5" t="s">
        <v>1204</v>
      </c>
      <c r="F1746" s="5" t="s">
        <v>466</v>
      </c>
      <c r="G1746" s="5" t="s">
        <v>467</v>
      </c>
      <c r="H1746" s="6">
        <v>0</v>
      </c>
      <c r="I1746" s="6">
        <f t="shared" si="338"/>
        <v>745714.31578947371</v>
      </c>
      <c r="J1746" s="6">
        <v>141685.72</v>
      </c>
      <c r="K1746" s="6">
        <v>0</v>
      </c>
      <c r="L1746" s="6">
        <v>0</v>
      </c>
      <c r="M1746" s="6">
        <f t="shared" si="343"/>
        <v>745714.31578947371</v>
      </c>
      <c r="N1746" s="6">
        <f t="shared" si="344"/>
        <v>141685.72</v>
      </c>
      <c r="O1746" s="6">
        <f t="shared" si="339"/>
        <v>887400.03578947368</v>
      </c>
      <c r="P1746" s="6">
        <v>887400</v>
      </c>
      <c r="Q1746" s="6">
        <f t="shared" si="347"/>
        <v>745714.31578947371</v>
      </c>
      <c r="R1746" s="6">
        <f t="shared" si="345"/>
        <v>18642.857894736844</v>
      </c>
      <c r="T1746"/>
      <c r="U1746"/>
      <c r="V1746"/>
    </row>
    <row r="1747" spans="2:22" s="5" customFormat="1" x14ac:dyDescent="0.3">
      <c r="B1747" s="5" t="s">
        <v>16</v>
      </c>
      <c r="C1747" s="5" t="s">
        <v>2564</v>
      </c>
      <c r="D1747" s="5" t="s">
        <v>35</v>
      </c>
      <c r="E1747" s="5" t="s">
        <v>1328</v>
      </c>
      <c r="F1747" s="5" t="s">
        <v>466</v>
      </c>
      <c r="G1747" s="5" t="s">
        <v>467</v>
      </c>
      <c r="H1747" s="6">
        <v>0</v>
      </c>
      <c r="I1747" s="6">
        <f t="shared" si="338"/>
        <v>983949.57894736854</v>
      </c>
      <c r="J1747" s="6">
        <v>186950.42</v>
      </c>
      <c r="K1747" s="6">
        <v>0</v>
      </c>
      <c r="L1747" s="6">
        <v>0</v>
      </c>
      <c r="M1747" s="6">
        <f t="shared" si="343"/>
        <v>983949.57894736854</v>
      </c>
      <c r="N1747" s="6">
        <f t="shared" si="344"/>
        <v>186950.42</v>
      </c>
      <c r="O1747" s="6">
        <f t="shared" si="339"/>
        <v>1170899.9989473685</v>
      </c>
      <c r="P1747" s="6">
        <v>1170900</v>
      </c>
      <c r="Q1747" s="6">
        <f t="shared" si="347"/>
        <v>983949.57894736854</v>
      </c>
      <c r="R1747" s="6">
        <f t="shared" si="345"/>
        <v>24598.739473684214</v>
      </c>
      <c r="T1747"/>
      <c r="U1747"/>
      <c r="V1747"/>
    </row>
    <row r="1748" spans="2:22" s="5" customFormat="1" x14ac:dyDescent="0.3">
      <c r="B1748" s="5" t="s">
        <v>16</v>
      </c>
      <c r="C1748" s="5" t="s">
        <v>2565</v>
      </c>
      <c r="D1748" s="5" t="s">
        <v>35</v>
      </c>
      <c r="E1748" s="5" t="s">
        <v>730</v>
      </c>
      <c r="F1748" s="5" t="s">
        <v>466</v>
      </c>
      <c r="G1748" s="5" t="s">
        <v>467</v>
      </c>
      <c r="H1748" s="6">
        <v>0</v>
      </c>
      <c r="I1748" s="6">
        <f t="shared" si="338"/>
        <v>1294369.7894736843</v>
      </c>
      <c r="J1748" s="6">
        <v>245930.26</v>
      </c>
      <c r="K1748" s="6">
        <v>0</v>
      </c>
      <c r="L1748" s="6">
        <v>0</v>
      </c>
      <c r="M1748" s="6">
        <f t="shared" si="343"/>
        <v>1294369.7894736843</v>
      </c>
      <c r="N1748" s="6">
        <f t="shared" si="344"/>
        <v>245930.26</v>
      </c>
      <c r="O1748" s="6">
        <f t="shared" si="339"/>
        <v>1540300.0494736843</v>
      </c>
      <c r="P1748" s="6">
        <v>1540300</v>
      </c>
      <c r="Q1748" s="6">
        <f t="shared" si="347"/>
        <v>1294369.7894736843</v>
      </c>
      <c r="R1748" s="6">
        <f t="shared" si="345"/>
        <v>32359.244736842109</v>
      </c>
      <c r="T1748"/>
      <c r="U1748"/>
      <c r="V1748"/>
    </row>
    <row r="1749" spans="2:22" s="5" customFormat="1" x14ac:dyDescent="0.3">
      <c r="B1749" s="5" t="s">
        <v>16</v>
      </c>
      <c r="C1749" s="5" t="s">
        <v>2566</v>
      </c>
      <c r="D1749" s="5" t="s">
        <v>2567</v>
      </c>
      <c r="E1749" s="5" t="s">
        <v>1287</v>
      </c>
      <c r="F1749" s="5" t="s">
        <v>376</v>
      </c>
      <c r="G1749" s="5" t="s">
        <v>377</v>
      </c>
      <c r="H1749" s="6">
        <f t="shared" ref="H1749:H1755" si="348">+P1749-I1749-J1749</f>
        <v>-4.4210527092218399E-2</v>
      </c>
      <c r="I1749" s="6">
        <f t="shared" si="338"/>
        <v>10105780.684210528</v>
      </c>
      <c r="J1749" s="6">
        <v>1920098.33</v>
      </c>
      <c r="K1749" s="6">
        <v>0</v>
      </c>
      <c r="L1749" s="6">
        <v>0</v>
      </c>
      <c r="M1749" s="6">
        <f t="shared" si="343"/>
        <v>10105780.640000001</v>
      </c>
      <c r="N1749" s="6">
        <f t="shared" si="344"/>
        <v>1920098.33</v>
      </c>
      <c r="O1749" s="6">
        <f t="shared" si="339"/>
        <v>12025878.970000001</v>
      </c>
      <c r="P1749" s="6">
        <v>12025878.970000001</v>
      </c>
      <c r="Q1749" s="6">
        <f t="shared" si="347"/>
        <v>10105780.640000001</v>
      </c>
      <c r="R1749" s="6">
        <f t="shared" si="345"/>
        <v>252644.516</v>
      </c>
      <c r="T1749"/>
      <c r="U1749"/>
      <c r="V1749"/>
    </row>
    <row r="1750" spans="2:22" s="5" customFormat="1" x14ac:dyDescent="0.3">
      <c r="B1750" s="5" t="s">
        <v>16</v>
      </c>
      <c r="C1750" s="5" t="s">
        <v>2568</v>
      </c>
      <c r="D1750" s="5" t="s">
        <v>2567</v>
      </c>
      <c r="E1750" s="5" t="s">
        <v>840</v>
      </c>
      <c r="F1750" s="5" t="s">
        <v>376</v>
      </c>
      <c r="G1750" s="5" t="s">
        <v>377</v>
      </c>
      <c r="H1750" s="6">
        <f t="shared" si="348"/>
        <v>0</v>
      </c>
      <c r="I1750" s="6">
        <f t="shared" si="338"/>
        <v>1591920</v>
      </c>
      <c r="J1750" s="6">
        <v>302464.8</v>
      </c>
      <c r="K1750" s="6">
        <v>0</v>
      </c>
      <c r="L1750" s="6">
        <v>0</v>
      </c>
      <c r="M1750" s="6">
        <f t="shared" si="343"/>
        <v>1591920</v>
      </c>
      <c r="N1750" s="6">
        <f t="shared" si="344"/>
        <v>302464.8</v>
      </c>
      <c r="O1750" s="6">
        <f t="shared" si="339"/>
        <v>1894384.8</v>
      </c>
      <c r="P1750" s="6">
        <v>1894384.8</v>
      </c>
      <c r="Q1750" s="6">
        <f t="shared" si="347"/>
        <v>1591920</v>
      </c>
      <c r="R1750" s="6">
        <f t="shared" si="345"/>
        <v>39798</v>
      </c>
      <c r="T1750"/>
      <c r="U1750"/>
      <c r="V1750"/>
    </row>
    <row r="1751" spans="2:22" s="5" customFormat="1" x14ac:dyDescent="0.3">
      <c r="B1751" s="5" t="s">
        <v>16</v>
      </c>
      <c r="C1751" s="5" t="s">
        <v>2569</v>
      </c>
      <c r="D1751" s="5" t="s">
        <v>2567</v>
      </c>
      <c r="E1751" s="5" t="s">
        <v>1771</v>
      </c>
      <c r="F1751" s="5" t="s">
        <v>376</v>
      </c>
      <c r="G1751" s="5" t="s">
        <v>377</v>
      </c>
      <c r="H1751" s="6">
        <f t="shared" si="348"/>
        <v>2.1052631782367826E-2</v>
      </c>
      <c r="I1751" s="6">
        <f t="shared" si="338"/>
        <v>3841793.5789473681</v>
      </c>
      <c r="J1751" s="6">
        <v>729940.78</v>
      </c>
      <c r="K1751" s="6">
        <v>0</v>
      </c>
      <c r="L1751" s="6">
        <v>0</v>
      </c>
      <c r="M1751" s="6">
        <f t="shared" si="343"/>
        <v>3841793.5999999996</v>
      </c>
      <c r="N1751" s="6">
        <f t="shared" si="344"/>
        <v>729940.78</v>
      </c>
      <c r="O1751" s="6">
        <f t="shared" si="339"/>
        <v>4571734.38</v>
      </c>
      <c r="P1751" s="6">
        <v>4571734.38</v>
      </c>
      <c r="Q1751" s="6">
        <f t="shared" si="347"/>
        <v>3841793.5999999996</v>
      </c>
      <c r="R1751" s="6">
        <f t="shared" si="345"/>
        <v>96044.84</v>
      </c>
      <c r="T1751"/>
      <c r="U1751"/>
      <c r="V1751"/>
    </row>
    <row r="1752" spans="2:22" s="5" customFormat="1" x14ac:dyDescent="0.3">
      <c r="B1752" s="5" t="s">
        <v>16</v>
      </c>
      <c r="C1752" s="5" t="s">
        <v>2570</v>
      </c>
      <c r="D1752" s="5" t="s">
        <v>2567</v>
      </c>
      <c r="E1752" s="5" t="s">
        <v>404</v>
      </c>
      <c r="F1752" s="5" t="s">
        <v>376</v>
      </c>
      <c r="G1752" s="5" t="s">
        <v>377</v>
      </c>
      <c r="H1752" s="6">
        <f t="shared" si="348"/>
        <v>-1.052631507627666E-2</v>
      </c>
      <c r="I1752" s="6">
        <f t="shared" si="338"/>
        <v>4644639.2105263155</v>
      </c>
      <c r="J1752" s="6">
        <v>882481.45</v>
      </c>
      <c r="K1752" s="6">
        <v>0</v>
      </c>
      <c r="L1752" s="6">
        <v>0</v>
      </c>
      <c r="M1752" s="6">
        <f t="shared" si="343"/>
        <v>4644639.2</v>
      </c>
      <c r="N1752" s="6">
        <f t="shared" si="344"/>
        <v>882481.45</v>
      </c>
      <c r="O1752" s="6">
        <f t="shared" si="339"/>
        <v>5527120.6500000004</v>
      </c>
      <c r="P1752" s="6">
        <v>5527120.6500000004</v>
      </c>
      <c r="Q1752" s="6">
        <f t="shared" si="347"/>
        <v>4644639.2</v>
      </c>
      <c r="R1752" s="6">
        <f t="shared" si="345"/>
        <v>116115.98</v>
      </c>
      <c r="S1752" s="7"/>
      <c r="T1752"/>
      <c r="U1752"/>
      <c r="V1752"/>
    </row>
    <row r="1753" spans="2:22" x14ac:dyDescent="0.3">
      <c r="B1753" s="5" t="s">
        <v>16</v>
      </c>
      <c r="C1753" s="5" t="s">
        <v>2571</v>
      </c>
      <c r="D1753" s="5" t="s">
        <v>2567</v>
      </c>
      <c r="E1753" s="5" t="s">
        <v>543</v>
      </c>
      <c r="F1753" s="5" t="s">
        <v>376</v>
      </c>
      <c r="G1753" s="5" t="s">
        <v>377</v>
      </c>
      <c r="H1753" s="6">
        <f t="shared" si="348"/>
        <v>1.052631507627666E-2</v>
      </c>
      <c r="I1753" s="6">
        <f t="shared" si="338"/>
        <v>4766344.7894736845</v>
      </c>
      <c r="J1753" s="6">
        <v>905605.51</v>
      </c>
      <c r="K1753" s="6">
        <v>0</v>
      </c>
      <c r="L1753" s="6">
        <v>0</v>
      </c>
      <c r="M1753" s="6">
        <f t="shared" si="343"/>
        <v>4766344.8</v>
      </c>
      <c r="N1753" s="6">
        <f t="shared" si="344"/>
        <v>905605.51</v>
      </c>
      <c r="O1753" s="6">
        <f t="shared" si="339"/>
        <v>5671950.3099999996</v>
      </c>
      <c r="P1753" s="6">
        <v>5671950.3099999996</v>
      </c>
      <c r="Q1753" s="6">
        <v>0</v>
      </c>
      <c r="R1753" s="6">
        <f t="shared" si="345"/>
        <v>0</v>
      </c>
      <c r="S1753" s="9"/>
    </row>
    <row r="1754" spans="2:22" x14ac:dyDescent="0.3">
      <c r="B1754" s="5" t="s">
        <v>16</v>
      </c>
      <c r="C1754" s="5" t="s">
        <v>2572</v>
      </c>
      <c r="D1754" s="5" t="s">
        <v>35</v>
      </c>
      <c r="E1754" s="5" t="s">
        <v>1314</v>
      </c>
      <c r="F1754" s="5" t="s">
        <v>373</v>
      </c>
      <c r="G1754" s="5" t="s">
        <v>374</v>
      </c>
      <c r="H1754" s="6">
        <f t="shared" si="348"/>
        <v>0.29684210526647803</v>
      </c>
      <c r="I1754" s="6">
        <f t="shared" si="338"/>
        <v>73193.263157894733</v>
      </c>
      <c r="J1754" s="6">
        <v>13906.72</v>
      </c>
      <c r="K1754" s="6">
        <v>0</v>
      </c>
      <c r="L1754" s="6">
        <v>0</v>
      </c>
      <c r="M1754" s="6">
        <f t="shared" si="343"/>
        <v>73193.56</v>
      </c>
      <c r="N1754" s="6">
        <f t="shared" si="344"/>
        <v>13906.72</v>
      </c>
      <c r="O1754" s="6">
        <f t="shared" si="339"/>
        <v>87100.28</v>
      </c>
      <c r="P1754" s="6">
        <v>87100.28</v>
      </c>
      <c r="Q1754" s="6">
        <v>0</v>
      </c>
      <c r="R1754" s="6">
        <f t="shared" si="345"/>
        <v>0</v>
      </c>
      <c r="S1754" s="9"/>
    </row>
    <row r="1755" spans="2:22" x14ac:dyDescent="0.3">
      <c r="B1755" s="5" t="s">
        <v>16</v>
      </c>
      <c r="C1755" s="5" t="s">
        <v>2573</v>
      </c>
      <c r="D1755" s="5" t="s">
        <v>35</v>
      </c>
      <c r="E1755" s="5" t="s">
        <v>544</v>
      </c>
      <c r="F1755" s="5" t="s">
        <v>373</v>
      </c>
      <c r="G1755" s="5" t="s">
        <v>374</v>
      </c>
      <c r="H1755" s="6">
        <f t="shared" si="348"/>
        <v>-0.87736842362210155</v>
      </c>
      <c r="I1755" s="6">
        <f t="shared" si="338"/>
        <v>14256638.947368423</v>
      </c>
      <c r="J1755" s="6">
        <v>2708761.4</v>
      </c>
      <c r="K1755" s="6">
        <v>0</v>
      </c>
      <c r="L1755" s="6">
        <v>0</v>
      </c>
      <c r="M1755" s="6">
        <f t="shared" si="343"/>
        <v>14256638.069999998</v>
      </c>
      <c r="N1755" s="6">
        <f t="shared" si="344"/>
        <v>2708761.4</v>
      </c>
      <c r="O1755" s="6">
        <f t="shared" si="339"/>
        <v>16965399.469999999</v>
      </c>
      <c r="P1755" s="6">
        <v>16965399.469999999</v>
      </c>
      <c r="Q1755" s="6">
        <f>+M1755-21262</f>
        <v>14235376.069999998</v>
      </c>
      <c r="R1755" s="6">
        <f t="shared" si="345"/>
        <v>355884.40174999996</v>
      </c>
      <c r="S1755" s="9"/>
    </row>
    <row r="1756" spans="2:22" s="5" customFormat="1" x14ac:dyDescent="0.3">
      <c r="B1756" s="5" t="s">
        <v>16</v>
      </c>
      <c r="C1756" s="5" t="s">
        <v>2574</v>
      </c>
      <c r="D1756" s="5" t="s">
        <v>35</v>
      </c>
      <c r="E1756" s="5" t="s">
        <v>1071</v>
      </c>
      <c r="F1756" s="5" t="s">
        <v>373</v>
      </c>
      <c r="G1756" s="5" t="s">
        <v>374</v>
      </c>
      <c r="H1756" s="6">
        <f>+P1756-I1756-J1756-K1756-L1756</f>
        <v>-2.3063157880678773</v>
      </c>
      <c r="I1756" s="6">
        <f t="shared" si="338"/>
        <v>13615212.526315788</v>
      </c>
      <c r="J1756" s="6">
        <v>2586890.38</v>
      </c>
      <c r="K1756" s="6">
        <v>0</v>
      </c>
      <c r="L1756" s="6">
        <v>0</v>
      </c>
      <c r="M1756" s="6">
        <f t="shared" si="343"/>
        <v>13615210.219999999</v>
      </c>
      <c r="N1756" s="6">
        <f t="shared" si="344"/>
        <v>2586890.38</v>
      </c>
      <c r="O1756" s="6">
        <f t="shared" si="339"/>
        <v>16202100.599999998</v>
      </c>
      <c r="P1756" s="6">
        <v>16202100.6</v>
      </c>
      <c r="Q1756" s="6">
        <f>+M1756</f>
        <v>13615210.219999999</v>
      </c>
      <c r="R1756" s="6">
        <f t="shared" si="345"/>
        <v>340380.25549999997</v>
      </c>
      <c r="T1756"/>
      <c r="U1756"/>
      <c r="V1756"/>
    </row>
  </sheetData>
  <mergeCells count="1">
    <mergeCell ref="T1:V1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patricia</dc:creator>
  <cp:lastModifiedBy>JAIME GUTIERREZ</cp:lastModifiedBy>
  <dcterms:created xsi:type="dcterms:W3CDTF">2026-05-27T13:36:33Z</dcterms:created>
  <dcterms:modified xsi:type="dcterms:W3CDTF">2026-05-27T23:46:53Z</dcterms:modified>
</cp:coreProperties>
</file>